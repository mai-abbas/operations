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25" windowWidth="14055" windowHeight="4305"/>
  </bookViews>
  <sheets>
    <sheet name="Sheet1" sheetId="1" r:id="rId1"/>
    <sheet name="Data" sheetId="2" r:id="rId2"/>
    <sheet name="Sheet2" sheetId="3" r:id="rId3"/>
  </sheets>
  <calcPr calcId="144525"/>
</workbook>
</file>

<file path=xl/calcChain.xml><?xml version="1.0" encoding="utf-8"?>
<calcChain xmlns="http://schemas.openxmlformats.org/spreadsheetml/2006/main">
  <c r="D795" i="3" l="1"/>
  <c r="F772" i="3"/>
  <c r="C762" i="3"/>
  <c r="A751" i="3"/>
  <c r="C735" i="3"/>
  <c r="C719" i="3"/>
  <c r="B708" i="3"/>
  <c r="C697" i="3"/>
  <c r="E686" i="3"/>
  <c r="C676" i="3"/>
  <c r="B666" i="3"/>
  <c r="F656" i="3"/>
  <c r="F645" i="3"/>
  <c r="A636" i="3"/>
  <c r="F625" i="3"/>
  <c r="D616" i="3"/>
  <c r="D786" i="3"/>
  <c r="C771" i="3"/>
  <c r="A761" i="3"/>
  <c r="C749" i="3"/>
  <c r="B733" i="3"/>
  <c r="F717" i="3"/>
  <c r="D706" i="3"/>
  <c r="F695" i="3"/>
  <c r="B685" i="3"/>
  <c r="F674" i="3"/>
  <c r="F664" i="3"/>
  <c r="C655" i="3"/>
  <c r="C644" i="3"/>
  <c r="E634" i="3"/>
  <c r="D624" i="3"/>
  <c r="B615" i="3"/>
  <c r="B780" i="3"/>
  <c r="A770" i="3"/>
  <c r="E759" i="3"/>
  <c r="B747" i="3"/>
  <c r="A731" i="3"/>
  <c r="A716" i="3"/>
  <c r="B705" i="3"/>
  <c r="C694" i="3"/>
  <c r="G683" i="3"/>
  <c r="C673" i="3"/>
  <c r="C663" i="3"/>
  <c r="F653" i="3"/>
  <c r="A643" i="3"/>
  <c r="C633" i="3"/>
  <c r="B623" i="3"/>
  <c r="G613" i="3"/>
  <c r="G778" i="3"/>
  <c r="D768" i="3"/>
  <c r="C758" i="3"/>
  <c r="E744" i="3"/>
  <c r="E728" i="3"/>
  <c r="B714" i="3"/>
  <c r="C703" i="3"/>
  <c r="F692" i="3"/>
  <c r="D682" i="3"/>
  <c r="F671" i="3"/>
  <c r="A662" i="3"/>
  <c r="C652" i="3"/>
  <c r="F641" i="3"/>
  <c r="F631" i="3"/>
  <c r="F621" i="3"/>
  <c r="E612" i="3"/>
  <c r="A776" i="3"/>
  <c r="F765" i="3"/>
  <c r="A755" i="3"/>
  <c r="C740" i="3"/>
  <c r="A724" i="3"/>
  <c r="C711" i="3"/>
  <c r="E700" i="3"/>
  <c r="F689" i="3"/>
  <c r="E679" i="3"/>
  <c r="C669" i="3"/>
  <c r="E659" i="3"/>
  <c r="G648" i="3"/>
  <c r="C639" i="3"/>
  <c r="A629" i="3"/>
  <c r="C619" i="3"/>
  <c r="B610" i="3"/>
  <c r="B773" i="3"/>
  <c r="G762" i="3"/>
  <c r="E751" i="3"/>
  <c r="B736" i="3"/>
  <c r="F719" i="3"/>
  <c r="E708" i="3"/>
  <c r="F697" i="3"/>
  <c r="A687" i="3"/>
  <c r="F676" i="3"/>
  <c r="E666" i="3"/>
  <c r="B657" i="3"/>
  <c r="C646" i="3"/>
  <c r="D636" i="3"/>
  <c r="B626" i="3"/>
  <c r="G616" i="3"/>
  <c r="D781" i="3"/>
  <c r="E770" i="3"/>
  <c r="B760" i="3"/>
  <c r="B748" i="3"/>
  <c r="A732" i="3"/>
  <c r="F716" i="3"/>
  <c r="F705" i="3"/>
  <c r="A695" i="3"/>
  <c r="D684" i="3"/>
  <c r="A674" i="3"/>
  <c r="A664" i="3"/>
  <c r="D654" i="3"/>
  <c r="E643" i="3"/>
  <c r="G633" i="3"/>
  <c r="F623" i="3"/>
  <c r="D614" i="3"/>
  <c r="D779" i="3"/>
  <c r="B769" i="3"/>
  <c r="G758" i="3"/>
  <c r="E745" i="3"/>
  <c r="E729" i="3"/>
  <c r="A715" i="3"/>
  <c r="B704" i="3"/>
  <c r="D693" i="3"/>
  <c r="B683" i="3"/>
  <c r="D672" i="3"/>
  <c r="E662" i="3"/>
  <c r="A653" i="3"/>
  <c r="C642" i="3"/>
  <c r="D632" i="3"/>
  <c r="C622" i="3"/>
  <c r="B613" i="3"/>
  <c r="D787" i="3"/>
  <c r="D771" i="3"/>
  <c r="B761" i="3"/>
  <c r="E749" i="3"/>
  <c r="C733" i="3"/>
  <c r="A718" i="3"/>
  <c r="F706" i="3"/>
  <c r="A696" i="3"/>
  <c r="C685" i="3"/>
  <c r="A675" i="3"/>
  <c r="A665" i="3"/>
  <c r="D655" i="3"/>
  <c r="D644" i="3"/>
  <c r="F634" i="3"/>
  <c r="E624" i="3"/>
  <c r="C615" i="3"/>
  <c r="C780" i="3"/>
  <c r="B770" i="3"/>
  <c r="F759" i="3"/>
  <c r="C747" i="3"/>
  <c r="B731" i="3"/>
  <c r="B716" i="3"/>
  <c r="C705" i="3"/>
  <c r="D694" i="3"/>
  <c r="A684" i="3"/>
  <c r="D673" i="3"/>
  <c r="D780" i="3"/>
  <c r="C770" i="3"/>
  <c r="G759" i="3"/>
  <c r="E747" i="3"/>
  <c r="C731" i="3"/>
  <c r="C716" i="3"/>
  <c r="D705" i="3"/>
  <c r="E694" i="3"/>
  <c r="B684" i="3"/>
  <c r="E673" i="3"/>
  <c r="E663" i="3"/>
  <c r="B654" i="3"/>
  <c r="C643" i="3"/>
  <c r="E633" i="3"/>
  <c r="D623" i="3"/>
  <c r="B614" i="3"/>
  <c r="B779" i="3"/>
  <c r="G768" i="3"/>
  <c r="E758" i="3"/>
  <c r="B745" i="3"/>
  <c r="B729" i="3"/>
  <c r="D714" i="3"/>
  <c r="F703" i="3"/>
  <c r="B693" i="3"/>
  <c r="F682" i="3"/>
  <c r="B672" i="3"/>
  <c r="C662" i="3"/>
  <c r="E652" i="3"/>
  <c r="A642" i="3"/>
  <c r="B632" i="3"/>
  <c r="A622" i="3"/>
  <c r="G612" i="3"/>
  <c r="F777" i="3"/>
  <c r="D767" i="3"/>
  <c r="A757" i="3"/>
  <c r="A743" i="3"/>
  <c r="A727" i="3"/>
  <c r="A713" i="3"/>
  <c r="B702" i="3"/>
  <c r="E691" i="3"/>
  <c r="C681" i="3"/>
  <c r="F670" i="3"/>
  <c r="A661" i="3"/>
  <c r="B651" i="3"/>
  <c r="F640" i="3"/>
  <c r="E630" i="3"/>
  <c r="F620" i="3"/>
  <c r="E611" i="3"/>
  <c r="B776" i="3"/>
  <c r="A766" i="3"/>
  <c r="B755" i="3"/>
  <c r="E740" i="3"/>
  <c r="B724" i="3"/>
  <c r="D711" i="3"/>
  <c r="F700" i="3"/>
  <c r="A690" i="3"/>
  <c r="F679" i="3"/>
  <c r="D669" i="3"/>
  <c r="F659" i="3"/>
  <c r="B649" i="3"/>
  <c r="D639" i="3"/>
  <c r="B629" i="3"/>
  <c r="D619" i="3"/>
  <c r="C610" i="3"/>
  <c r="C773" i="3"/>
  <c r="A763" i="3"/>
  <c r="F751" i="3"/>
  <c r="C736" i="3"/>
  <c r="A720" i="3"/>
  <c r="F708" i="3"/>
  <c r="A698" i="3"/>
  <c r="B687" i="3"/>
  <c r="A677" i="3"/>
  <c r="F666" i="3"/>
  <c r="C657" i="3"/>
  <c r="D646" i="3"/>
  <c r="E636" i="3"/>
  <c r="C626" i="3"/>
  <c r="A617" i="3"/>
  <c r="D782" i="3"/>
  <c r="F770" i="3"/>
  <c r="C760" i="3"/>
  <c r="C748" i="3"/>
  <c r="B732" i="3"/>
  <c r="A717" i="3"/>
  <c r="G705" i="3"/>
  <c r="B695" i="3"/>
  <c r="E684" i="3"/>
  <c r="B674" i="3"/>
  <c r="B664" i="3"/>
  <c r="E654" i="3"/>
  <c r="F643" i="3"/>
  <c r="A634" i="3"/>
  <c r="G623" i="3"/>
  <c r="E614" i="3"/>
  <c r="D778" i="3"/>
  <c r="A768" i="3"/>
  <c r="F757" i="3"/>
  <c r="A744" i="3"/>
  <c r="A728" i="3"/>
  <c r="E713" i="3"/>
  <c r="F702" i="3"/>
  <c r="C692" i="3"/>
  <c r="A682" i="3"/>
  <c r="C671" i="3"/>
  <c r="E661" i="3"/>
  <c r="F651" i="3"/>
  <c r="C641" i="3"/>
  <c r="C631" i="3"/>
  <c r="C621" i="3"/>
  <c r="B612" i="3"/>
  <c r="A777" i="3"/>
  <c r="E766" i="3"/>
  <c r="A756" i="3"/>
  <c r="E741" i="3"/>
  <c r="C725" i="3"/>
  <c r="C712" i="3"/>
  <c r="C701" i="3"/>
  <c r="E690" i="3"/>
  <c r="D680" i="3"/>
  <c r="A670" i="3"/>
  <c r="C660" i="3"/>
  <c r="C650" i="3"/>
  <c r="A640" i="3"/>
  <c r="C779" i="3"/>
  <c r="A769" i="3"/>
  <c r="F758" i="3"/>
  <c r="C745" i="3"/>
  <c r="C729" i="3"/>
  <c r="F714" i="3"/>
  <c r="A704" i="3"/>
  <c r="C693" i="3"/>
  <c r="A683" i="3"/>
  <c r="C672" i="3"/>
  <c r="D662" i="3"/>
  <c r="F652" i="3"/>
  <c r="B642" i="3"/>
  <c r="C632" i="3"/>
  <c r="B622" i="3"/>
  <c r="A613" i="3"/>
  <c r="A778" i="3"/>
  <c r="E767" i="3"/>
  <c r="B757" i="3"/>
  <c r="B743" i="3"/>
  <c r="B727" i="3"/>
  <c r="B713" i="3"/>
  <c r="C702" i="3"/>
  <c r="F691" i="3"/>
  <c r="D681" i="3"/>
  <c r="G670" i="3"/>
  <c r="B661" i="3"/>
  <c r="C651" i="3"/>
  <c r="G640" i="3"/>
  <c r="F630" i="3"/>
  <c r="G620" i="3"/>
  <c r="F611" i="3"/>
  <c r="C776" i="3"/>
  <c r="B766" i="3"/>
  <c r="C755" i="3"/>
  <c r="A741" i="3"/>
  <c r="C724" i="3"/>
  <c r="F711" i="3"/>
  <c r="G700" i="3"/>
  <c r="B690" i="3"/>
  <c r="A680" i="3"/>
  <c r="E669" i="3"/>
  <c r="G659" i="3"/>
  <c r="D649" i="3"/>
  <c r="E639" i="3"/>
  <c r="C629" i="3"/>
  <c r="E619" i="3"/>
  <c r="D610" i="3"/>
  <c r="G774" i="3"/>
  <c r="D764" i="3"/>
  <c r="D753" i="3"/>
  <c r="E738" i="3"/>
  <c r="B722" i="3"/>
  <c r="C710" i="3"/>
  <c r="D699" i="3"/>
  <c r="E688" i="3"/>
  <c r="D678" i="3"/>
  <c r="B668" i="3"/>
  <c r="E658" i="3"/>
  <c r="F647" i="3"/>
  <c r="C638" i="3"/>
  <c r="F627" i="3"/>
  <c r="C618" i="3"/>
  <c r="D791" i="3"/>
  <c r="A772" i="3"/>
  <c r="F761" i="3"/>
  <c r="B750" i="3"/>
  <c r="C734" i="3"/>
  <c r="E718" i="3"/>
  <c r="D707" i="3"/>
  <c r="E696" i="3"/>
  <c r="A686" i="3"/>
  <c r="E675" i="3"/>
  <c r="E665" i="3"/>
  <c r="B656" i="3"/>
  <c r="B645" i="3"/>
  <c r="C635" i="3"/>
  <c r="B625" i="3"/>
  <c r="G615" i="3"/>
  <c r="F779" i="3"/>
  <c r="D769" i="3"/>
  <c r="B759" i="3"/>
  <c r="B746" i="3"/>
  <c r="B730" i="3"/>
  <c r="C715" i="3"/>
  <c r="D704" i="3"/>
  <c r="F693" i="3"/>
  <c r="D683" i="3"/>
  <c r="F672" i="3"/>
  <c r="G662" i="3"/>
  <c r="C653" i="3"/>
  <c r="E642" i="3"/>
  <c r="F632" i="3"/>
  <c r="E622" i="3"/>
  <c r="D613" i="3"/>
  <c r="B777" i="3"/>
  <c r="F766" i="3"/>
  <c r="B756" i="3"/>
  <c r="A742" i="3"/>
  <c r="A726" i="3"/>
  <c r="D712" i="3"/>
  <c r="D701" i="3"/>
  <c r="F690" i="3"/>
  <c r="E680" i="3"/>
  <c r="B670" i="3"/>
  <c r="D660" i="3"/>
  <c r="D650" i="3"/>
  <c r="B640" i="3"/>
  <c r="A630" i="3"/>
  <c r="B620" i="3"/>
  <c r="A611" i="3"/>
  <c r="D775" i="3"/>
  <c r="B765" i="3"/>
  <c r="C754" i="3"/>
  <c r="E739" i="3"/>
  <c r="A723" i="3"/>
  <c r="G710" i="3"/>
  <c r="B700" i="3"/>
  <c r="C689" i="3"/>
  <c r="B679" i="3"/>
  <c r="F668" i="3"/>
  <c r="B659" i="3"/>
  <c r="D648" i="3"/>
  <c r="G638" i="3"/>
  <c r="B778" i="3"/>
  <c r="F767" i="3"/>
  <c r="C757" i="3"/>
  <c r="C743" i="3"/>
  <c r="C727" i="3"/>
  <c r="C713" i="3"/>
  <c r="D702" i="3"/>
  <c r="A692" i="3"/>
  <c r="E681" i="3"/>
  <c r="A671" i="3"/>
  <c r="C661" i="3"/>
  <c r="D651" i="3"/>
  <c r="A641" i="3"/>
  <c r="A631" i="3"/>
  <c r="A621" i="3"/>
  <c r="G611" i="3"/>
  <c r="D776" i="3"/>
  <c r="C766" i="3"/>
  <c r="D755" i="3"/>
  <c r="B741" i="3"/>
  <c r="A725" i="3"/>
  <c r="A712" i="3"/>
  <c r="A701" i="3"/>
  <c r="C690" i="3"/>
  <c r="B680" i="3"/>
  <c r="F669" i="3"/>
  <c r="A660" i="3"/>
  <c r="A650" i="3"/>
  <c r="F639" i="3"/>
  <c r="D629" i="3"/>
  <c r="F619" i="3"/>
  <c r="E610" i="3"/>
  <c r="A775" i="3"/>
  <c r="E764" i="3"/>
  <c r="F753" i="3"/>
  <c r="A739" i="3"/>
  <c r="C722" i="3"/>
  <c r="D710" i="3"/>
  <c r="E699" i="3"/>
  <c r="F688" i="3"/>
  <c r="E678" i="3"/>
  <c r="C668" i="3"/>
  <c r="F658" i="3"/>
  <c r="A648" i="3"/>
  <c r="D638" i="3"/>
  <c r="A628" i="3"/>
  <c r="D618" i="3"/>
  <c r="B609" i="3"/>
  <c r="D773" i="3"/>
  <c r="B763" i="3"/>
  <c r="A752" i="3"/>
  <c r="E736" i="3"/>
  <c r="B720" i="3"/>
  <c r="G708" i="3"/>
  <c r="B698" i="3"/>
  <c r="C687" i="3"/>
  <c r="B677" i="3"/>
  <c r="G666" i="3"/>
  <c r="D657" i="3"/>
  <c r="E646" i="3"/>
  <c r="F636" i="3"/>
  <c r="D626" i="3"/>
  <c r="B617" i="3"/>
  <c r="D783" i="3"/>
  <c r="G770" i="3"/>
  <c r="D760" i="3"/>
  <c r="E748" i="3"/>
  <c r="C732" i="3"/>
  <c r="B717" i="3"/>
  <c r="A706" i="3"/>
  <c r="C695" i="3"/>
  <c r="F684" i="3"/>
  <c r="C674" i="3"/>
  <c r="C664" i="3"/>
  <c r="F654" i="3"/>
  <c r="G643" i="3"/>
  <c r="B634" i="3"/>
  <c r="A624" i="3"/>
  <c r="F614" i="3"/>
  <c r="E778" i="3"/>
  <c r="B768" i="3"/>
  <c r="A758" i="3"/>
  <c r="B744" i="3"/>
  <c r="B728" i="3"/>
  <c r="F713" i="3"/>
  <c r="A703" i="3"/>
  <c r="D692" i="3"/>
  <c r="B682" i="3"/>
  <c r="D671" i="3"/>
  <c r="F661" i="3"/>
  <c r="A652" i="3"/>
  <c r="D641" i="3"/>
  <c r="D631" i="3"/>
  <c r="D621" i="3"/>
  <c r="C612" i="3"/>
  <c r="E775" i="3"/>
  <c r="C765" i="3"/>
  <c r="D754" i="3"/>
  <c r="A740" i="3"/>
  <c r="B723" i="3"/>
  <c r="A711" i="3"/>
  <c r="C700" i="3"/>
  <c r="D689" i="3"/>
  <c r="C679" i="3"/>
  <c r="A669" i="3"/>
  <c r="C659" i="3"/>
  <c r="E648" i="3"/>
  <c r="A639" i="3"/>
  <c r="E628" i="3"/>
  <c r="A619" i="3"/>
  <c r="F609" i="3"/>
  <c r="C774" i="3"/>
  <c r="G763" i="3"/>
  <c r="F752" i="3"/>
  <c r="E737" i="3"/>
  <c r="B721" i="3"/>
  <c r="D709" i="3"/>
  <c r="F698" i="3"/>
  <c r="A688" i="3"/>
  <c r="F677" i="3"/>
  <c r="D667" i="3"/>
  <c r="A658" i="3"/>
  <c r="B647" i="3"/>
  <c r="F776" i="3"/>
  <c r="D766" i="3"/>
  <c r="F755" i="3"/>
  <c r="C741" i="3"/>
  <c r="B725" i="3"/>
  <c r="B712" i="3"/>
  <c r="B701" i="3"/>
  <c r="D690" i="3"/>
  <c r="C680" i="3"/>
  <c r="G669" i="3"/>
  <c r="B660" i="3"/>
  <c r="B650" i="3"/>
  <c r="G639" i="3"/>
  <c r="E629" i="3"/>
  <c r="G619" i="3"/>
  <c r="F610" i="3"/>
  <c r="B775" i="3"/>
  <c r="F764" i="3"/>
  <c r="A754" i="3"/>
  <c r="B739" i="3"/>
  <c r="D722" i="3"/>
  <c r="E710" i="3"/>
  <c r="F699" i="3"/>
  <c r="A689" i="3"/>
  <c r="F678" i="3"/>
  <c r="D668" i="3"/>
  <c r="G658" i="3"/>
  <c r="B648" i="3"/>
  <c r="E638" i="3"/>
  <c r="B628" i="3"/>
  <c r="E618" i="3"/>
  <c r="C609" i="3"/>
  <c r="F773" i="3"/>
  <c r="C763" i="3"/>
  <c r="B752" i="3"/>
  <c r="A737" i="3"/>
  <c r="C720" i="3"/>
  <c r="A709" i="3"/>
  <c r="C698" i="3"/>
  <c r="D687" i="3"/>
  <c r="C677" i="3"/>
  <c r="A667" i="3"/>
  <c r="E657" i="3"/>
  <c r="F646" i="3"/>
  <c r="A637" i="3"/>
  <c r="E626" i="3"/>
  <c r="C617" i="3"/>
  <c r="D792" i="3"/>
  <c r="B772" i="3"/>
  <c r="G761" i="3"/>
  <c r="C750" i="3"/>
  <c r="E734" i="3"/>
  <c r="F718" i="3"/>
  <c r="E707" i="3"/>
  <c r="F696" i="3"/>
  <c r="B686" i="3"/>
  <c r="F675" i="3"/>
  <c r="F665" i="3"/>
  <c r="C656" i="3"/>
  <c r="C645" i="3"/>
  <c r="D635" i="3"/>
  <c r="C625" i="3"/>
  <c r="A616" i="3"/>
  <c r="G779" i="3"/>
  <c r="F769" i="3"/>
  <c r="C759" i="3"/>
  <c r="C746" i="3"/>
  <c r="C730" i="3"/>
  <c r="D715" i="3"/>
  <c r="F704" i="3"/>
  <c r="A694" i="3"/>
  <c r="E683" i="3"/>
  <c r="A673" i="3"/>
  <c r="A663" i="3"/>
  <c r="D653" i="3"/>
  <c r="F642" i="3"/>
  <c r="A633" i="3"/>
  <c r="F622" i="3"/>
  <c r="E613" i="3"/>
  <c r="C777" i="3"/>
  <c r="A767" i="3"/>
  <c r="C756" i="3"/>
  <c r="B742" i="3"/>
  <c r="B726" i="3"/>
  <c r="E712" i="3"/>
  <c r="E701" i="3"/>
  <c r="A691" i="3"/>
  <c r="F680" i="3"/>
  <c r="C670" i="3"/>
  <c r="E660" i="3"/>
  <c r="E650" i="3"/>
  <c r="C640" i="3"/>
  <c r="B630" i="3"/>
  <c r="C620" i="3"/>
  <c r="B611" i="3"/>
  <c r="D774" i="3"/>
  <c r="A764" i="3"/>
  <c r="A753" i="3"/>
  <c r="A738" i="3"/>
  <c r="C721" i="3"/>
  <c r="F709" i="3"/>
  <c r="A699" i="3"/>
  <c r="B688" i="3"/>
  <c r="A678" i="3"/>
  <c r="E667" i="3"/>
  <c r="B658" i="3"/>
  <c r="C647" i="3"/>
  <c r="F637" i="3"/>
  <c r="C627" i="3"/>
  <c r="G617" i="3"/>
  <c r="E608" i="3"/>
  <c r="G772" i="3"/>
  <c r="D762" i="3"/>
  <c r="B751" i="3"/>
  <c r="E735" i="3"/>
  <c r="D719" i="3"/>
  <c r="C708" i="3"/>
  <c r="C775" i="3"/>
  <c r="A765" i="3"/>
  <c r="B754" i="3"/>
  <c r="C739" i="3"/>
  <c r="E722" i="3"/>
  <c r="F710" i="3"/>
  <c r="A700" i="3"/>
  <c r="B689" i="3"/>
  <c r="A679" i="3"/>
  <c r="E668" i="3"/>
  <c r="A659" i="3"/>
  <c r="C648" i="3"/>
  <c r="F638" i="3"/>
  <c r="C628" i="3"/>
  <c r="F618" i="3"/>
  <c r="D609" i="3"/>
  <c r="A774" i="3"/>
  <c r="D763" i="3"/>
  <c r="C752" i="3"/>
  <c r="B737" i="3"/>
  <c r="F720" i="3"/>
  <c r="B709" i="3"/>
  <c r="D698" i="3"/>
  <c r="E687" i="3"/>
  <c r="D677" i="3"/>
  <c r="B667" i="3"/>
  <c r="F657" i="3"/>
  <c r="G646" i="3"/>
  <c r="B637" i="3"/>
  <c r="F626" i="3"/>
  <c r="D617" i="3"/>
  <c r="D793" i="3"/>
  <c r="C772" i="3"/>
  <c r="A762" i="3"/>
  <c r="E750" i="3"/>
  <c r="A735" i="3"/>
  <c r="A719" i="3"/>
  <c r="F707" i="3"/>
  <c r="A697" i="3"/>
  <c r="C686" i="3"/>
  <c r="A676" i="3"/>
  <c r="G665" i="3"/>
  <c r="D656" i="3"/>
  <c r="D645" i="3"/>
  <c r="E635" i="3"/>
  <c r="D625" i="3"/>
  <c r="B616" i="3"/>
  <c r="D784" i="3"/>
  <c r="A771" i="3"/>
  <c r="F760" i="3"/>
  <c r="A749" i="3"/>
  <c r="E732" i="3"/>
  <c r="C717" i="3"/>
  <c r="B706" i="3"/>
  <c r="D695" i="3"/>
  <c r="G684" i="3"/>
  <c r="D674" i="3"/>
  <c r="D664" i="3"/>
  <c r="A655" i="3"/>
  <c r="A644" i="3"/>
  <c r="C634" i="3"/>
  <c r="B624" i="3"/>
  <c r="G614" i="3"/>
  <c r="F778" i="3"/>
  <c r="C768" i="3"/>
  <c r="B758" i="3"/>
  <c r="C744" i="3"/>
  <c r="C728" i="3"/>
  <c r="A714" i="3"/>
  <c r="B703" i="3"/>
  <c r="E692" i="3"/>
  <c r="C682" i="3"/>
  <c r="E671" i="3"/>
  <c r="G661" i="3"/>
  <c r="B652" i="3"/>
  <c r="E641" i="3"/>
  <c r="E631" i="3"/>
  <c r="E621" i="3"/>
  <c r="D612" i="3"/>
  <c r="F775" i="3"/>
  <c r="D765" i="3"/>
  <c r="F754" i="3"/>
  <c r="B740" i="3"/>
  <c r="C723" i="3"/>
  <c r="B711" i="3"/>
  <c r="D700" i="3"/>
  <c r="E689" i="3"/>
  <c r="D679" i="3"/>
  <c r="B669" i="3"/>
  <c r="D659" i="3"/>
  <c r="F648" i="3"/>
  <c r="B639" i="3"/>
  <c r="F628" i="3"/>
  <c r="B619" i="3"/>
  <c r="A610" i="3"/>
  <c r="A773" i="3"/>
  <c r="F762" i="3"/>
  <c r="C751" i="3"/>
  <c r="A736" i="3"/>
  <c r="E719" i="3"/>
  <c r="D708" i="3"/>
  <c r="E697" i="3"/>
  <c r="G686" i="3"/>
  <c r="E676" i="3"/>
  <c r="D666" i="3"/>
  <c r="A657" i="3"/>
  <c r="B646" i="3"/>
  <c r="C636" i="3"/>
  <c r="A626" i="3"/>
  <c r="F616" i="3"/>
  <c r="D788" i="3"/>
  <c r="E771" i="3"/>
  <c r="C761" i="3"/>
  <c r="F749" i="3"/>
  <c r="E733" i="3"/>
  <c r="B718" i="3"/>
  <c r="A707" i="3"/>
  <c r="B696" i="3"/>
  <c r="D685" i="3"/>
  <c r="B675" i="3"/>
  <c r="B665" i="3"/>
  <c r="E655" i="3"/>
  <c r="E644" i="3"/>
  <c r="B774" i="3"/>
  <c r="F763" i="3"/>
  <c r="D752" i="3"/>
  <c r="C737" i="3"/>
  <c r="A721" i="3"/>
  <c r="C709" i="3"/>
  <c r="E698" i="3"/>
  <c r="F687" i="3"/>
  <c r="E677" i="3"/>
  <c r="C667" i="3"/>
  <c r="G657" i="3"/>
  <c r="A647" i="3"/>
  <c r="C637" i="3"/>
  <c r="A627" i="3"/>
  <c r="E617" i="3"/>
  <c r="D794" i="3"/>
  <c r="D772" i="3"/>
  <c r="B762" i="3"/>
  <c r="F750" i="3"/>
  <c r="B735" i="3"/>
  <c r="B719" i="3"/>
  <c r="A708" i="3"/>
  <c r="B697" i="3"/>
  <c r="D686" i="3"/>
  <c r="B676" i="3"/>
  <c r="A666" i="3"/>
  <c r="E656" i="3"/>
  <c r="E645" i="3"/>
  <c r="F635" i="3"/>
  <c r="E625" i="3"/>
  <c r="C616" i="3"/>
  <c r="D785" i="3"/>
  <c r="B771" i="3"/>
  <c r="G760" i="3"/>
  <c r="B749" i="3"/>
  <c r="A733" i="3"/>
  <c r="D717" i="3"/>
  <c r="C706" i="3"/>
  <c r="E695" i="3"/>
  <c r="A685" i="3"/>
  <c r="E674" i="3"/>
  <c r="E664" i="3"/>
  <c r="B655" i="3"/>
  <c r="B644" i="3"/>
  <c r="D634" i="3"/>
  <c r="C624" i="3"/>
  <c r="A615" i="3"/>
  <c r="A780" i="3"/>
  <c r="G769" i="3"/>
  <c r="D759" i="3"/>
  <c r="A747" i="3"/>
  <c r="E730" i="3"/>
  <c r="F715" i="3"/>
  <c r="A705" i="3"/>
  <c r="B694" i="3"/>
  <c r="F683" i="3"/>
  <c r="B673" i="3"/>
  <c r="B663" i="3"/>
  <c r="E653" i="3"/>
  <c r="G642" i="3"/>
  <c r="B633" i="3"/>
  <c r="A623" i="3"/>
  <c r="F613" i="3"/>
  <c r="D777" i="3"/>
  <c r="B767" i="3"/>
  <c r="D756" i="3"/>
  <c r="C742" i="3"/>
  <c r="C726" i="3"/>
  <c r="F712" i="3"/>
  <c r="F701" i="3"/>
  <c r="B691" i="3"/>
  <c r="A681" i="3"/>
  <c r="D670" i="3"/>
  <c r="F660" i="3"/>
  <c r="F650" i="3"/>
  <c r="D640" i="3"/>
  <c r="C630" i="3"/>
  <c r="D620" i="3"/>
  <c r="C611" i="3"/>
  <c r="E774" i="3"/>
  <c r="B764" i="3"/>
  <c r="B753" i="3"/>
  <c r="B738" i="3"/>
  <c r="D721" i="3"/>
  <c r="A710" i="3"/>
  <c r="B699" i="3"/>
  <c r="C688" i="3"/>
  <c r="B678" i="3"/>
  <c r="F667" i="3"/>
  <c r="C658" i="3"/>
  <c r="D647" i="3"/>
  <c r="A638" i="3"/>
  <c r="D627" i="3"/>
  <c r="A618" i="3"/>
  <c r="D789" i="3"/>
  <c r="F771" i="3"/>
  <c r="D761" i="3"/>
  <c r="G749" i="3"/>
  <c r="A734" i="3"/>
  <c r="C718" i="3"/>
  <c r="B707" i="3"/>
  <c r="C696" i="3"/>
  <c r="E685" i="3"/>
  <c r="C675" i="3"/>
  <c r="C665" i="3"/>
  <c r="F655" i="3"/>
  <c r="F644" i="3"/>
  <c r="A635" i="3"/>
  <c r="G624" i="3"/>
  <c r="E615" i="3"/>
  <c r="F780" i="3"/>
  <c r="D663" i="3"/>
  <c r="D758" i="3"/>
  <c r="B662" i="3"/>
  <c r="F756" i="3"/>
  <c r="G660" i="3"/>
  <c r="C753" i="3"/>
  <c r="D658" i="3"/>
  <c r="A750" i="3"/>
  <c r="A656" i="3"/>
  <c r="A746" i="3"/>
  <c r="B653" i="3"/>
  <c r="A760" i="3"/>
  <c r="E705" i="3"/>
  <c r="D676" i="3"/>
  <c r="E651" i="3"/>
  <c r="B631" i="3"/>
  <c r="A620" i="3"/>
  <c r="E609" i="3"/>
  <c r="C600" i="3"/>
  <c r="B591" i="3"/>
  <c r="G581" i="3"/>
  <c r="D572" i="3"/>
  <c r="F562" i="3"/>
  <c r="A553" i="3"/>
  <c r="A543" i="3"/>
  <c r="E532" i="3"/>
  <c r="B523" i="3"/>
  <c r="D513" i="3"/>
  <c r="A504" i="3"/>
  <c r="A494" i="3"/>
  <c r="G484" i="3"/>
  <c r="A475" i="3"/>
  <c r="C465" i="3"/>
  <c r="G608" i="3"/>
  <c r="A599" i="3"/>
  <c r="G589" i="3"/>
  <c r="D580" i="3"/>
  <c r="B571" i="3"/>
  <c r="C561" i="3"/>
  <c r="E551" i="3"/>
  <c r="E541" i="3"/>
  <c r="C531" i="3"/>
  <c r="F521" i="3"/>
  <c r="G511" i="3"/>
  <c r="F502" i="3"/>
  <c r="F492" i="3"/>
  <c r="E483" i="3"/>
  <c r="F473" i="3"/>
  <c r="A464" i="3"/>
  <c r="C601" i="3"/>
  <c r="A592" i="3"/>
  <c r="F582" i="3"/>
  <c r="C573" i="3"/>
  <c r="F563" i="3"/>
  <c r="G553" i="3"/>
  <c r="A544" i="3"/>
  <c r="E533" i="3"/>
  <c r="A524" i="3"/>
  <c r="D514" i="3"/>
  <c r="G504" i="3"/>
  <c r="G494" i="3"/>
  <c r="F485" i="3"/>
  <c r="A476" i="3"/>
  <c r="C466" i="3"/>
  <c r="F604" i="3"/>
  <c r="C595" i="3"/>
  <c r="B586" i="3"/>
  <c r="F576" i="3"/>
  <c r="B567" i="3"/>
  <c r="C557" i="3"/>
  <c r="E547" i="3"/>
  <c r="C537" i="3"/>
  <c r="C527" i="3"/>
  <c r="G517" i="3"/>
  <c r="B508" i="3"/>
  <c r="A499" i="3"/>
  <c r="A489" i="3"/>
  <c r="F479" i="3"/>
  <c r="F469" i="3"/>
  <c r="B460" i="3"/>
  <c r="C603" i="3"/>
  <c r="A594" i="3"/>
  <c r="G584" i="3"/>
  <c r="D575" i="3"/>
  <c r="F565" i="3"/>
  <c r="A556" i="3"/>
  <c r="B546" i="3"/>
  <c r="G535" i="3"/>
  <c r="A526" i="3"/>
  <c r="D516" i="3"/>
  <c r="G506" i="3"/>
  <c r="B497" i="3"/>
  <c r="F487" i="3"/>
  <c r="C478" i="3"/>
  <c r="C468" i="3"/>
  <c r="A607" i="3"/>
  <c r="C597" i="3"/>
  <c r="B588" i="3"/>
  <c r="F578" i="3"/>
  <c r="C569" i="3"/>
  <c r="D559" i="3"/>
  <c r="F549" i="3"/>
  <c r="E539" i="3"/>
  <c r="D529" i="3"/>
  <c r="A520" i="3"/>
  <c r="B510" i="3"/>
  <c r="A501" i="3"/>
  <c r="A491" i="3"/>
  <c r="F481" i="3"/>
  <c r="A472" i="3"/>
  <c r="B462" i="3"/>
  <c r="C604" i="3"/>
  <c r="G594" i="3"/>
  <c r="F585" i="3"/>
  <c r="C576" i="3"/>
  <c r="E566" i="3"/>
  <c r="G556" i="3"/>
  <c r="B547" i="3"/>
  <c r="F536" i="3"/>
  <c r="G526" i="3"/>
  <c r="D517" i="3"/>
  <c r="A654" i="3"/>
  <c r="A745" i="3"/>
  <c r="D652" i="3"/>
  <c r="E742" i="3"/>
  <c r="A651" i="3"/>
  <c r="C738" i="3"/>
  <c r="E647" i="3"/>
  <c r="B734" i="3"/>
  <c r="A645" i="3"/>
  <c r="A730" i="3"/>
  <c r="D642" i="3"/>
  <c r="D757" i="3"/>
  <c r="E702" i="3"/>
  <c r="F673" i="3"/>
  <c r="A646" i="3"/>
  <c r="F629" i="3"/>
  <c r="G618" i="3"/>
  <c r="A609" i="3"/>
  <c r="B599" i="3"/>
  <c r="A590" i="3"/>
  <c r="E580" i="3"/>
  <c r="C571" i="3"/>
  <c r="D561" i="3"/>
  <c r="F551" i="3"/>
  <c r="F541" i="3"/>
  <c r="D531" i="3"/>
  <c r="A522" i="3"/>
  <c r="A512" i="3"/>
  <c r="G502" i="3"/>
  <c r="G492" i="3"/>
  <c r="F483" i="3"/>
  <c r="G473" i="3"/>
  <c r="B464" i="3"/>
  <c r="E607" i="3"/>
  <c r="G597" i="3"/>
  <c r="F588" i="3"/>
  <c r="C579" i="3"/>
  <c r="A570" i="3"/>
  <c r="B560" i="3"/>
  <c r="C550" i="3"/>
  <c r="C540" i="3"/>
  <c r="B530" i="3"/>
  <c r="E520" i="3"/>
  <c r="F510" i="3"/>
  <c r="E501" i="3"/>
  <c r="E491" i="3"/>
  <c r="D482" i="3"/>
  <c r="E472" i="3"/>
  <c r="F462" i="3"/>
  <c r="A600" i="3"/>
  <c r="G590" i="3"/>
  <c r="E581" i="3"/>
  <c r="B572" i="3"/>
  <c r="D562" i="3"/>
  <c r="F552" i="3"/>
  <c r="E542" i="3"/>
  <c r="C532" i="3"/>
  <c r="G522" i="3"/>
  <c r="B513" i="3"/>
  <c r="F503" i="3"/>
  <c r="F493" i="3"/>
  <c r="E484" i="3"/>
  <c r="F474" i="3"/>
  <c r="A465" i="3"/>
  <c r="D603" i="3"/>
  <c r="B594" i="3"/>
  <c r="A585" i="3"/>
  <c r="E575" i="3"/>
  <c r="G565" i="3"/>
  <c r="B556" i="3"/>
  <c r="C546" i="3"/>
  <c r="A536" i="3"/>
  <c r="B526" i="3"/>
  <c r="E516" i="3"/>
  <c r="A507" i="3"/>
  <c r="C497" i="3"/>
  <c r="G487" i="3"/>
  <c r="D478" i="3"/>
  <c r="D468" i="3"/>
  <c r="F458" i="3"/>
  <c r="B602" i="3"/>
  <c r="G592" i="3"/>
  <c r="F583" i="3"/>
  <c r="B574" i="3"/>
  <c r="E564" i="3"/>
  <c r="F554" i="3"/>
  <c r="A545" i="3"/>
  <c r="E534" i="3"/>
  <c r="G524" i="3"/>
  <c r="C515" i="3"/>
  <c r="F505" i="3"/>
  <c r="F495" i="3"/>
  <c r="E486" i="3"/>
  <c r="A477" i="3"/>
  <c r="B467" i="3"/>
  <c r="F605" i="3"/>
  <c r="B596" i="3"/>
  <c r="A587" i="3"/>
  <c r="E577" i="3"/>
  <c r="B568" i="3"/>
  <c r="B558" i="3"/>
  <c r="E548" i="3"/>
  <c r="C538" i="3"/>
  <c r="C528" i="3"/>
  <c r="F518" i="3"/>
  <c r="A509" i="3"/>
  <c r="G499" i="3"/>
  <c r="G489" i="3"/>
  <c r="E480" i="3"/>
  <c r="E470" i="3"/>
  <c r="A461" i="3"/>
  <c r="A603" i="3"/>
  <c r="F593" i="3"/>
  <c r="E584" i="3"/>
  <c r="B575" i="3"/>
  <c r="D565" i="3"/>
  <c r="F555" i="3"/>
  <c r="B643" i="3"/>
  <c r="A729" i="3"/>
  <c r="G641" i="3"/>
  <c r="E726" i="3"/>
  <c r="E640" i="3"/>
  <c r="A722" i="3"/>
  <c r="B638" i="3"/>
  <c r="D718" i="3"/>
  <c r="B635" i="3"/>
  <c r="B715" i="3"/>
  <c r="E632" i="3"/>
  <c r="A748" i="3"/>
  <c r="D697" i="3"/>
  <c r="B671" i="3"/>
  <c r="D643" i="3"/>
  <c r="D628" i="3"/>
  <c r="F617" i="3"/>
  <c r="F607" i="3"/>
  <c r="A598" i="3"/>
  <c r="G588" i="3"/>
  <c r="D579" i="3"/>
  <c r="B570" i="3"/>
  <c r="C560" i="3"/>
  <c r="D550" i="3"/>
  <c r="D540" i="3"/>
  <c r="C530" i="3"/>
  <c r="F520" i="3"/>
  <c r="G510" i="3"/>
  <c r="F501" i="3"/>
  <c r="F491" i="3"/>
  <c r="E482" i="3"/>
  <c r="F472" i="3"/>
  <c r="A463" i="3"/>
  <c r="C606" i="3"/>
  <c r="F596" i="3"/>
  <c r="E587" i="3"/>
  <c r="B578" i="3"/>
  <c r="F568" i="3"/>
  <c r="F558" i="3"/>
  <c r="B549" i="3"/>
  <c r="A539" i="3"/>
  <c r="G528" i="3"/>
  <c r="D519" i="3"/>
  <c r="E509" i="3"/>
  <c r="D500" i="3"/>
  <c r="D490" i="3"/>
  <c r="B481" i="3"/>
  <c r="D471" i="3"/>
  <c r="F608" i="3"/>
  <c r="G598" i="3"/>
  <c r="F589" i="3"/>
  <c r="C580" i="3"/>
  <c r="A571" i="3"/>
  <c r="B561" i="3"/>
  <c r="D551" i="3"/>
  <c r="D541" i="3"/>
  <c r="B531" i="3"/>
  <c r="E521" i="3"/>
  <c r="F511" i="3"/>
  <c r="E502" i="3"/>
  <c r="E492" i="3"/>
  <c r="D483" i="3"/>
  <c r="E473" i="3"/>
  <c r="G463" i="3"/>
  <c r="C602" i="3"/>
  <c r="A593" i="3"/>
  <c r="G583" i="3"/>
  <c r="C574" i="3"/>
  <c r="F564" i="3"/>
  <c r="A555" i="3"/>
  <c r="B545" i="3"/>
  <c r="F534" i="3"/>
  <c r="A525" i="3"/>
  <c r="D515" i="3"/>
  <c r="G505" i="3"/>
  <c r="G495" i="3"/>
  <c r="F486" i="3"/>
  <c r="B477" i="3"/>
  <c r="C467" i="3"/>
  <c r="E457" i="3"/>
  <c r="A601" i="3"/>
  <c r="F591" i="3"/>
  <c r="D582" i="3"/>
  <c r="A573" i="3"/>
  <c r="D563" i="3"/>
  <c r="E553" i="3"/>
  <c r="E543" i="3"/>
  <c r="C533" i="3"/>
  <c r="F523" i="3"/>
  <c r="B514" i="3"/>
  <c r="E504" i="3"/>
  <c r="E494" i="3"/>
  <c r="D485" i="3"/>
  <c r="E475" i="3"/>
  <c r="A466" i="3"/>
  <c r="D604" i="3"/>
  <c r="A595" i="3"/>
  <c r="G585" i="3"/>
  <c r="D576" i="3"/>
  <c r="F566" i="3"/>
  <c r="A557" i="3"/>
  <c r="C547" i="3"/>
  <c r="A537" i="3"/>
  <c r="A527" i="3"/>
  <c r="E517" i="3"/>
  <c r="G507" i="3"/>
  <c r="D498" i="3"/>
  <c r="F488" i="3"/>
  <c r="D479" i="3"/>
  <c r="D469" i="3"/>
  <c r="E459" i="3"/>
  <c r="G601" i="3"/>
  <c r="E592" i="3"/>
  <c r="D583" i="3"/>
  <c r="G573" i="3"/>
  <c r="C564" i="3"/>
  <c r="D554" i="3"/>
  <c r="E544" i="3"/>
  <c r="C534" i="3"/>
  <c r="E524" i="3"/>
  <c r="A515" i="3"/>
  <c r="D505" i="3"/>
  <c r="D495" i="3"/>
  <c r="C486" i="3"/>
  <c r="E476" i="3"/>
  <c r="G466" i="3"/>
  <c r="G607" i="3"/>
  <c r="D633" i="3"/>
  <c r="C714" i="3"/>
  <c r="A632" i="3"/>
  <c r="G712" i="3"/>
  <c r="D630" i="3"/>
  <c r="B710" i="3"/>
  <c r="E627" i="3"/>
  <c r="C707" i="3"/>
  <c r="A625" i="3"/>
  <c r="C704" i="3"/>
  <c r="D622" i="3"/>
  <c r="E743" i="3"/>
  <c r="F694" i="3"/>
  <c r="C666" i="3"/>
  <c r="B641" i="3"/>
  <c r="B627" i="3"/>
  <c r="E616" i="3"/>
  <c r="D606" i="3"/>
  <c r="G596" i="3"/>
  <c r="F587" i="3"/>
  <c r="C578" i="3"/>
  <c r="G568" i="3"/>
  <c r="A559" i="3"/>
  <c r="C549" i="3"/>
  <c r="B539" i="3"/>
  <c r="A529" i="3"/>
  <c r="E519" i="3"/>
  <c r="F509" i="3"/>
  <c r="E500" i="3"/>
  <c r="E490" i="3"/>
  <c r="C481" i="3"/>
  <c r="E471" i="3"/>
  <c r="F461" i="3"/>
  <c r="B605" i="3"/>
  <c r="E595" i="3"/>
  <c r="D586" i="3"/>
  <c r="A577" i="3"/>
  <c r="D567" i="3"/>
  <c r="E557" i="3"/>
  <c r="A548" i="3"/>
  <c r="E537" i="3"/>
  <c r="E527" i="3"/>
  <c r="B518" i="3"/>
  <c r="D508" i="3"/>
  <c r="C499" i="3"/>
  <c r="C489" i="3"/>
  <c r="A480" i="3"/>
  <c r="A470" i="3"/>
  <c r="D607" i="3"/>
  <c r="F597" i="3"/>
  <c r="E588" i="3"/>
  <c r="B579" i="3"/>
  <c r="F569" i="3"/>
  <c r="A560" i="3"/>
  <c r="B550" i="3"/>
  <c r="B540" i="3"/>
  <c r="A530" i="3"/>
  <c r="D520" i="3"/>
  <c r="E510" i="3"/>
  <c r="D501" i="3"/>
  <c r="D491" i="3"/>
  <c r="C482" i="3"/>
  <c r="D472" i="3"/>
  <c r="E462" i="3"/>
  <c r="B601" i="3"/>
  <c r="G591" i="3"/>
  <c r="E582" i="3"/>
  <c r="B573" i="3"/>
  <c r="E563" i="3"/>
  <c r="F553" i="3"/>
  <c r="F543" i="3"/>
  <c r="D533" i="3"/>
  <c r="G523" i="3"/>
  <c r="C514" i="3"/>
  <c r="F504" i="3"/>
  <c r="F494" i="3"/>
  <c r="E485" i="3"/>
  <c r="F475" i="3"/>
  <c r="B466" i="3"/>
  <c r="D456" i="3"/>
  <c r="F599" i="3"/>
  <c r="E590" i="3"/>
  <c r="C581" i="3"/>
  <c r="G571" i="3"/>
  <c r="B562" i="3"/>
  <c r="D552" i="3"/>
  <c r="C542" i="3"/>
  <c r="A532" i="3"/>
  <c r="E522" i="3"/>
  <c r="F512" i="3"/>
  <c r="D503" i="3"/>
  <c r="D493" i="3"/>
  <c r="C484" i="3"/>
  <c r="D474" i="3"/>
  <c r="F464" i="3"/>
  <c r="B603" i="3"/>
  <c r="G593" i="3"/>
  <c r="F584" i="3"/>
  <c r="C575" i="3"/>
  <c r="E565" i="3"/>
  <c r="G555" i="3"/>
  <c r="A546" i="3"/>
  <c r="F535" i="3"/>
  <c r="G525" i="3"/>
  <c r="C516" i="3"/>
  <c r="F506" i="3"/>
  <c r="A497" i="3"/>
  <c r="E487" i="3"/>
  <c r="B478" i="3"/>
  <c r="B468" i="3"/>
  <c r="D458" i="3"/>
  <c r="E600" i="3"/>
  <c r="D591" i="3"/>
  <c r="B582" i="3"/>
  <c r="F572" i="3"/>
  <c r="B563" i="3"/>
  <c r="C553" i="3"/>
  <c r="C543" i="3"/>
  <c r="A533" i="3"/>
  <c r="D523" i="3"/>
  <c r="F513" i="3"/>
  <c r="C504" i="3"/>
  <c r="C494" i="3"/>
  <c r="C623" i="3"/>
  <c r="D703" i="3"/>
  <c r="G621" i="3"/>
  <c r="A702" i="3"/>
  <c r="E620" i="3"/>
  <c r="C699" i="3"/>
  <c r="B618" i="3"/>
  <c r="D696" i="3"/>
  <c r="F615" i="3"/>
  <c r="E693" i="3"/>
  <c r="C613" i="3"/>
  <c r="E731" i="3"/>
  <c r="B692" i="3"/>
  <c r="F663" i="3"/>
  <c r="D637" i="3"/>
  <c r="G625" i="3"/>
  <c r="D615" i="3"/>
  <c r="C605" i="3"/>
  <c r="F595" i="3"/>
  <c r="E586" i="3"/>
  <c r="B577" i="3"/>
  <c r="E567" i="3"/>
  <c r="F557" i="3"/>
  <c r="B548" i="3"/>
  <c r="F537" i="3"/>
  <c r="F527" i="3"/>
  <c r="C518" i="3"/>
  <c r="E508" i="3"/>
  <c r="D499" i="3"/>
  <c r="D489" i="3"/>
  <c r="B480" i="3"/>
  <c r="B470" i="3"/>
  <c r="E460" i="3"/>
  <c r="F603" i="3"/>
  <c r="D594" i="3"/>
  <c r="C585" i="3"/>
  <c r="G575" i="3"/>
  <c r="B566" i="3"/>
  <c r="D556" i="3"/>
  <c r="E546" i="3"/>
  <c r="C536" i="3"/>
  <c r="D526" i="3"/>
  <c r="A517" i="3"/>
  <c r="C507" i="3"/>
  <c r="F497" i="3"/>
  <c r="B488" i="3"/>
  <c r="F478" i="3"/>
  <c r="F468" i="3"/>
  <c r="B606" i="3"/>
  <c r="E596" i="3"/>
  <c r="D587" i="3"/>
  <c r="A578" i="3"/>
  <c r="E568" i="3"/>
  <c r="E558" i="3"/>
  <c r="A549" i="3"/>
  <c r="F538" i="3"/>
  <c r="F528" i="3"/>
  <c r="C519" i="3"/>
  <c r="D509" i="3"/>
  <c r="C500" i="3"/>
  <c r="C490" i="3"/>
  <c r="A481" i="3"/>
  <c r="C471" i="3"/>
  <c r="D461" i="3"/>
  <c r="G599" i="3"/>
  <c r="F590" i="3"/>
  <c r="D581" i="3"/>
  <c r="A572" i="3"/>
  <c r="C562" i="3"/>
  <c r="E552" i="3"/>
  <c r="D542" i="3"/>
  <c r="B532" i="3"/>
  <c r="F522" i="3"/>
  <c r="A513" i="3"/>
  <c r="E503" i="3"/>
  <c r="E493" i="3"/>
  <c r="D484" i="3"/>
  <c r="E474" i="3"/>
  <c r="G464" i="3"/>
  <c r="C608" i="3"/>
  <c r="E598" i="3"/>
  <c r="D589" i="3"/>
  <c r="A580" i="3"/>
  <c r="F570" i="3"/>
  <c r="G560" i="3"/>
  <c r="B551" i="3"/>
  <c r="B541" i="3"/>
  <c r="G530" i="3"/>
  <c r="C521" i="3"/>
  <c r="D511" i="3"/>
  <c r="C502" i="3"/>
  <c r="C492" i="3"/>
  <c r="B483" i="3"/>
  <c r="C473" i="3"/>
  <c r="E463" i="3"/>
  <c r="A602" i="3"/>
  <c r="F592" i="3"/>
  <c r="E583" i="3"/>
  <c r="A574" i="3"/>
  <c r="D564" i="3"/>
  <c r="E554" i="3"/>
  <c r="F544" i="3"/>
  <c r="D534" i="3"/>
  <c r="F524" i="3"/>
  <c r="B515" i="3"/>
  <c r="E505" i="3"/>
  <c r="E495" i="3"/>
  <c r="D486" i="3"/>
  <c r="F476" i="3"/>
  <c r="A467" i="3"/>
  <c r="C457" i="3"/>
  <c r="D599" i="3"/>
  <c r="C590" i="3"/>
  <c r="A581" i="3"/>
  <c r="E571" i="3"/>
  <c r="F561" i="3"/>
  <c r="B552" i="3"/>
  <c r="A542" i="3"/>
  <c r="F531" i="3"/>
  <c r="C522" i="3"/>
  <c r="C512" i="3"/>
  <c r="A614" i="3"/>
  <c r="A693" i="3"/>
  <c r="F612" i="3"/>
  <c r="C691" i="3"/>
  <c r="D611" i="3"/>
  <c r="D688" i="3"/>
  <c r="D790" i="3"/>
  <c r="F685" i="3"/>
  <c r="E779" i="3"/>
  <c r="C683" i="3"/>
  <c r="C778" i="3"/>
  <c r="E727" i="3"/>
  <c r="F686" i="3"/>
  <c r="D661" i="3"/>
  <c r="B636" i="3"/>
  <c r="F624" i="3"/>
  <c r="C614" i="3"/>
  <c r="A604" i="3"/>
  <c r="E594" i="3"/>
  <c r="D585" i="3"/>
  <c r="A576" i="3"/>
  <c r="C566" i="3"/>
  <c r="E556" i="3"/>
  <c r="F546" i="3"/>
  <c r="D536" i="3"/>
  <c r="E526" i="3"/>
  <c r="B517" i="3"/>
  <c r="D507" i="3"/>
  <c r="A498" i="3"/>
  <c r="C488" i="3"/>
  <c r="A479" i="3"/>
  <c r="A469" i="3"/>
  <c r="B459" i="3"/>
  <c r="E602" i="3"/>
  <c r="C593" i="3"/>
  <c r="B584" i="3"/>
  <c r="E574" i="3"/>
  <c r="A565" i="3"/>
  <c r="C555" i="3"/>
  <c r="D545" i="3"/>
  <c r="B535" i="3"/>
  <c r="C525" i="3"/>
  <c r="F515" i="3"/>
  <c r="B506" i="3"/>
  <c r="B496" i="3"/>
  <c r="A487" i="3"/>
  <c r="D477" i="3"/>
  <c r="E467" i="3"/>
  <c r="A605" i="3"/>
  <c r="D595" i="3"/>
  <c r="C586" i="3"/>
  <c r="G576" i="3"/>
  <c r="C567" i="3"/>
  <c r="D557" i="3"/>
  <c r="F547" i="3"/>
  <c r="D537" i="3"/>
  <c r="D527" i="3"/>
  <c r="A518" i="3"/>
  <c r="C508" i="3"/>
  <c r="B499" i="3"/>
  <c r="B489" i="3"/>
  <c r="G479" i="3"/>
  <c r="G469" i="3"/>
  <c r="D608" i="3"/>
  <c r="F598" i="3"/>
  <c r="E589" i="3"/>
  <c r="B580" i="3"/>
  <c r="G570" i="3"/>
  <c r="A561" i="3"/>
  <c r="C551" i="3"/>
  <c r="C541" i="3"/>
  <c r="A531" i="3"/>
  <c r="D521" i="3"/>
  <c r="E511" i="3"/>
  <c r="D502" i="3"/>
  <c r="D492" i="3"/>
  <c r="C483" i="3"/>
  <c r="D473" i="3"/>
  <c r="F463" i="3"/>
  <c r="B607" i="3"/>
  <c r="D597" i="3"/>
  <c r="C588" i="3"/>
  <c r="G578" i="3"/>
  <c r="D569" i="3"/>
  <c r="E559" i="3"/>
  <c r="G549" i="3"/>
  <c r="F539" i="3"/>
  <c r="E529" i="3"/>
  <c r="B520" i="3"/>
  <c r="C510" i="3"/>
  <c r="B501" i="3"/>
  <c r="B491" i="3"/>
  <c r="A482" i="3"/>
  <c r="B472" i="3"/>
  <c r="C462" i="3"/>
  <c r="F600" i="3"/>
  <c r="E591" i="3"/>
  <c r="C582" i="3"/>
  <c r="G572" i="3"/>
  <c r="C563" i="3"/>
  <c r="D553" i="3"/>
  <c r="D543" i="3"/>
  <c r="B533" i="3"/>
  <c r="E523" i="3"/>
  <c r="A514" i="3"/>
  <c r="D504" i="3"/>
  <c r="D494" i="3"/>
  <c r="C485" i="3"/>
  <c r="D475" i="3"/>
  <c r="G465" i="3"/>
  <c r="A608" i="3"/>
  <c r="C598" i="3"/>
  <c r="B589" i="3"/>
  <c r="F579" i="3"/>
  <c r="D570" i="3"/>
  <c r="E560" i="3"/>
  <c r="F550" i="3"/>
  <c r="F540" i="3"/>
  <c r="E530" i="3"/>
  <c r="A521" i="3"/>
  <c r="B511" i="3"/>
  <c r="A502" i="3"/>
  <c r="A492" i="3"/>
  <c r="G482" i="3"/>
  <c r="A473" i="3"/>
  <c r="C463" i="3"/>
  <c r="B604" i="3"/>
  <c r="A779" i="3"/>
  <c r="E682" i="3"/>
  <c r="E777" i="3"/>
  <c r="B681" i="3"/>
  <c r="F774" i="3"/>
  <c r="C678" i="3"/>
  <c r="G771" i="3"/>
  <c r="D675" i="3"/>
  <c r="C769" i="3"/>
  <c r="E672" i="3"/>
  <c r="D770" i="3"/>
  <c r="D716" i="3"/>
  <c r="C684" i="3"/>
  <c r="G656" i="3"/>
  <c r="G634" i="3"/>
  <c r="E623" i="3"/>
  <c r="A612" i="3"/>
  <c r="F602" i="3"/>
  <c r="D593" i="3"/>
  <c r="C584" i="3"/>
  <c r="F574" i="3"/>
  <c r="B565" i="3"/>
  <c r="D555" i="3"/>
  <c r="E545" i="3"/>
  <c r="C535" i="3"/>
  <c r="D525" i="3"/>
  <c r="G515" i="3"/>
  <c r="C506" i="3"/>
  <c r="C496" i="3"/>
  <c r="B487" i="3"/>
  <c r="E477" i="3"/>
  <c r="F467" i="3"/>
  <c r="A458" i="3"/>
  <c r="D601" i="3"/>
  <c r="B592" i="3"/>
  <c r="A583" i="3"/>
  <c r="D573" i="3"/>
  <c r="G563" i="3"/>
  <c r="A554" i="3"/>
  <c r="B544" i="3"/>
  <c r="F533" i="3"/>
  <c r="B524" i="3"/>
  <c r="E514" i="3"/>
  <c r="A505" i="3"/>
  <c r="A495" i="3"/>
  <c r="G485" i="3"/>
  <c r="B476" i="3"/>
  <c r="D466" i="3"/>
  <c r="E603" i="3"/>
  <c r="C594" i="3"/>
  <c r="B585" i="3"/>
  <c r="F575" i="3"/>
  <c r="A566" i="3"/>
  <c r="C556" i="3"/>
  <c r="D546" i="3"/>
  <c r="B536" i="3"/>
  <c r="C526" i="3"/>
  <c r="F516" i="3"/>
  <c r="B507" i="3"/>
  <c r="D497" i="3"/>
  <c r="A488" i="3"/>
  <c r="E478" i="3"/>
  <c r="E468" i="3"/>
  <c r="C607" i="3"/>
  <c r="E597" i="3"/>
  <c r="D588" i="3"/>
  <c r="A579" i="3"/>
  <c r="E569" i="3"/>
  <c r="F559" i="3"/>
  <c r="A550" i="3"/>
  <c r="A540" i="3"/>
  <c r="F529" i="3"/>
  <c r="C520" i="3"/>
  <c r="D510" i="3"/>
  <c r="C501" i="3"/>
  <c r="C491" i="3"/>
  <c r="B482" i="3"/>
  <c r="C472" i="3"/>
  <c r="D462" i="3"/>
  <c r="G605" i="3"/>
  <c r="C596" i="3"/>
  <c r="B587" i="3"/>
  <c r="F577" i="3"/>
  <c r="C568" i="3"/>
  <c r="C558" i="3"/>
  <c r="F548" i="3"/>
  <c r="D538" i="3"/>
  <c r="D528" i="3"/>
  <c r="A519" i="3"/>
  <c r="B509" i="3"/>
  <c r="A500" i="3"/>
  <c r="A490" i="3"/>
  <c r="F480" i="3"/>
  <c r="A471" i="3"/>
  <c r="B461" i="3"/>
  <c r="E599" i="3"/>
  <c r="D590" i="3"/>
  <c r="B581" i="3"/>
  <c r="F571" i="3"/>
  <c r="A562" i="3"/>
  <c r="C552" i="3"/>
  <c r="B542" i="3"/>
  <c r="G531" i="3"/>
  <c r="D522" i="3"/>
  <c r="D512" i="3"/>
  <c r="C503" i="3"/>
  <c r="C493" i="3"/>
  <c r="B484" i="3"/>
  <c r="C474" i="3"/>
  <c r="E464" i="3"/>
  <c r="F606" i="3"/>
  <c r="B597" i="3"/>
  <c r="A588" i="3"/>
  <c r="E578" i="3"/>
  <c r="B569" i="3"/>
  <c r="C559" i="3"/>
  <c r="E549" i="3"/>
  <c r="D539" i="3"/>
  <c r="C529" i="3"/>
  <c r="G519" i="3"/>
  <c r="A510" i="3"/>
  <c r="G500" i="3"/>
  <c r="G490" i="3"/>
  <c r="F768" i="3"/>
  <c r="A759" i="3"/>
  <c r="G610" i="3"/>
  <c r="A534" i="3"/>
  <c r="G456" i="3"/>
  <c r="D532" i="3"/>
  <c r="D602" i="3"/>
  <c r="B525" i="3"/>
  <c r="D596" i="3"/>
  <c r="B519" i="3"/>
  <c r="B595" i="3"/>
  <c r="F517" i="3"/>
  <c r="C589" i="3"/>
  <c r="C511" i="3"/>
  <c r="G586" i="3"/>
  <c r="B528" i="3"/>
  <c r="F499" i="3"/>
  <c r="A484" i="3"/>
  <c r="D470" i="3"/>
  <c r="C458" i="3"/>
  <c r="A597" i="3"/>
  <c r="G587" i="3"/>
  <c r="D578" i="3"/>
  <c r="A569" i="3"/>
  <c r="B559" i="3"/>
  <c r="D549" i="3"/>
  <c r="D530" i="3"/>
  <c r="A459" i="3"/>
  <c r="C448" i="3"/>
  <c r="F438" i="3"/>
  <c r="D429" i="3"/>
  <c r="B420" i="3"/>
  <c r="F410" i="3"/>
  <c r="E401" i="3"/>
  <c r="C392" i="3"/>
  <c r="A383" i="3"/>
  <c r="D373" i="3"/>
  <c r="A364" i="3"/>
  <c r="D354" i="3"/>
  <c r="G344" i="3"/>
  <c r="C335" i="3"/>
  <c r="B325" i="3"/>
  <c r="F490" i="3"/>
  <c r="G452" i="3"/>
  <c r="B443" i="3"/>
  <c r="G433" i="3"/>
  <c r="F424" i="3"/>
  <c r="B415" i="3"/>
  <c r="A406" i="3"/>
  <c r="G396" i="3"/>
  <c r="E387" i="3"/>
  <c r="B378" i="3"/>
  <c r="D368" i="3"/>
  <c r="B359" i="3"/>
  <c r="C349" i="3"/>
  <c r="A340" i="3"/>
  <c r="A330" i="3"/>
  <c r="A320" i="3"/>
  <c r="C480" i="3"/>
  <c r="D451" i="3"/>
  <c r="G441" i="3"/>
  <c r="E432" i="3"/>
  <c r="D423" i="3"/>
  <c r="G413" i="3"/>
  <c r="F404" i="3"/>
  <c r="E395" i="3"/>
  <c r="B386" i="3"/>
  <c r="E376" i="3"/>
  <c r="B367" i="3"/>
  <c r="E357" i="3"/>
  <c r="A348" i="3"/>
  <c r="E338" i="3"/>
  <c r="E328" i="3"/>
  <c r="F318" i="3"/>
  <c r="B469" i="3"/>
  <c r="B450" i="3"/>
  <c r="E440" i="3"/>
  <c r="C431" i="3"/>
  <c r="A422" i="3"/>
  <c r="E412" i="3"/>
  <c r="D403" i="3"/>
  <c r="B394" i="3"/>
  <c r="G384" i="3"/>
  <c r="C375" i="3"/>
  <c r="G365" i="3"/>
  <c r="C356" i="3"/>
  <c r="F346" i="3"/>
  <c r="D496" i="3"/>
  <c r="E453" i="3"/>
  <c r="G443" i="3"/>
  <c r="E434" i="3"/>
  <c r="D425" i="3"/>
  <c r="G415" i="3"/>
  <c r="F406" i="3"/>
  <c r="E397" i="3"/>
  <c r="C388" i="3"/>
  <c r="G378" i="3"/>
  <c r="B369" i="3"/>
  <c r="A360" i="3"/>
  <c r="A350" i="3"/>
  <c r="F466" i="3"/>
  <c r="G449" i="3"/>
  <c r="C440" i="3"/>
  <c r="A431" i="3"/>
  <c r="F421" i="3"/>
  <c r="C412" i="3"/>
  <c r="B403" i="3"/>
  <c r="G393" i="3"/>
  <c r="E384" i="3"/>
  <c r="A375" i="3"/>
  <c r="E365" i="3"/>
  <c r="A356" i="3"/>
  <c r="F532" i="3"/>
  <c r="A460" i="3"/>
  <c r="E448" i="3"/>
  <c r="A439" i="3"/>
  <c r="F429" i="3"/>
  <c r="D420" i="3"/>
  <c r="A411" i="3"/>
  <c r="G401" i="3"/>
  <c r="E392" i="3"/>
  <c r="C383" i="3"/>
  <c r="F373" i="3"/>
  <c r="C364" i="3"/>
  <c r="F354" i="3"/>
  <c r="B345" i="3"/>
  <c r="A474" i="3"/>
  <c r="F450" i="3"/>
  <c r="A672" i="3"/>
  <c r="F662" i="3"/>
  <c r="E601" i="3"/>
  <c r="C524" i="3"/>
  <c r="B600" i="3"/>
  <c r="A523" i="3"/>
  <c r="B593" i="3"/>
  <c r="E515" i="3"/>
  <c r="C587" i="3"/>
  <c r="C509" i="3"/>
  <c r="A586" i="3"/>
  <c r="A508" i="3"/>
  <c r="G579" i="3"/>
  <c r="B502" i="3"/>
  <c r="D577" i="3"/>
  <c r="F525" i="3"/>
  <c r="C498" i="3"/>
  <c r="E481" i="3"/>
  <c r="C469" i="3"/>
  <c r="E606" i="3"/>
  <c r="G595" i="3"/>
  <c r="F586" i="3"/>
  <c r="C577" i="3"/>
  <c r="F567" i="3"/>
  <c r="G557" i="3"/>
  <c r="C548" i="3"/>
  <c r="G520" i="3"/>
  <c r="A457" i="3"/>
  <c r="A447" i="3"/>
  <c r="E437" i="3"/>
  <c r="C428" i="3"/>
  <c r="F418" i="3"/>
  <c r="E409" i="3"/>
  <c r="D400" i="3"/>
  <c r="B391" i="3"/>
  <c r="G381" i="3"/>
  <c r="C372" i="3"/>
  <c r="G362" i="3"/>
  <c r="C353" i="3"/>
  <c r="F343" i="3"/>
  <c r="B334" i="3"/>
  <c r="A324" i="3"/>
  <c r="D481" i="3"/>
  <c r="E451" i="3"/>
  <c r="A442" i="3"/>
  <c r="F432" i="3"/>
  <c r="E423" i="3"/>
  <c r="A414" i="3"/>
  <c r="G404" i="3"/>
  <c r="F395" i="3"/>
  <c r="C386" i="3"/>
  <c r="A377" i="3"/>
  <c r="C367" i="3"/>
  <c r="A358" i="3"/>
  <c r="B348" i="3"/>
  <c r="F338" i="3"/>
  <c r="F328" i="3"/>
  <c r="G318" i="3"/>
  <c r="C470" i="3"/>
  <c r="C450" i="3"/>
  <c r="F440" i="3"/>
  <c r="D431" i="3"/>
  <c r="B422" i="3"/>
  <c r="F412" i="3"/>
  <c r="E403" i="3"/>
  <c r="C394" i="3"/>
  <c r="A385" i="3"/>
  <c r="D375" i="3"/>
  <c r="A366" i="3"/>
  <c r="D356" i="3"/>
  <c r="G346" i="3"/>
  <c r="C337" i="3"/>
  <c r="C327" i="3"/>
  <c r="E536" i="3"/>
  <c r="F460" i="3"/>
  <c r="A449" i="3"/>
  <c r="D439" i="3"/>
  <c r="B430" i="3"/>
  <c r="G420" i="3"/>
  <c r="D411" i="3"/>
  <c r="C402" i="3"/>
  <c r="A393" i="3"/>
  <c r="F383" i="3"/>
  <c r="B374" i="3"/>
  <c r="F364" i="3"/>
  <c r="B355" i="3"/>
  <c r="E345" i="3"/>
  <c r="C487" i="3"/>
  <c r="D452" i="3"/>
  <c r="F442" i="3"/>
  <c r="D433" i="3"/>
  <c r="C424" i="3"/>
  <c r="F414" i="3"/>
  <c r="E405" i="3"/>
  <c r="D396" i="3"/>
  <c r="B387" i="3"/>
  <c r="F377" i="3"/>
  <c r="A368" i="3"/>
  <c r="F358" i="3"/>
  <c r="B534" i="3"/>
  <c r="C460" i="3"/>
  <c r="F448" i="3"/>
  <c r="B439" i="3"/>
  <c r="G429" i="3"/>
  <c r="E420" i="3"/>
  <c r="B411" i="3"/>
  <c r="A402" i="3"/>
  <c r="F392" i="3"/>
  <c r="D383" i="3"/>
  <c r="G373" i="3"/>
  <c r="D364" i="3"/>
  <c r="G354" i="3"/>
  <c r="C523" i="3"/>
  <c r="D457" i="3"/>
  <c r="C447" i="3"/>
  <c r="G437" i="3"/>
  <c r="E428" i="3"/>
  <c r="A419" i="3"/>
  <c r="G409" i="3"/>
  <c r="F400" i="3"/>
  <c r="C767" i="3"/>
  <c r="G767" i="3"/>
  <c r="C592" i="3"/>
  <c r="F514" i="3"/>
  <c r="A591" i="3"/>
  <c r="C513" i="3"/>
  <c r="A584" i="3"/>
  <c r="A506" i="3"/>
  <c r="G577" i="3"/>
  <c r="B500" i="3"/>
  <c r="E576" i="3"/>
  <c r="F498" i="3"/>
  <c r="E570" i="3"/>
  <c r="B492" i="3"/>
  <c r="A568" i="3"/>
  <c r="E518" i="3"/>
  <c r="F496" i="3"/>
  <c r="D480" i="3"/>
  <c r="A468" i="3"/>
  <c r="D605" i="3"/>
  <c r="F594" i="3"/>
  <c r="E585" i="3"/>
  <c r="B576" i="3"/>
  <c r="D566" i="3"/>
  <c r="F556" i="3"/>
  <c r="A547" i="3"/>
  <c r="A511" i="3"/>
  <c r="E455" i="3"/>
  <c r="F445" i="3"/>
  <c r="D436" i="3"/>
  <c r="B427" i="3"/>
  <c r="E417" i="3"/>
  <c r="D408" i="3"/>
  <c r="C399" i="3"/>
  <c r="A390" i="3"/>
  <c r="F380" i="3"/>
  <c r="B371" i="3"/>
  <c r="F361" i="3"/>
  <c r="B352" i="3"/>
  <c r="D342" i="3"/>
  <c r="G332" i="3"/>
  <c r="G322" i="3"/>
  <c r="F471" i="3"/>
  <c r="D450" i="3"/>
  <c r="G440" i="3"/>
  <c r="E431" i="3"/>
  <c r="C422" i="3"/>
  <c r="G412" i="3"/>
  <c r="F403" i="3"/>
  <c r="D394" i="3"/>
  <c r="B385" i="3"/>
  <c r="E375" i="3"/>
  <c r="B366" i="3"/>
  <c r="E356" i="3"/>
  <c r="A347" i="3"/>
  <c r="D337" i="3"/>
  <c r="D327" i="3"/>
  <c r="A538" i="3"/>
  <c r="E461" i="3"/>
  <c r="B449" i="3"/>
  <c r="E439" i="3"/>
  <c r="C430" i="3"/>
  <c r="A421" i="3"/>
  <c r="E411" i="3"/>
  <c r="D402" i="3"/>
  <c r="B393" i="3"/>
  <c r="G383" i="3"/>
  <c r="C374" i="3"/>
  <c r="G364" i="3"/>
  <c r="C355" i="3"/>
  <c r="F345" i="3"/>
  <c r="B336" i="3"/>
  <c r="A326" i="3"/>
  <c r="F526" i="3"/>
  <c r="B458" i="3"/>
  <c r="G447" i="3"/>
  <c r="C438" i="3"/>
  <c r="A429" i="3"/>
  <c r="D419" i="3"/>
  <c r="C410" i="3"/>
  <c r="B401" i="3"/>
  <c r="G391" i="3"/>
  <c r="E382" i="3"/>
  <c r="A373" i="3"/>
  <c r="E363" i="3"/>
  <c r="A354" i="3"/>
  <c r="D344" i="3"/>
  <c r="F477" i="3"/>
  <c r="B451" i="3"/>
  <c r="E441" i="3"/>
  <c r="C432" i="3"/>
  <c r="B423" i="3"/>
  <c r="E413" i="3"/>
  <c r="D404" i="3"/>
  <c r="C395" i="3"/>
  <c r="G385" i="3"/>
  <c r="C376" i="3"/>
  <c r="G366" i="3"/>
  <c r="C357" i="3"/>
  <c r="D524" i="3"/>
  <c r="F457" i="3"/>
  <c r="D447" i="3"/>
  <c r="A438" i="3"/>
  <c r="F428" i="3"/>
  <c r="B419" i="3"/>
  <c r="A410" i="3"/>
  <c r="G400" i="3"/>
  <c r="E391" i="3"/>
  <c r="C382" i="3"/>
  <c r="F372" i="3"/>
  <c r="C363" i="3"/>
  <c r="F353" i="3"/>
  <c r="E513" i="3"/>
  <c r="G455" i="3"/>
  <c r="B446" i="3"/>
  <c r="F436" i="3"/>
  <c r="E670" i="3"/>
  <c r="D713" i="3"/>
  <c r="B583" i="3"/>
  <c r="B505" i="3"/>
  <c r="F581" i="3"/>
  <c r="G503" i="3"/>
  <c r="D574" i="3"/>
  <c r="A496" i="3"/>
  <c r="D568" i="3"/>
  <c r="B490" i="3"/>
  <c r="A567" i="3"/>
  <c r="G488" i="3"/>
  <c r="F560" i="3"/>
  <c r="A483" i="3"/>
  <c r="A558" i="3"/>
  <c r="B516" i="3"/>
  <c r="B493" i="3"/>
  <c r="C479" i="3"/>
  <c r="F465" i="3"/>
  <c r="G602" i="3"/>
  <c r="E593" i="3"/>
  <c r="D584" i="3"/>
  <c r="A575" i="3"/>
  <c r="C565" i="3"/>
  <c r="E555" i="3"/>
  <c r="F545" i="3"/>
  <c r="G501" i="3"/>
  <c r="B454" i="3"/>
  <c r="D444" i="3"/>
  <c r="C435" i="3"/>
  <c r="A426" i="3"/>
  <c r="D416" i="3"/>
  <c r="C407" i="3"/>
  <c r="B398" i="3"/>
  <c r="G388" i="3"/>
  <c r="D379" i="3"/>
  <c r="F369" i="3"/>
  <c r="E360" i="3"/>
  <c r="E350" i="3"/>
  <c r="C341" i="3"/>
  <c r="F331" i="3"/>
  <c r="C539" i="3"/>
  <c r="G461" i="3"/>
  <c r="C449" i="3"/>
  <c r="F439" i="3"/>
  <c r="D430" i="3"/>
  <c r="B421" i="3"/>
  <c r="F411" i="3"/>
  <c r="E402" i="3"/>
  <c r="C393" i="3"/>
  <c r="A384" i="3"/>
  <c r="D374" i="3"/>
  <c r="A365" i="3"/>
  <c r="D355" i="3"/>
  <c r="G345" i="3"/>
  <c r="C336" i="3"/>
  <c r="B326" i="3"/>
  <c r="A528" i="3"/>
  <c r="E458" i="3"/>
  <c r="A448" i="3"/>
  <c r="D438" i="3"/>
  <c r="B429" i="3"/>
  <c r="E419" i="3"/>
  <c r="D410" i="3"/>
  <c r="C401" i="3"/>
  <c r="A392" i="3"/>
  <c r="F382" i="3"/>
  <c r="B373" i="3"/>
  <c r="F363" i="3"/>
  <c r="B354" i="3"/>
  <c r="E344" i="3"/>
  <c r="A335" i="3"/>
  <c r="G324" i="3"/>
  <c r="C517" i="3"/>
  <c r="C456" i="3"/>
  <c r="E446" i="3"/>
  <c r="B437" i="3"/>
  <c r="G427" i="3"/>
  <c r="C418" i="3"/>
  <c r="B409" i="3"/>
  <c r="A400" i="3"/>
  <c r="F390" i="3"/>
  <c r="D381" i="3"/>
  <c r="G371" i="3"/>
  <c r="D362" i="3"/>
  <c r="G352" i="3"/>
  <c r="C343" i="3"/>
  <c r="G467" i="3"/>
  <c r="A450" i="3"/>
  <c r="D440" i="3"/>
  <c r="B431" i="3"/>
  <c r="G421" i="3"/>
  <c r="D412" i="3"/>
  <c r="C403" i="3"/>
  <c r="A394" i="3"/>
  <c r="F384" i="3"/>
  <c r="B375" i="3"/>
  <c r="F365" i="3"/>
  <c r="B356" i="3"/>
  <c r="G514" i="3"/>
  <c r="A456" i="3"/>
  <c r="C446" i="3"/>
  <c r="G436" i="3"/>
  <c r="E427" i="3"/>
  <c r="A418" i="3"/>
  <c r="G408" i="3"/>
  <c r="C764" i="3"/>
  <c r="F681" i="3"/>
  <c r="E573" i="3"/>
  <c r="B495" i="3"/>
  <c r="C572" i="3"/>
  <c r="G493" i="3"/>
  <c r="G564" i="3"/>
  <c r="G486" i="3"/>
  <c r="D558" i="3"/>
  <c r="G480" i="3"/>
  <c r="B557" i="3"/>
  <c r="E479" i="3"/>
  <c r="A551" i="3"/>
  <c r="B473" i="3"/>
  <c r="D548" i="3"/>
  <c r="G508" i="3"/>
  <c r="F489" i="3"/>
  <c r="A478" i="3"/>
  <c r="D464" i="3"/>
  <c r="F601" i="3"/>
  <c r="D592" i="3"/>
  <c r="C583" i="3"/>
  <c r="F573" i="3"/>
  <c r="B564" i="3"/>
  <c r="C554" i="3"/>
  <c r="D544" i="3"/>
  <c r="G491" i="3"/>
  <c r="A453" i="3"/>
  <c r="C443" i="3"/>
  <c r="A434" i="3"/>
  <c r="G424" i="3"/>
  <c r="C415" i="3"/>
  <c r="B406" i="3"/>
  <c r="A397" i="3"/>
  <c r="F387" i="3"/>
  <c r="C378" i="3"/>
  <c r="E368" i="3"/>
  <c r="C359" i="3"/>
  <c r="D349" i="3"/>
  <c r="B340" i="3"/>
  <c r="B330" i="3"/>
  <c r="B529" i="3"/>
  <c r="G458" i="3"/>
  <c r="B448" i="3"/>
  <c r="E438" i="3"/>
  <c r="C429" i="3"/>
  <c r="A420" i="3"/>
  <c r="E410" i="3"/>
  <c r="D401" i="3"/>
  <c r="B392" i="3"/>
  <c r="G382" i="3"/>
  <c r="C373" i="3"/>
  <c r="G363" i="3"/>
  <c r="C354" i="3"/>
  <c r="F344" i="3"/>
  <c r="B335" i="3"/>
  <c r="A325" i="3"/>
  <c r="D518" i="3"/>
  <c r="E456" i="3"/>
  <c r="F446" i="3"/>
  <c r="C437" i="3"/>
  <c r="A428" i="3"/>
  <c r="D418" i="3"/>
  <c r="C409" i="3"/>
  <c r="B400" i="3"/>
  <c r="G390" i="3"/>
  <c r="E381" i="3"/>
  <c r="A372" i="3"/>
  <c r="E362" i="3"/>
  <c r="A353" i="3"/>
  <c r="D343" i="3"/>
  <c r="G333" i="3"/>
  <c r="F323" i="3"/>
  <c r="E507" i="3"/>
  <c r="B455" i="3"/>
  <c r="B445" i="3"/>
  <c r="A436" i="3"/>
  <c r="F426" i="3"/>
  <c r="B417" i="3"/>
  <c r="A408" i="3"/>
  <c r="G398" i="3"/>
  <c r="E389" i="3"/>
  <c r="B380" i="3"/>
  <c r="D370" i="3"/>
  <c r="C361" i="3"/>
  <c r="C351" i="3"/>
  <c r="D535" i="3"/>
  <c r="D460" i="3"/>
  <c r="G448" i="3"/>
  <c r="C439" i="3"/>
  <c r="A430" i="3"/>
  <c r="F420" i="3"/>
  <c r="C411" i="3"/>
  <c r="B402" i="3"/>
  <c r="G392" i="3"/>
  <c r="E383" i="3"/>
  <c r="A374" i="3"/>
  <c r="E364" i="3"/>
  <c r="A355" i="3"/>
  <c r="C505" i="3"/>
  <c r="F454" i="3"/>
  <c r="G444" i="3"/>
  <c r="F435" i="3"/>
  <c r="D426" i="3"/>
  <c r="G416" i="3"/>
  <c r="F407" i="3"/>
  <c r="E398" i="3"/>
  <c r="C389" i="3"/>
  <c r="G379" i="3"/>
  <c r="B370" i="3"/>
  <c r="A361" i="3"/>
  <c r="A351" i="3"/>
  <c r="B494" i="3"/>
  <c r="C453" i="3"/>
  <c r="E443" i="3"/>
  <c r="C434" i="3"/>
  <c r="B425" i="3"/>
  <c r="E415" i="3"/>
  <c r="D406" i="3"/>
  <c r="C397" i="3"/>
  <c r="A388" i="3"/>
  <c r="E378" i="3"/>
  <c r="G368" i="3"/>
  <c r="F359" i="3"/>
  <c r="F349" i="3"/>
  <c r="B512" i="3"/>
  <c r="F455" i="3"/>
  <c r="A668" i="3"/>
  <c r="C654" i="3"/>
  <c r="A564" i="3"/>
  <c r="A486" i="3"/>
  <c r="E562" i="3"/>
  <c r="F484" i="3"/>
  <c r="B555" i="3"/>
  <c r="C477" i="3"/>
  <c r="G548" i="3"/>
  <c r="B471" i="3"/>
  <c r="D547" i="3"/>
  <c r="E469" i="3"/>
  <c r="A541" i="3"/>
  <c r="D463" i="3"/>
  <c r="G545" i="3"/>
  <c r="F507" i="3"/>
  <c r="E488" i="3"/>
  <c r="C475" i="3"/>
  <c r="A462" i="3"/>
  <c r="D600" i="3"/>
  <c r="C591" i="3"/>
  <c r="A582" i="3"/>
  <c r="E572" i="3"/>
  <c r="A563" i="3"/>
  <c r="B553" i="3"/>
  <c r="B543" i="3"/>
  <c r="F482" i="3"/>
  <c r="F451" i="3"/>
  <c r="B442" i="3"/>
  <c r="G432" i="3"/>
  <c r="F423" i="3"/>
  <c r="B414" i="3"/>
  <c r="A405" i="3"/>
  <c r="G395" i="3"/>
  <c r="D386" i="3"/>
  <c r="B377" i="3"/>
  <c r="D367" i="3"/>
  <c r="B358" i="3"/>
  <c r="C348" i="3"/>
  <c r="G338" i="3"/>
  <c r="G328" i="3"/>
  <c r="F519" i="3"/>
  <c r="F456" i="3"/>
  <c r="G446" i="3"/>
  <c r="D437" i="3"/>
  <c r="B428" i="3"/>
  <c r="E418" i="3"/>
  <c r="D409" i="3"/>
  <c r="C400" i="3"/>
  <c r="A391" i="3"/>
  <c r="F381" i="3"/>
  <c r="B372" i="3"/>
  <c r="F362" i="3"/>
  <c r="B353" i="3"/>
  <c r="E343" i="3"/>
  <c r="A334" i="3"/>
  <c r="G323" i="3"/>
  <c r="F508" i="3"/>
  <c r="C455" i="3"/>
  <c r="C445" i="3"/>
  <c r="B436" i="3"/>
  <c r="G426" i="3"/>
  <c r="C417" i="3"/>
  <c r="B408" i="3"/>
  <c r="A399" i="3"/>
  <c r="F389" i="3"/>
  <c r="C380" i="3"/>
  <c r="E370" i="3"/>
  <c r="D361" i="3"/>
  <c r="D351" i="3"/>
  <c r="B342" i="3"/>
  <c r="E332" i="3"/>
  <c r="E322" i="3"/>
  <c r="B498" i="3"/>
  <c r="F453" i="3"/>
  <c r="A444" i="3"/>
  <c r="F434" i="3"/>
  <c r="E425" i="3"/>
  <c r="A416" i="3"/>
  <c r="G406" i="3"/>
  <c r="F397" i="3"/>
  <c r="D388" i="3"/>
  <c r="A379" i="3"/>
  <c r="C369" i="3"/>
  <c r="B360" i="3"/>
  <c r="B350" i="3"/>
  <c r="E525" i="3"/>
  <c r="G457" i="3"/>
  <c r="F447" i="3"/>
  <c r="B438" i="3"/>
  <c r="G428" i="3"/>
  <c r="C419" i="3"/>
  <c r="B410" i="3"/>
  <c r="A401" i="3"/>
  <c r="F391" i="3"/>
  <c r="D382" i="3"/>
  <c r="G372" i="3"/>
  <c r="D363" i="3"/>
  <c r="G353" i="3"/>
  <c r="C495" i="3"/>
  <c r="D453" i="3"/>
  <c r="F443" i="3"/>
  <c r="D434" i="3"/>
  <c r="C425" i="3"/>
  <c r="F415" i="3"/>
  <c r="E406" i="3"/>
  <c r="D397" i="3"/>
  <c r="E761" i="3"/>
  <c r="F633" i="3"/>
  <c r="B554" i="3"/>
  <c r="C476" i="3"/>
  <c r="G552" i="3"/>
  <c r="G474" i="3"/>
  <c r="C545" i="3"/>
  <c r="D467" i="3"/>
  <c r="E538" i="3"/>
  <c r="C461" i="3"/>
  <c r="B537" i="3"/>
  <c r="B608" i="3"/>
  <c r="F530" i="3"/>
  <c r="E605" i="3"/>
  <c r="B538" i="3"/>
  <c r="E506" i="3"/>
  <c r="D487" i="3"/>
  <c r="B474" i="3"/>
  <c r="G460" i="3"/>
  <c r="C599" i="3"/>
  <c r="B590" i="3"/>
  <c r="F580" i="3"/>
  <c r="D571" i="3"/>
  <c r="E561" i="3"/>
  <c r="A552" i="3"/>
  <c r="G541" i="3"/>
  <c r="G472" i="3"/>
  <c r="E450" i="3"/>
  <c r="A441" i="3"/>
  <c r="F431" i="3"/>
  <c r="D422" i="3"/>
  <c r="A413" i="3"/>
  <c r="G403" i="3"/>
  <c r="E394" i="3"/>
  <c r="C385" i="3"/>
  <c r="F375" i="3"/>
  <c r="C366" i="3"/>
  <c r="F356" i="3"/>
  <c r="B347" i="3"/>
  <c r="F337" i="3"/>
  <c r="E327" i="3"/>
  <c r="G509" i="3"/>
  <c r="D455" i="3"/>
  <c r="D445" i="3"/>
  <c r="C436" i="3"/>
  <c r="A427" i="3"/>
  <c r="D417" i="3"/>
  <c r="C408" i="3"/>
  <c r="B399" i="3"/>
  <c r="G389" i="3"/>
  <c r="E380" i="3"/>
  <c r="A371" i="3"/>
  <c r="E361" i="3"/>
  <c r="A352" i="3"/>
  <c r="C342" i="3"/>
  <c r="F332" i="3"/>
  <c r="F322" i="3"/>
  <c r="E499" i="3"/>
  <c r="G453" i="3"/>
  <c r="B444" i="3"/>
  <c r="A435" i="3"/>
  <c r="F425" i="3"/>
  <c r="B416" i="3"/>
  <c r="A407" i="3"/>
  <c r="G397" i="3"/>
  <c r="E388" i="3"/>
  <c r="B379" i="3"/>
  <c r="D369" i="3"/>
  <c r="C360" i="3"/>
  <c r="C350" i="3"/>
  <c r="A341" i="3"/>
  <c r="D331" i="3"/>
  <c r="A321" i="3"/>
  <c r="D488" i="3"/>
  <c r="E452" i="3"/>
  <c r="G442" i="3"/>
  <c r="E433" i="3"/>
  <c r="D424" i="3"/>
  <c r="G414" i="3"/>
  <c r="F405" i="3"/>
  <c r="E396" i="3"/>
  <c r="C387" i="3"/>
  <c r="G377" i="3"/>
  <c r="B368" i="3"/>
  <c r="G358" i="3"/>
  <c r="A349" i="3"/>
  <c r="A516" i="3"/>
  <c r="B456" i="3"/>
  <c r="D446" i="3"/>
  <c r="A437" i="3"/>
  <c r="F427" i="3"/>
  <c r="B418" i="3"/>
  <c r="A409" i="3"/>
  <c r="G399" i="3"/>
  <c r="E390" i="3"/>
  <c r="C381" i="3"/>
  <c r="F371" i="3"/>
  <c r="C362" i="3"/>
  <c r="F352" i="3"/>
  <c r="B486" i="3"/>
  <c r="C452" i="3"/>
  <c r="E442" i="3"/>
  <c r="C433" i="3"/>
  <c r="B424" i="3"/>
  <c r="E414" i="3"/>
  <c r="D405" i="3"/>
  <c r="C396" i="3"/>
  <c r="A387" i="3"/>
  <c r="E377" i="3"/>
  <c r="G367" i="3"/>
  <c r="E358" i="3"/>
  <c r="F348" i="3"/>
  <c r="B475" i="3"/>
  <c r="G450" i="3"/>
  <c r="C441" i="3"/>
  <c r="A432" i="3"/>
  <c r="D665" i="3"/>
  <c r="B621" i="3"/>
  <c r="C544" i="3"/>
  <c r="E466" i="3"/>
  <c r="F542" i="3"/>
  <c r="B465" i="3"/>
  <c r="A535" i="3"/>
  <c r="A606" i="3"/>
  <c r="E528" i="3"/>
  <c r="E604" i="3"/>
  <c r="B527" i="3"/>
  <c r="D598" i="3"/>
  <c r="B521" i="3"/>
  <c r="A596" i="3"/>
  <c r="E535" i="3"/>
  <c r="B503" i="3"/>
  <c r="B485" i="3"/>
  <c r="G471" i="3"/>
  <c r="E540" i="3"/>
  <c r="D393" i="3"/>
  <c r="F500" i="3"/>
  <c r="F388" i="3"/>
  <c r="E489" i="3"/>
  <c r="D387" i="3"/>
  <c r="B479" i="3"/>
  <c r="A386" i="3"/>
  <c r="G435" i="3"/>
  <c r="B361" i="3"/>
  <c r="C404" i="3"/>
  <c r="B376" i="3"/>
  <c r="G349" i="3"/>
  <c r="F444" i="3"/>
  <c r="A424" i="3"/>
  <c r="F408" i="3"/>
  <c r="A395" i="3"/>
  <c r="B382" i="3"/>
  <c r="A370" i="3"/>
  <c r="A357" i="3"/>
  <c r="A344" i="3"/>
  <c r="B457" i="3"/>
  <c r="E444" i="3"/>
  <c r="D435" i="3"/>
  <c r="B426" i="3"/>
  <c r="E416" i="3"/>
  <c r="D407" i="3"/>
  <c r="C398" i="3"/>
  <c r="A389" i="3"/>
  <c r="E379" i="3"/>
  <c r="G369" i="3"/>
  <c r="F360" i="3"/>
  <c r="F350" i="3"/>
  <c r="E341" i="3"/>
  <c r="E325" i="3"/>
  <c r="D313" i="3"/>
  <c r="C303" i="3"/>
  <c r="E292" i="3"/>
  <c r="C282" i="3"/>
  <c r="F272" i="3"/>
  <c r="D262" i="3"/>
  <c r="C252" i="3"/>
  <c r="C242" i="3"/>
  <c r="D232" i="3"/>
  <c r="G222" i="3"/>
  <c r="A212" i="3"/>
  <c r="B201" i="3"/>
  <c r="G190" i="3"/>
  <c r="E180" i="3"/>
  <c r="C339" i="3"/>
  <c r="D323" i="3"/>
  <c r="B312" i="3"/>
  <c r="E301" i="3"/>
  <c r="C291" i="3"/>
  <c r="A281" i="3"/>
  <c r="C271" i="3"/>
  <c r="B261" i="3"/>
  <c r="A251" i="3"/>
  <c r="A241" i="3"/>
  <c r="B231" i="3"/>
  <c r="D221" i="3"/>
  <c r="F210" i="3"/>
  <c r="D199" i="3"/>
  <c r="E189" i="3"/>
  <c r="B179" i="3"/>
  <c r="D335" i="3"/>
  <c r="E319" i="3"/>
  <c r="D309" i="3"/>
  <c r="E298" i="3"/>
  <c r="D288" i="3"/>
  <c r="C278" i="3"/>
  <c r="D268" i="3"/>
  <c r="C258" i="3"/>
  <c r="C248" i="3"/>
  <c r="C238" i="3"/>
  <c r="F228" i="3"/>
  <c r="D218" i="3"/>
  <c r="A208" i="3"/>
  <c r="F196" i="3"/>
  <c r="A187" i="3"/>
  <c r="D346" i="3"/>
  <c r="A329" i="3"/>
  <c r="D315" i="3"/>
  <c r="C305" i="3"/>
  <c r="A295" i="3"/>
  <c r="C284" i="3"/>
  <c r="E274" i="3"/>
  <c r="D264" i="3"/>
  <c r="E254" i="3"/>
  <c r="C244" i="3"/>
  <c r="F234" i="3"/>
  <c r="B225" i="3"/>
  <c r="A214" i="3"/>
  <c r="D203" i="3"/>
  <c r="F192" i="3"/>
  <c r="D182" i="3"/>
  <c r="D345" i="3"/>
  <c r="D328" i="3"/>
  <c r="C315" i="3"/>
  <c r="B305" i="3"/>
  <c r="G294" i="3"/>
  <c r="B284" i="3"/>
  <c r="D274" i="3"/>
  <c r="C264" i="3"/>
  <c r="D254" i="3"/>
  <c r="B244" i="3"/>
  <c r="E234" i="3"/>
  <c r="A225" i="3"/>
  <c r="D459" i="3"/>
  <c r="B463" i="3"/>
  <c r="B384" i="3"/>
  <c r="A454" i="3"/>
  <c r="C379" i="3"/>
  <c r="F452" i="3"/>
  <c r="A378" i="3"/>
  <c r="C451" i="3"/>
  <c r="D376" i="3"/>
  <c r="E426" i="3"/>
  <c r="B351" i="3"/>
  <c r="F399" i="3"/>
  <c r="E371" i="3"/>
  <c r="E347" i="3"/>
  <c r="D442" i="3"/>
  <c r="F422" i="3"/>
  <c r="E407" i="3"/>
  <c r="F393" i="3"/>
  <c r="A381" i="3"/>
  <c r="F367" i="3"/>
  <c r="G355" i="3"/>
  <c r="E531" i="3"/>
  <c r="C454" i="3"/>
  <c r="D443" i="3"/>
  <c r="B434" i="3"/>
  <c r="A425" i="3"/>
  <c r="D415" i="3"/>
  <c r="C406" i="3"/>
  <c r="B397" i="3"/>
  <c r="G387" i="3"/>
  <c r="D378" i="3"/>
  <c r="F368" i="3"/>
  <c r="D359" i="3"/>
  <c r="E349" i="3"/>
  <c r="D339" i="3"/>
  <c r="E323" i="3"/>
  <c r="C312" i="3"/>
  <c r="F301" i="3"/>
  <c r="D291" i="3"/>
  <c r="B281" i="3"/>
  <c r="D271" i="3"/>
  <c r="C261" i="3"/>
  <c r="B251" i="3"/>
  <c r="B241" i="3"/>
  <c r="C231" i="3"/>
  <c r="F221" i="3"/>
  <c r="G210" i="3"/>
  <c r="A200" i="3"/>
  <c r="F189" i="3"/>
  <c r="C179" i="3"/>
  <c r="B337" i="3"/>
  <c r="D321" i="3"/>
  <c r="A311" i="3"/>
  <c r="A300" i="3"/>
  <c r="A290" i="3"/>
  <c r="F279" i="3"/>
  <c r="A270" i="3"/>
  <c r="E259" i="3"/>
  <c r="G249" i="3"/>
  <c r="F239" i="3"/>
  <c r="A230" i="3"/>
  <c r="B220" i="3"/>
  <c r="C209" i="3"/>
  <c r="B198" i="3"/>
  <c r="C188" i="3"/>
  <c r="F177" i="3"/>
  <c r="C333" i="3"/>
  <c r="B318" i="3"/>
  <c r="B308" i="3"/>
  <c r="D297" i="3"/>
  <c r="B287" i="3"/>
  <c r="B277" i="3"/>
  <c r="C267" i="3"/>
  <c r="B257" i="3"/>
  <c r="B247" i="3"/>
  <c r="B237" i="3"/>
  <c r="E227" i="3"/>
  <c r="C217" i="3"/>
  <c r="C206" i="3"/>
  <c r="C195" i="3"/>
  <c r="F185" i="3"/>
  <c r="F342" i="3"/>
  <c r="G326" i="3"/>
  <c r="B314" i="3"/>
  <c r="A304" i="3"/>
  <c r="F293" i="3"/>
  <c r="A283" i="3"/>
  <c r="D273" i="3"/>
  <c r="B263" i="3"/>
  <c r="C253" i="3"/>
  <c r="B243" i="3"/>
  <c r="E233" i="3"/>
  <c r="F223" i="3"/>
  <c r="F212" i="3"/>
  <c r="G201" i="3"/>
  <c r="E191" i="3"/>
  <c r="C181" i="3"/>
  <c r="E342" i="3"/>
  <c r="F326" i="3"/>
  <c r="A314" i="3"/>
  <c r="G303" i="3"/>
  <c r="D293" i="3"/>
  <c r="G282" i="3"/>
  <c r="C273" i="3"/>
  <c r="A263" i="3"/>
  <c r="B253" i="3"/>
  <c r="A243" i="3"/>
  <c r="D233" i="3"/>
  <c r="D223" i="3"/>
  <c r="E212" i="3"/>
  <c r="F201" i="3"/>
  <c r="D340" i="3"/>
  <c r="D324" i="3"/>
  <c r="F312" i="3"/>
  <c r="B302" i="3"/>
  <c r="G291" i="3"/>
  <c r="E281" i="3"/>
  <c r="A272" i="3"/>
  <c r="F261" i="3"/>
  <c r="E251" i="3"/>
  <c r="E241" i="3"/>
  <c r="F231" i="3"/>
  <c r="B222" i="3"/>
  <c r="C211" i="3"/>
  <c r="D200" i="3"/>
  <c r="B190" i="3"/>
  <c r="C330" i="3"/>
  <c r="B598" i="3"/>
  <c r="D449" i="3"/>
  <c r="E374" i="3"/>
  <c r="C444" i="3"/>
  <c r="E369" i="3"/>
  <c r="A443" i="3"/>
  <c r="C368" i="3"/>
  <c r="F441" i="3"/>
  <c r="A367" i="3"/>
  <c r="A417" i="3"/>
  <c r="D476" i="3"/>
  <c r="B395" i="3"/>
  <c r="A369" i="3"/>
  <c r="B504" i="3"/>
  <c r="B440" i="3"/>
  <c r="E421" i="3"/>
  <c r="C405" i="3"/>
  <c r="D391" i="3"/>
  <c r="F379" i="3"/>
  <c r="E366" i="3"/>
  <c r="E353" i="3"/>
  <c r="B522" i="3"/>
  <c r="B453" i="3"/>
  <c r="C442" i="3"/>
  <c r="A433" i="3"/>
  <c r="G423" i="3"/>
  <c r="C414" i="3"/>
  <c r="B405" i="3"/>
  <c r="A396" i="3"/>
  <c r="F386" i="3"/>
  <c r="C377" i="3"/>
  <c r="E367" i="3"/>
  <c r="C358" i="3"/>
  <c r="D348" i="3"/>
  <c r="G337" i="3"/>
  <c r="A322" i="3"/>
  <c r="B311" i="3"/>
  <c r="B300" i="3"/>
  <c r="B290" i="3"/>
  <c r="G279" i="3"/>
  <c r="B270" i="3"/>
  <c r="F259" i="3"/>
  <c r="A250" i="3"/>
  <c r="G239" i="3"/>
  <c r="B230" i="3"/>
  <c r="C220" i="3"/>
  <c r="D209" i="3"/>
  <c r="C198" i="3"/>
  <c r="D188" i="3"/>
  <c r="A178" i="3"/>
  <c r="E335" i="3"/>
  <c r="F319" i="3"/>
  <c r="F309" i="3"/>
  <c r="F298" i="3"/>
  <c r="F288" i="3"/>
  <c r="D278" i="3"/>
  <c r="F268" i="3"/>
  <c r="D258" i="3"/>
  <c r="D248" i="3"/>
  <c r="D238" i="3"/>
  <c r="G228" i="3"/>
  <c r="E218" i="3"/>
  <c r="B208" i="3"/>
  <c r="G196" i="3"/>
  <c r="B187" i="3"/>
  <c r="A176" i="3"/>
  <c r="C331" i="3"/>
  <c r="G316" i="3"/>
  <c r="G306" i="3"/>
  <c r="C296" i="3"/>
  <c r="F285" i="3"/>
  <c r="A276" i="3"/>
  <c r="F265" i="3"/>
  <c r="A256" i="3"/>
  <c r="A246" i="3"/>
  <c r="A236" i="3"/>
  <c r="D226" i="3"/>
  <c r="B216" i="3"/>
  <c r="F204" i="3"/>
  <c r="A194" i="3"/>
  <c r="C184" i="3"/>
  <c r="F340" i="3"/>
  <c r="F324" i="3"/>
  <c r="A313" i="3"/>
  <c r="D302" i="3"/>
  <c r="B292" i="3"/>
  <c r="G281" i="3"/>
  <c r="C272" i="3"/>
  <c r="A262" i="3"/>
  <c r="G251" i="3"/>
  <c r="G241" i="3"/>
  <c r="A232" i="3"/>
  <c r="D222" i="3"/>
  <c r="E211" i="3"/>
  <c r="F200" i="3"/>
  <c r="D190" i="3"/>
  <c r="B180" i="3"/>
  <c r="E340" i="3"/>
  <c r="E324" i="3"/>
  <c r="G312" i="3"/>
  <c r="C302" i="3"/>
  <c r="A292" i="3"/>
  <c r="F281" i="3"/>
  <c r="B272" i="3"/>
  <c r="G261" i="3"/>
  <c r="F251" i="3"/>
  <c r="F241" i="3"/>
  <c r="G231" i="3"/>
  <c r="C222" i="3"/>
  <c r="D211" i="3"/>
  <c r="E200" i="3"/>
  <c r="C338" i="3"/>
  <c r="D322" i="3"/>
  <c r="E311" i="3"/>
  <c r="A301" i="3"/>
  <c r="F290" i="3"/>
  <c r="C280" i="3"/>
  <c r="F270" i="3"/>
  <c r="B260" i="3"/>
  <c r="D250" i="3"/>
  <c r="C240" i="3"/>
  <c r="E230" i="3"/>
  <c r="G220" i="3"/>
  <c r="A210" i="3"/>
  <c r="G198" i="3"/>
  <c r="A589" i="3"/>
  <c r="G439" i="3"/>
  <c r="B365" i="3"/>
  <c r="B435" i="3"/>
  <c r="D360" i="3"/>
  <c r="F433" i="3"/>
  <c r="A359" i="3"/>
  <c r="D432" i="3"/>
  <c r="D357" i="3"/>
  <c r="G407" i="3"/>
  <c r="A451" i="3"/>
  <c r="D390" i="3"/>
  <c r="F366" i="3"/>
  <c r="A485" i="3"/>
  <c r="E435" i="3"/>
  <c r="G417" i="3"/>
  <c r="B404" i="3"/>
  <c r="C390" i="3"/>
  <c r="D377" i="3"/>
  <c r="D365" i="3"/>
  <c r="D352" i="3"/>
  <c r="A503" i="3"/>
  <c r="A452" i="3"/>
  <c r="B441" i="3"/>
  <c r="G431" i="3"/>
  <c r="E422" i="3"/>
  <c r="B413" i="3"/>
  <c r="A404" i="3"/>
  <c r="F394" i="3"/>
  <c r="D385" i="3"/>
  <c r="G375" i="3"/>
  <c r="D366" i="3"/>
  <c r="G356" i="3"/>
  <c r="C347" i="3"/>
  <c r="F335" i="3"/>
  <c r="B320" i="3"/>
  <c r="G309" i="3"/>
  <c r="G298" i="3"/>
  <c r="G288" i="3"/>
  <c r="E278" i="3"/>
  <c r="A269" i="3"/>
  <c r="E258" i="3"/>
  <c r="F248" i="3"/>
  <c r="F238" i="3"/>
  <c r="A229" i="3"/>
  <c r="A219" i="3"/>
  <c r="C208" i="3"/>
  <c r="A197" i="3"/>
  <c r="C187" i="3"/>
  <c r="B176" i="3"/>
  <c r="D333" i="3"/>
  <c r="C318" i="3"/>
  <c r="C308" i="3"/>
  <c r="E297" i="3"/>
  <c r="C287" i="3"/>
  <c r="C277" i="3"/>
  <c r="D267" i="3"/>
  <c r="C257" i="3"/>
  <c r="C247" i="3"/>
  <c r="C237" i="3"/>
  <c r="F227" i="3"/>
  <c r="D217" i="3"/>
  <c r="D206" i="3"/>
  <c r="D195" i="3"/>
  <c r="G185" i="3"/>
  <c r="E346" i="3"/>
  <c r="B329" i="3"/>
  <c r="F315" i="3"/>
  <c r="D305" i="3"/>
  <c r="B295" i="3"/>
  <c r="D284" i="3"/>
  <c r="F274" i="3"/>
  <c r="E579" i="3"/>
  <c r="E430" i="3"/>
  <c r="E355" i="3"/>
  <c r="G425" i="3"/>
  <c r="D350" i="3"/>
  <c r="E424" i="3"/>
  <c r="B349" i="3"/>
  <c r="C423" i="3"/>
  <c r="G347" i="3"/>
  <c r="F398" i="3"/>
  <c r="D441" i="3"/>
  <c r="B388" i="3"/>
  <c r="B362" i="3"/>
  <c r="E465" i="3"/>
  <c r="B433" i="3"/>
  <c r="F416" i="3"/>
  <c r="A403" i="3"/>
  <c r="B389" i="3"/>
  <c r="A376" i="3"/>
  <c r="B363" i="3"/>
  <c r="G350" i="3"/>
  <c r="A493" i="3"/>
  <c r="E449" i="3"/>
  <c r="A440" i="3"/>
  <c r="F430" i="3"/>
  <c r="D421" i="3"/>
  <c r="A412" i="3"/>
  <c r="G402" i="3"/>
  <c r="E393" i="3"/>
  <c r="C384" i="3"/>
  <c r="F374" i="3"/>
  <c r="C365" i="3"/>
  <c r="F355" i="3"/>
  <c r="B346" i="3"/>
  <c r="F333" i="3"/>
  <c r="D318" i="3"/>
  <c r="D308" i="3"/>
  <c r="F297" i="3"/>
  <c r="D287" i="3"/>
  <c r="D277" i="3"/>
  <c r="E267" i="3"/>
  <c r="D257" i="3"/>
  <c r="D247" i="3"/>
  <c r="D237" i="3"/>
  <c r="G227" i="3"/>
  <c r="E217" i="3"/>
  <c r="A207" i="3"/>
  <c r="F195" i="3"/>
  <c r="A186" i="3"/>
  <c r="F174" i="3"/>
  <c r="G331" i="3"/>
  <c r="A317" i="3"/>
  <c r="A307" i="3"/>
  <c r="D296" i="3"/>
  <c r="G285" i="3"/>
  <c r="B276" i="3"/>
  <c r="G265" i="3"/>
  <c r="B256" i="3"/>
  <c r="B246" i="3"/>
  <c r="B236" i="3"/>
  <c r="E226" i="3"/>
  <c r="C216" i="3"/>
  <c r="G204" i="3"/>
  <c r="B194" i="3"/>
  <c r="D184" i="3"/>
  <c r="A343" i="3"/>
  <c r="A327" i="3"/>
  <c r="C314" i="3"/>
  <c r="B304" i="3"/>
  <c r="G293" i="3"/>
  <c r="B283" i="3"/>
  <c r="E273" i="3"/>
  <c r="C263" i="3"/>
  <c r="D253" i="3"/>
  <c r="C243" i="3"/>
  <c r="F233" i="3"/>
  <c r="G223" i="3"/>
  <c r="G212" i="3"/>
  <c r="A202" i="3"/>
  <c r="F191" i="3"/>
  <c r="D181" i="3"/>
  <c r="G336" i="3"/>
  <c r="G320" i="3"/>
  <c r="F310" i="3"/>
  <c r="F299" i="3"/>
  <c r="F289" i="3"/>
  <c r="D279" i="3"/>
  <c r="F269" i="3"/>
  <c r="C259" i="3"/>
  <c r="E249" i="3"/>
  <c r="D239" i="3"/>
  <c r="F229" i="3"/>
  <c r="C570" i="3"/>
  <c r="C421" i="3"/>
  <c r="A346" i="3"/>
  <c r="C416" i="3"/>
  <c r="B341" i="3"/>
  <c r="A415" i="3"/>
  <c r="G339" i="3"/>
  <c r="F413" i="3"/>
  <c r="D506" i="3"/>
  <c r="D389" i="3"/>
  <c r="B432" i="3"/>
  <c r="F385" i="3"/>
  <c r="G359" i="3"/>
  <c r="E454" i="3"/>
  <c r="G430" i="3"/>
  <c r="D414" i="3"/>
  <c r="E399" i="3"/>
  <c r="G386" i="3"/>
  <c r="G374" i="3"/>
  <c r="A362" i="3"/>
  <c r="E348" i="3"/>
  <c r="G483" i="3"/>
  <c r="D448" i="3"/>
  <c r="G438" i="3"/>
  <c r="E429" i="3"/>
  <c r="C420" i="3"/>
  <c r="G410" i="3"/>
  <c r="F401" i="3"/>
  <c r="D392" i="3"/>
  <c r="B383" i="3"/>
  <c r="E373" i="3"/>
  <c r="B364" i="3"/>
  <c r="E354" i="3"/>
  <c r="A345" i="3"/>
  <c r="A332" i="3"/>
  <c r="B317" i="3"/>
  <c r="B307" i="3"/>
  <c r="E296" i="3"/>
  <c r="A286" i="3"/>
  <c r="C276" i="3"/>
  <c r="A266" i="3"/>
  <c r="C256" i="3"/>
  <c r="C246" i="3"/>
  <c r="C236" i="3"/>
  <c r="F226" i="3"/>
  <c r="D216" i="3"/>
  <c r="A205" i="3"/>
  <c r="C194" i="3"/>
  <c r="F184" i="3"/>
  <c r="F347" i="3"/>
  <c r="C329" i="3"/>
  <c r="G315" i="3"/>
  <c r="F305" i="3"/>
  <c r="C295" i="3"/>
  <c r="E284" i="3"/>
  <c r="A275" i="3"/>
  <c r="F264" i="3"/>
  <c r="G254" i="3"/>
  <c r="A245" i="3"/>
  <c r="A235" i="3"/>
  <c r="D225" i="3"/>
  <c r="C214" i="3"/>
  <c r="F203" i="3"/>
  <c r="A193" i="3"/>
  <c r="B183" i="3"/>
  <c r="G340" i="3"/>
  <c r="C325" i="3"/>
  <c r="B313" i="3"/>
  <c r="A303" i="3"/>
  <c r="C292" i="3"/>
  <c r="A282" i="3"/>
  <c r="D272" i="3"/>
  <c r="B262" i="3"/>
  <c r="A252" i="3"/>
  <c r="A242" i="3"/>
  <c r="B232" i="3"/>
  <c r="E222" i="3"/>
  <c r="F211" i="3"/>
  <c r="G200" i="3"/>
  <c r="E190" i="3"/>
  <c r="C180" i="3"/>
  <c r="G334" i="3"/>
  <c r="D319" i="3"/>
  <c r="C309" i="3"/>
  <c r="D298" i="3"/>
  <c r="C288" i="3"/>
  <c r="B278" i="3"/>
  <c r="C268" i="3"/>
  <c r="B258" i="3"/>
  <c r="B248" i="3"/>
  <c r="B238" i="3"/>
  <c r="E228" i="3"/>
  <c r="C218" i="3"/>
  <c r="G207" i="3"/>
  <c r="D196" i="3"/>
  <c r="G186" i="3"/>
  <c r="F175" i="3"/>
  <c r="F334" i="3"/>
  <c r="C319" i="3"/>
  <c r="B309" i="3"/>
  <c r="C298" i="3"/>
  <c r="B288" i="3"/>
  <c r="A278" i="3"/>
  <c r="B268" i="3"/>
  <c r="A258" i="3"/>
  <c r="A248" i="3"/>
  <c r="A238" i="3"/>
  <c r="D228" i="3"/>
  <c r="B218" i="3"/>
  <c r="F207" i="3"/>
  <c r="C196" i="3"/>
  <c r="D332" i="3"/>
  <c r="F317" i="3"/>
  <c r="F307" i="3"/>
  <c r="A297" i="3"/>
  <c r="D286" i="3"/>
  <c r="F276" i="3"/>
  <c r="D266" i="3"/>
  <c r="F256" i="3"/>
  <c r="F246" i="3"/>
  <c r="F236" i="3"/>
  <c r="B227" i="3"/>
  <c r="G216" i="3"/>
  <c r="D205" i="3"/>
  <c r="G194" i="3"/>
  <c r="B338" i="3"/>
  <c r="C322" i="3"/>
  <c r="D560" i="3"/>
  <c r="G411" i="3"/>
  <c r="D336" i="3"/>
  <c r="B407" i="3"/>
  <c r="E331" i="3"/>
  <c r="G405" i="3"/>
  <c r="G329" i="3"/>
  <c r="E404" i="3"/>
  <c r="A455" i="3"/>
  <c r="A380" i="3"/>
  <c r="A423" i="3"/>
  <c r="B381" i="3"/>
  <c r="B357" i="3"/>
  <c r="B452" i="3"/>
  <c r="D427" i="3"/>
  <c r="C413" i="3"/>
  <c r="D398" i="3"/>
  <c r="E385" i="3"/>
  <c r="E372" i="3"/>
  <c r="G360" i="3"/>
  <c r="D347" i="3"/>
  <c r="C464" i="3"/>
  <c r="B447" i="3"/>
  <c r="F437" i="3"/>
  <c r="D428" i="3"/>
  <c r="G418" i="3"/>
  <c r="F409" i="3"/>
  <c r="E400" i="3"/>
  <c r="C391" i="3"/>
  <c r="A382" i="3"/>
  <c r="D372" i="3"/>
  <c r="A363" i="3"/>
  <c r="D353" i="3"/>
  <c r="G348" i="3"/>
  <c r="D329" i="3"/>
  <c r="A316" i="3"/>
  <c r="G305" i="3"/>
  <c r="D295" i="3"/>
  <c r="F284" i="3"/>
  <c r="B275" i="3"/>
  <c r="G264" i="3"/>
  <c r="A255" i="3"/>
  <c r="B245" i="3"/>
  <c r="B235" i="3"/>
  <c r="E225" i="3"/>
  <c r="D214" i="3"/>
  <c r="G203" i="3"/>
  <c r="B193" i="3"/>
  <c r="C183" i="3"/>
  <c r="B343" i="3"/>
  <c r="B327" i="3"/>
  <c r="D314" i="3"/>
  <c r="C304" i="3"/>
  <c r="A294" i="3"/>
  <c r="C283" i="3"/>
  <c r="F273" i="3"/>
  <c r="D263" i="3"/>
  <c r="E253" i="3"/>
  <c r="D243" i="3"/>
  <c r="G233" i="3"/>
  <c r="A224" i="3"/>
  <c r="A213" i="3"/>
  <c r="B202" i="3"/>
  <c r="G191" i="3"/>
  <c r="E181" i="3"/>
  <c r="B339" i="3"/>
  <c r="C323" i="3"/>
  <c r="A312" i="3"/>
  <c r="D301" i="3"/>
  <c r="B291" i="3"/>
  <c r="G280" i="3"/>
  <c r="B271" i="3"/>
  <c r="A261" i="3"/>
  <c r="G250" i="3"/>
  <c r="G240" i="3"/>
  <c r="A231" i="3"/>
  <c r="C221" i="3"/>
  <c r="D210" i="3"/>
  <c r="C199" i="3"/>
  <c r="D189" i="3"/>
  <c r="A179" i="3"/>
  <c r="B333" i="3"/>
  <c r="A318" i="3"/>
  <c r="A308" i="3"/>
  <c r="C297" i="3"/>
  <c r="A287" i="3"/>
  <c r="A277" i="3"/>
  <c r="B267" i="3"/>
  <c r="A257" i="3"/>
  <c r="A247" i="3"/>
  <c r="A237" i="3"/>
  <c r="D227" i="3"/>
  <c r="B217" i="3"/>
  <c r="B206" i="3"/>
  <c r="B195" i="3"/>
  <c r="D185" i="3"/>
  <c r="B174" i="3"/>
  <c r="A333" i="3"/>
  <c r="G317" i="3"/>
  <c r="G307" i="3"/>
  <c r="B297" i="3"/>
  <c r="F286" i="3"/>
  <c r="G276" i="3"/>
  <c r="A267" i="3"/>
  <c r="G256" i="3"/>
  <c r="G246" i="3"/>
  <c r="G236" i="3"/>
  <c r="C227" i="3"/>
  <c r="A217" i="3"/>
  <c r="A206" i="3"/>
  <c r="A195" i="3"/>
  <c r="D330" i="3"/>
  <c r="D316" i="3"/>
  <c r="C306" i="3"/>
  <c r="G295" i="3"/>
  <c r="B285" i="3"/>
  <c r="E275" i="3"/>
  <c r="C265" i="3"/>
  <c r="D255" i="3"/>
  <c r="E245" i="3"/>
  <c r="E235" i="3"/>
  <c r="A226" i="3"/>
  <c r="C215" i="3"/>
  <c r="C204" i="3"/>
  <c r="E193" i="3"/>
  <c r="A336" i="3"/>
  <c r="E550" i="3"/>
  <c r="A445" i="3"/>
  <c r="B396" i="3"/>
  <c r="C427" i="3"/>
  <c r="C352" i="3"/>
  <c r="F263" i="3"/>
  <c r="F181" i="3"/>
  <c r="C262" i="3"/>
  <c r="D180" i="3"/>
  <c r="E264" i="3"/>
  <c r="C225" i="3"/>
  <c r="A183" i="3"/>
  <c r="C301" i="3"/>
  <c r="D260" i="3"/>
  <c r="B221" i="3"/>
  <c r="G193" i="3"/>
  <c r="F336" i="3"/>
  <c r="B301" i="3"/>
  <c r="F275" i="3"/>
  <c r="D249" i="3"/>
  <c r="A221" i="3"/>
  <c r="A199" i="3"/>
  <c r="E320" i="3"/>
  <c r="C299" i="3"/>
  <c r="B279" i="3"/>
  <c r="A259" i="3"/>
  <c r="B239" i="3"/>
  <c r="D219" i="3"/>
  <c r="D197" i="3"/>
  <c r="C332" i="3"/>
  <c r="A315" i="3"/>
  <c r="G304" i="3"/>
  <c r="D294" i="3"/>
  <c r="F283" i="3"/>
  <c r="B274" i="3"/>
  <c r="A264" i="3"/>
  <c r="B254" i="3"/>
  <c r="G243" i="3"/>
  <c r="C234" i="3"/>
  <c r="D224" i="3"/>
  <c r="D213" i="3"/>
  <c r="A203" i="3"/>
  <c r="C192" i="3"/>
  <c r="A182" i="3"/>
  <c r="A328" i="3"/>
  <c r="F243" i="3"/>
  <c r="G181" i="3"/>
  <c r="F166" i="3"/>
  <c r="D156" i="3"/>
  <c r="G145" i="3"/>
  <c r="D134" i="3"/>
  <c r="E124" i="3"/>
  <c r="A114" i="3"/>
  <c r="A103" i="3"/>
  <c r="G91" i="3"/>
  <c r="D81" i="3"/>
  <c r="C71" i="3"/>
  <c r="F59" i="3"/>
  <c r="A49" i="3"/>
  <c r="D38" i="3"/>
  <c r="D282" i="3"/>
  <c r="C201" i="3"/>
  <c r="C171" i="3"/>
  <c r="C161" i="3"/>
  <c r="B151" i="3"/>
  <c r="C140" i="3"/>
  <c r="C129" i="3"/>
  <c r="G118" i="3"/>
  <c r="B108" i="3"/>
  <c r="G96" i="3"/>
  <c r="G86" i="3"/>
  <c r="A76" i="3"/>
  <c r="D65" i="3"/>
  <c r="G53" i="3"/>
  <c r="D43" i="3"/>
  <c r="D32" i="3"/>
  <c r="E271" i="3"/>
  <c r="B192" i="3"/>
  <c r="A170" i="3"/>
  <c r="A160" i="3"/>
  <c r="G149" i="3"/>
  <c r="C138" i="3"/>
  <c r="A128" i="3"/>
  <c r="C117" i="3"/>
  <c r="G106" i="3"/>
  <c r="C95" i="3"/>
  <c r="D85" i="3"/>
  <c r="E74" i="3"/>
  <c r="F63" i="3"/>
  <c r="D52" i="3"/>
  <c r="A42" i="3"/>
  <c r="B31" i="3"/>
  <c r="C270" i="3"/>
  <c r="D191" i="3"/>
  <c r="G169" i="3"/>
  <c r="E159" i="3"/>
  <c r="F149" i="3"/>
  <c r="B138" i="3"/>
  <c r="G127" i="3"/>
  <c r="B117" i="3"/>
  <c r="F106" i="3"/>
  <c r="B95" i="3"/>
  <c r="C85" i="3"/>
  <c r="D74" i="3"/>
  <c r="D63" i="3"/>
  <c r="C52" i="3"/>
  <c r="E41" i="3"/>
  <c r="G335" i="3"/>
  <c r="A249" i="3"/>
  <c r="G183" i="3"/>
  <c r="C167" i="3"/>
  <c r="A157" i="3"/>
  <c r="D146" i="3"/>
  <c r="C135" i="3"/>
  <c r="B125" i="3"/>
  <c r="E114" i="3"/>
  <c r="A104" i="3"/>
  <c r="D92" i="3"/>
  <c r="C82" i="3"/>
  <c r="A72" i="3"/>
  <c r="C60" i="3"/>
  <c r="F49" i="3"/>
  <c r="F402" i="3"/>
  <c r="C370" i="3"/>
  <c r="D384" i="3"/>
  <c r="F417" i="3"/>
  <c r="G343" i="3"/>
  <c r="F253" i="3"/>
  <c r="D341" i="3"/>
  <c r="B252" i="3"/>
  <c r="A337" i="3"/>
  <c r="D259" i="3"/>
  <c r="A220" i="3"/>
  <c r="D177" i="3"/>
  <c r="B296" i="3"/>
  <c r="G255" i="3"/>
  <c r="G219" i="3"/>
  <c r="C189" i="3"/>
  <c r="A331" i="3"/>
  <c r="D299" i="3"/>
  <c r="G270" i="3"/>
  <c r="F245" i="3"/>
  <c r="F219" i="3"/>
  <c r="F197" i="3"/>
  <c r="B319" i="3"/>
  <c r="B298" i="3"/>
  <c r="G277" i="3"/>
  <c r="G257" i="3"/>
  <c r="G237" i="3"/>
  <c r="A218" i="3"/>
  <c r="B196" i="3"/>
  <c r="B328" i="3"/>
  <c r="F313" i="3"/>
  <c r="E303" i="3"/>
  <c r="B293" i="3"/>
  <c r="E282" i="3"/>
  <c r="A273" i="3"/>
  <c r="F262" i="3"/>
  <c r="E252" i="3"/>
  <c r="F242" i="3"/>
  <c r="B233" i="3"/>
  <c r="B223" i="3"/>
  <c r="C212" i="3"/>
  <c r="D201" i="3"/>
  <c r="B191" i="3"/>
  <c r="G180" i="3"/>
  <c r="G314" i="3"/>
  <c r="B234" i="3"/>
  <c r="D178" i="3"/>
  <c r="B165" i="3"/>
  <c r="B155" i="3"/>
  <c r="F144" i="3"/>
  <c r="B133" i="3"/>
  <c r="C123" i="3"/>
  <c r="F112" i="3"/>
  <c r="F101" i="3"/>
  <c r="F90" i="3"/>
  <c r="C80" i="3"/>
  <c r="B70" i="3"/>
  <c r="B58" i="3"/>
  <c r="D47" i="3"/>
  <c r="B37" i="3"/>
  <c r="G272" i="3"/>
  <c r="E192" i="3"/>
  <c r="B170" i="3"/>
  <c r="B160" i="3"/>
  <c r="A150" i="3"/>
  <c r="D138" i="3"/>
  <c r="B128" i="3"/>
  <c r="D117" i="3"/>
  <c r="A107" i="3"/>
  <c r="D95" i="3"/>
  <c r="E85" i="3"/>
  <c r="F74" i="3"/>
  <c r="A64" i="3"/>
  <c r="E52" i="3"/>
  <c r="B42" i="3"/>
  <c r="C31" i="3"/>
  <c r="D261" i="3"/>
  <c r="G187" i="3"/>
  <c r="F168" i="3"/>
  <c r="D158" i="3"/>
  <c r="D148" i="3"/>
  <c r="A137" i="3"/>
  <c r="F126" i="3"/>
  <c r="B116" i="3"/>
  <c r="F105" i="3"/>
  <c r="B94" i="3"/>
  <c r="B84" i="3"/>
  <c r="D73" i="3"/>
  <c r="C62" i="3"/>
  <c r="C51" i="3"/>
  <c r="E40" i="3"/>
  <c r="G29" i="3"/>
  <c r="G259" i="3"/>
  <c r="F187" i="3"/>
  <c r="E168" i="3"/>
  <c r="C158" i="3"/>
  <c r="C148" i="3"/>
  <c r="G136" i="3"/>
  <c r="D126" i="3"/>
  <c r="A116" i="3"/>
  <c r="D105" i="3"/>
  <c r="A94" i="3"/>
  <c r="A84" i="3"/>
  <c r="C73" i="3"/>
  <c r="B62" i="3"/>
  <c r="B51" i="3"/>
  <c r="D40" i="3"/>
  <c r="C320" i="3"/>
  <c r="G238" i="3"/>
  <c r="A180" i="3"/>
  <c r="B166" i="3"/>
  <c r="G155" i="3"/>
  <c r="C145" i="3"/>
  <c r="G133" i="3"/>
  <c r="A124" i="3"/>
  <c r="C113" i="3"/>
  <c r="C326" i="3"/>
  <c r="D413" i="3"/>
  <c r="D371" i="3"/>
  <c r="E408" i="3"/>
  <c r="F327" i="3"/>
  <c r="E243" i="3"/>
  <c r="D325" i="3"/>
  <c r="B242" i="3"/>
  <c r="C321" i="3"/>
  <c r="F254" i="3"/>
  <c r="B214" i="3"/>
  <c r="A339" i="3"/>
  <c r="A291" i="3"/>
  <c r="F250" i="3"/>
  <c r="A216" i="3"/>
  <c r="A188" i="3"/>
  <c r="A323" i="3"/>
  <c r="A296" i="3"/>
  <c r="E269" i="3"/>
  <c r="D240" i="3"/>
  <c r="D215" i="3"/>
  <c r="C345" i="3"/>
  <c r="B315" i="3"/>
  <c r="F294" i="3"/>
  <c r="C274" i="3"/>
  <c r="C254" i="3"/>
  <c r="D234" i="3"/>
  <c r="F213" i="3"/>
  <c r="D192" i="3"/>
  <c r="G325" i="3"/>
  <c r="E312" i="3"/>
  <c r="A302" i="3"/>
  <c r="F291" i="3"/>
  <c r="D281" i="3"/>
  <c r="F271" i="3"/>
  <c r="E261" i="3"/>
  <c r="D251" i="3"/>
  <c r="D241" i="3"/>
  <c r="E231" i="3"/>
  <c r="A222" i="3"/>
  <c r="B211" i="3"/>
  <c r="C200" i="3"/>
  <c r="A190" i="3"/>
  <c r="F179" i="3"/>
  <c r="F304" i="3"/>
  <c r="C224" i="3"/>
  <c r="A175" i="3"/>
  <c r="G163" i="3"/>
  <c r="G153" i="3"/>
  <c r="B143" i="3"/>
  <c r="G131" i="3"/>
  <c r="F121" i="3"/>
  <c r="A111" i="3"/>
  <c r="C100" i="3"/>
  <c r="D89" i="3"/>
  <c r="A79" i="3"/>
  <c r="F68" i="3"/>
  <c r="A57" i="3"/>
  <c r="B46" i="3"/>
  <c r="F35" i="3"/>
  <c r="E262" i="3"/>
  <c r="F188" i="3"/>
  <c r="G168" i="3"/>
  <c r="F158" i="3"/>
  <c r="F148" i="3"/>
  <c r="B137" i="3"/>
  <c r="G126" i="3"/>
  <c r="C116" i="3"/>
  <c r="G105" i="3"/>
  <c r="C94" i="3"/>
  <c r="C84" i="3"/>
  <c r="E73" i="3"/>
  <c r="D62" i="3"/>
  <c r="D51" i="3"/>
  <c r="F40" i="3"/>
  <c r="F339" i="3"/>
  <c r="C251" i="3"/>
  <c r="G184" i="3"/>
  <c r="E167" i="3"/>
  <c r="C157" i="3"/>
  <c r="B147" i="3"/>
  <c r="F135" i="3"/>
  <c r="D125" i="3"/>
  <c r="G114" i="3"/>
  <c r="C104" i="3"/>
  <c r="G92" i="3"/>
  <c r="A83" i="3"/>
  <c r="C72" i="3"/>
  <c r="A61" i="3"/>
  <c r="A50" i="3"/>
  <c r="C39" i="3"/>
  <c r="A338" i="3"/>
  <c r="B250" i="3"/>
  <c r="A184" i="3"/>
  <c r="D167" i="3"/>
  <c r="B157" i="3"/>
  <c r="A147" i="3"/>
  <c r="D135" i="3"/>
  <c r="C125" i="3"/>
  <c r="F114" i="3"/>
  <c r="B104" i="3"/>
  <c r="F92" i="3"/>
  <c r="D82" i="3"/>
  <c r="B72" i="3"/>
  <c r="D60" i="3"/>
  <c r="G49" i="3"/>
  <c r="B39" i="3"/>
  <c r="A310" i="3"/>
  <c r="B229" i="3"/>
  <c r="C176" i="3"/>
  <c r="D164" i="3"/>
  <c r="D154" i="3"/>
  <c r="A144" i="3"/>
  <c r="D132" i="3"/>
  <c r="C122" i="3"/>
  <c r="A112" i="3"/>
  <c r="A101" i="3"/>
  <c r="A90" i="3"/>
  <c r="F79" i="3"/>
  <c r="D69" i="3"/>
  <c r="E57" i="3"/>
  <c r="F46" i="3"/>
  <c r="E257" i="3"/>
  <c r="F186" i="3"/>
  <c r="C168" i="3"/>
  <c r="A158" i="3"/>
  <c r="A148" i="3"/>
  <c r="A398" i="3"/>
  <c r="F378" i="3"/>
  <c r="D358" i="3"/>
  <c r="D399" i="3"/>
  <c r="F314" i="3"/>
  <c r="A234" i="3"/>
  <c r="C313" i="3"/>
  <c r="C232" i="3"/>
  <c r="G310" i="3"/>
  <c r="F249" i="3"/>
  <c r="B209" i="3"/>
  <c r="B331" i="3"/>
  <c r="D285" i="3"/>
  <c r="G245" i="3"/>
  <c r="C210" i="3"/>
  <c r="B184" i="3"/>
  <c r="F320" i="3"/>
  <c r="G290" i="3"/>
  <c r="D265" i="3"/>
  <c r="C239" i="3"/>
  <c r="G213" i="3"/>
  <c r="A342" i="3"/>
  <c r="G313" i="3"/>
  <c r="C293" i="3"/>
  <c r="B273" i="3"/>
  <c r="A253" i="3"/>
  <c r="C233" i="3"/>
  <c r="D212" i="3"/>
  <c r="C191" i="3"/>
  <c r="C324" i="3"/>
  <c r="D311" i="3"/>
  <c r="D300" i="3"/>
  <c r="D290" i="3"/>
  <c r="B280" i="3"/>
  <c r="D270" i="3"/>
  <c r="A260" i="3"/>
  <c r="C250" i="3"/>
  <c r="B240" i="3"/>
  <c r="D230" i="3"/>
  <c r="F220" i="3"/>
  <c r="G209" i="3"/>
  <c r="F198" i="3"/>
  <c r="G188" i="3"/>
  <c r="C178" i="3"/>
  <c r="C294" i="3"/>
  <c r="C213" i="3"/>
  <c r="G172" i="3"/>
  <c r="E162" i="3"/>
  <c r="F152" i="3"/>
  <c r="F141" i="3"/>
  <c r="E130" i="3"/>
  <c r="C120" i="3"/>
  <c r="G109" i="3"/>
  <c r="C98" i="3"/>
  <c r="B88" i="3"/>
  <c r="E77" i="3"/>
  <c r="C67" i="3"/>
  <c r="C55" i="3"/>
  <c r="G44" i="3"/>
  <c r="F341" i="3"/>
  <c r="D252" i="3"/>
  <c r="B185" i="3"/>
  <c r="F167" i="3"/>
  <c r="D157" i="3"/>
  <c r="C147" i="3"/>
  <c r="G135" i="3"/>
  <c r="E125" i="3"/>
  <c r="A115" i="3"/>
  <c r="D104" i="3"/>
  <c r="A93" i="3"/>
  <c r="B83" i="3"/>
  <c r="D72" i="3"/>
  <c r="B61" i="3"/>
  <c r="B50" i="3"/>
  <c r="D39" i="3"/>
  <c r="B324" i="3"/>
  <c r="C241" i="3"/>
  <c r="A181" i="3"/>
  <c r="D166" i="3"/>
  <c r="B156" i="3"/>
  <c r="E145" i="3"/>
  <c r="B134" i="3"/>
  <c r="C124" i="3"/>
  <c r="E113" i="3"/>
  <c r="F102" i="3"/>
  <c r="E91" i="3"/>
  <c r="B81" i="3"/>
  <c r="A71" i="3"/>
  <c r="C59" i="3"/>
  <c r="C48" i="3"/>
  <c r="B38" i="3"/>
  <c r="B322" i="3"/>
  <c r="A240" i="3"/>
  <c r="F180" i="3"/>
  <c r="C166" i="3"/>
  <c r="A156" i="3"/>
  <c r="D145" i="3"/>
  <c r="A134" i="3"/>
  <c r="B124" i="3"/>
  <c r="D113" i="3"/>
  <c r="E102" i="3"/>
  <c r="D91" i="3"/>
  <c r="A81" i="3"/>
  <c r="G70" i="3"/>
  <c r="B59" i="3"/>
  <c r="B48" i="3"/>
  <c r="A38" i="3"/>
  <c r="A299" i="3"/>
  <c r="B219" i="3"/>
  <c r="F173" i="3"/>
  <c r="C163" i="3"/>
  <c r="C153" i="3"/>
  <c r="C142" i="3"/>
  <c r="B131" i="3"/>
  <c r="A121" i="3"/>
  <c r="D110" i="3"/>
  <c r="C99" i="3"/>
  <c r="G88" i="3"/>
  <c r="D78" i="3"/>
  <c r="A68" i="3"/>
  <c r="A56" i="3"/>
  <c r="C334" i="3"/>
  <c r="E247" i="3"/>
  <c r="B321" i="3"/>
  <c r="E352" i="3"/>
  <c r="C346" i="3"/>
  <c r="B390" i="3"/>
  <c r="D304" i="3"/>
  <c r="B224" i="3"/>
  <c r="B303" i="3"/>
  <c r="F222" i="3"/>
  <c r="G299" i="3"/>
  <c r="D244" i="3"/>
  <c r="E203" i="3"/>
  <c r="B323" i="3"/>
  <c r="F280" i="3"/>
  <c r="F240" i="3"/>
  <c r="A209" i="3"/>
  <c r="G178" i="3"/>
  <c r="E316" i="3"/>
  <c r="D289" i="3"/>
  <c r="C260" i="3"/>
  <c r="F235" i="3"/>
  <c r="B210" i="3"/>
  <c r="E336" i="3"/>
  <c r="C310" i="3"/>
  <c r="C289" i="3"/>
  <c r="D269" i="3"/>
  <c r="C249" i="3"/>
  <c r="D229" i="3"/>
  <c r="F208" i="3"/>
  <c r="C344" i="3"/>
  <c r="D320" i="3"/>
  <c r="B310" i="3"/>
  <c r="B299" i="3"/>
  <c r="B289" i="3"/>
  <c r="A279" i="3"/>
  <c r="C269" i="3"/>
  <c r="G258" i="3"/>
  <c r="B249" i="3"/>
  <c r="A239" i="3"/>
  <c r="C229" i="3"/>
  <c r="C219" i="3"/>
  <c r="E208" i="3"/>
  <c r="C197" i="3"/>
  <c r="E187" i="3"/>
  <c r="D176" i="3"/>
  <c r="E283" i="3"/>
  <c r="D202" i="3"/>
  <c r="D171" i="3"/>
  <c r="D161" i="3"/>
  <c r="C151" i="3"/>
  <c r="D140" i="3"/>
  <c r="D129" i="3"/>
  <c r="A119" i="3"/>
  <c r="C108" i="3"/>
  <c r="A97" i="3"/>
  <c r="A87" i="3"/>
  <c r="B76" i="3"/>
  <c r="F65" i="3"/>
  <c r="A54" i="3"/>
  <c r="E43" i="3"/>
  <c r="F325" i="3"/>
  <c r="D242" i="3"/>
  <c r="B181" i="3"/>
  <c r="E166" i="3"/>
  <c r="C156" i="3"/>
  <c r="F145" i="3"/>
  <c r="C134" i="3"/>
  <c r="D124" i="3"/>
  <c r="F113" i="3"/>
  <c r="G102" i="3"/>
  <c r="F91" i="3"/>
  <c r="C81" i="3"/>
  <c r="B71" i="3"/>
  <c r="D59" i="3"/>
  <c r="D48" i="3"/>
  <c r="C38" i="3"/>
  <c r="D312" i="3"/>
  <c r="D231" i="3"/>
  <c r="B177" i="3"/>
  <c r="G164" i="3"/>
  <c r="G154" i="3"/>
  <c r="C144" i="3"/>
  <c r="G132" i="3"/>
  <c r="A123" i="3"/>
  <c r="C112" i="3"/>
  <c r="C101" i="3"/>
  <c r="C90" i="3"/>
  <c r="A80" i="3"/>
  <c r="F69" i="3"/>
  <c r="G57" i="3"/>
  <c r="B47" i="3"/>
  <c r="F36" i="3"/>
  <c r="C311" i="3"/>
  <c r="C230" i="3"/>
  <c r="A177" i="3"/>
  <c r="F164" i="3"/>
  <c r="F154" i="3"/>
  <c r="B144" i="3"/>
  <c r="F132" i="3"/>
  <c r="D122" i="3"/>
  <c r="B112" i="3"/>
  <c r="B101" i="3"/>
  <c r="B90" i="3"/>
  <c r="G79" i="3"/>
  <c r="E69" i="3"/>
  <c r="F57" i="3"/>
  <c r="A47" i="3"/>
  <c r="D36" i="3"/>
  <c r="A289" i="3"/>
  <c r="D208" i="3"/>
  <c r="A172" i="3"/>
  <c r="A162" i="3"/>
  <c r="A152" i="3"/>
  <c r="B141" i="3"/>
  <c r="A130" i="3"/>
  <c r="F119" i="3"/>
  <c r="B109" i="3"/>
  <c r="F97" i="3"/>
  <c r="E87" i="3"/>
  <c r="A77" i="3"/>
  <c r="D66" i="3"/>
  <c r="F54" i="3"/>
  <c r="F396" i="3"/>
  <c r="F449" i="3"/>
  <c r="C459" i="3"/>
  <c r="G380" i="3"/>
  <c r="B294" i="3"/>
  <c r="B213" i="3"/>
  <c r="D292" i="3"/>
  <c r="G211" i="3"/>
  <c r="G289" i="3"/>
  <c r="E239" i="3"/>
  <c r="A198" i="3"/>
  <c r="F316" i="3"/>
  <c r="G275" i="3"/>
  <c r="G235" i="3"/>
  <c r="E204" i="3"/>
  <c r="C177" i="3"/>
  <c r="F311" i="3"/>
  <c r="C285" i="3"/>
  <c r="B259" i="3"/>
  <c r="F230" i="3"/>
  <c r="G208" i="3"/>
  <c r="E334" i="3"/>
  <c r="A309" i="3"/>
  <c r="A288" i="3"/>
  <c r="A268" i="3"/>
  <c r="G247" i="3"/>
  <c r="C228" i="3"/>
  <c r="D207" i="3"/>
  <c r="G341" i="3"/>
  <c r="A319" i="3"/>
  <c r="F308" i="3"/>
  <c r="A298" i="3"/>
  <c r="G287" i="3"/>
  <c r="F277" i="3"/>
  <c r="G267" i="3"/>
  <c r="F257" i="3"/>
  <c r="F247" i="3"/>
  <c r="F237" i="3"/>
  <c r="B228" i="3"/>
  <c r="G217" i="3"/>
  <c r="C207" i="3"/>
  <c r="A196" i="3"/>
  <c r="C186" i="3"/>
  <c r="B175" i="3"/>
  <c r="A274" i="3"/>
  <c r="C193" i="3"/>
  <c r="C170" i="3"/>
  <c r="C160" i="3"/>
  <c r="B150" i="3"/>
  <c r="F138" i="3"/>
  <c r="C128" i="3"/>
  <c r="F117" i="3"/>
  <c r="B107" i="3"/>
  <c r="F95" i="3"/>
  <c r="F85" i="3"/>
  <c r="G74" i="3"/>
  <c r="B64" i="3"/>
  <c r="F52" i="3"/>
  <c r="C42" i="3"/>
  <c r="E313" i="3"/>
  <c r="A233" i="3"/>
  <c r="B178" i="3"/>
  <c r="A165" i="3"/>
  <c r="A155" i="3"/>
  <c r="D144" i="3"/>
  <c r="A133" i="3"/>
  <c r="B123" i="3"/>
  <c r="D112" i="3"/>
  <c r="D101" i="3"/>
  <c r="D90" i="3"/>
  <c r="B80" i="3"/>
  <c r="A70" i="3"/>
  <c r="A58" i="3"/>
  <c r="C47" i="3"/>
  <c r="A37" i="3"/>
  <c r="G301" i="3"/>
  <c r="G221" i="3"/>
  <c r="C174" i="3"/>
  <c r="E163" i="3"/>
  <c r="E153" i="3"/>
  <c r="F142" i="3"/>
  <c r="D131" i="3"/>
  <c r="C121" i="3"/>
  <c r="F110" i="3"/>
  <c r="A100" i="3"/>
  <c r="B89" i="3"/>
  <c r="F78" i="3"/>
  <c r="C68" i="3"/>
  <c r="C56" i="3"/>
  <c r="F45" i="3"/>
  <c r="C35" i="3"/>
  <c r="C300" i="3"/>
  <c r="D220" i="3"/>
  <c r="A174" i="3"/>
  <c r="D163" i="3"/>
  <c r="D153" i="3"/>
  <c r="D142" i="3"/>
  <c r="C131" i="3"/>
  <c r="B121" i="3"/>
  <c r="E110" i="3"/>
  <c r="D99" i="3"/>
  <c r="A89" i="3"/>
  <c r="E78" i="3"/>
  <c r="B68" i="3"/>
  <c r="B56" i="3"/>
  <c r="E45" i="3"/>
  <c r="B35" i="3"/>
  <c r="F278" i="3"/>
  <c r="B197" i="3"/>
  <c r="G170" i="3"/>
  <c r="G160" i="3"/>
  <c r="F150" i="3"/>
  <c r="D139" i="3"/>
  <c r="G128" i="3"/>
  <c r="C118" i="3"/>
  <c r="G319" i="3"/>
  <c r="C426" i="3"/>
  <c r="A446" i="3"/>
  <c r="C371" i="3"/>
  <c r="D283" i="3"/>
  <c r="C202" i="3"/>
  <c r="B282" i="3"/>
  <c r="A201" i="3"/>
  <c r="E279" i="3"/>
  <c r="G234" i="3"/>
  <c r="G192" i="3"/>
  <c r="G311" i="3"/>
  <c r="A271" i="3"/>
  <c r="G230" i="3"/>
  <c r="B199" i="3"/>
  <c r="F172" i="3"/>
  <c r="D310" i="3"/>
  <c r="D280" i="3"/>
  <c r="F255" i="3"/>
  <c r="E229" i="3"/>
  <c r="D204" i="3"/>
  <c r="C328" i="3"/>
  <c r="A305" i="3"/>
  <c r="A284" i="3"/>
  <c r="B264" i="3"/>
  <c r="A244" i="3"/>
  <c r="F224" i="3"/>
  <c r="B203" i="3"/>
  <c r="C340" i="3"/>
  <c r="D317" i="3"/>
  <c r="D307" i="3"/>
  <c r="G296" i="3"/>
  <c r="C286" i="3"/>
  <c r="E276" i="3"/>
  <c r="C266" i="3"/>
  <c r="E256" i="3"/>
  <c r="E246" i="3"/>
  <c r="E236" i="3"/>
  <c r="A227" i="3"/>
  <c r="F216" i="3"/>
  <c r="C205" i="3"/>
  <c r="F194" i="3"/>
  <c r="A185" i="3"/>
  <c r="D173" i="3"/>
  <c r="G263" i="3"/>
  <c r="A189" i="3"/>
  <c r="A169" i="3"/>
  <c r="G158" i="3"/>
  <c r="G148" i="3"/>
  <c r="C137" i="3"/>
  <c r="A127" i="3"/>
  <c r="D116" i="3"/>
  <c r="A106" i="3"/>
  <c r="D94" i="3"/>
  <c r="D84" i="3"/>
  <c r="F73" i="3"/>
  <c r="F62" i="3"/>
  <c r="E51" i="3"/>
  <c r="G40" i="3"/>
  <c r="D303" i="3"/>
  <c r="A223" i="3"/>
  <c r="D174" i="3"/>
  <c r="F163" i="3"/>
  <c r="F153" i="3"/>
  <c r="A143" i="3"/>
  <c r="F131" i="3"/>
  <c r="D121" i="3"/>
  <c r="G110" i="3"/>
  <c r="B100" i="3"/>
  <c r="C89" i="3"/>
  <c r="G78" i="3"/>
  <c r="D68" i="3"/>
  <c r="D56" i="3"/>
  <c r="A46" i="3"/>
  <c r="D35" i="3"/>
  <c r="E291" i="3"/>
  <c r="A211" i="3"/>
  <c r="C172" i="3"/>
  <c r="C162" i="3"/>
  <c r="C152" i="3"/>
  <c r="D141" i="3"/>
  <c r="C130" i="3"/>
  <c r="A120" i="3"/>
  <c r="D109" i="3"/>
  <c r="A98" i="3"/>
  <c r="G87" i="3"/>
  <c r="C77" i="3"/>
  <c r="A67" i="3"/>
  <c r="A55" i="3"/>
  <c r="D44" i="3"/>
  <c r="A34" i="3"/>
  <c r="C290" i="3"/>
  <c r="F209" i="3"/>
  <c r="B172" i="3"/>
  <c r="B162" i="3"/>
  <c r="B152" i="3"/>
  <c r="C141" i="3"/>
  <c r="B130" i="3"/>
  <c r="G119" i="3"/>
  <c r="C109" i="3"/>
  <c r="G97" i="3"/>
  <c r="F87" i="3"/>
  <c r="B77" i="3"/>
  <c r="E66" i="3"/>
  <c r="G54" i="3"/>
  <c r="C44" i="3"/>
  <c r="G33" i="3"/>
  <c r="B269" i="3"/>
  <c r="A191" i="3"/>
  <c r="F169" i="3"/>
  <c r="D159" i="3"/>
  <c r="D149" i="3"/>
  <c r="A138" i="3"/>
  <c r="F127" i="3"/>
  <c r="A117" i="3"/>
  <c r="E106" i="3"/>
  <c r="A95" i="3"/>
  <c r="B85" i="3"/>
  <c r="C74" i="3"/>
  <c r="C63" i="3"/>
  <c r="B52" i="3"/>
  <c r="G297" i="3"/>
  <c r="F217" i="3"/>
  <c r="C173" i="3"/>
  <c r="B163" i="3"/>
  <c r="B153" i="3"/>
  <c r="B142" i="3"/>
  <c r="D395" i="3"/>
  <c r="B412" i="3"/>
  <c r="E436" i="3"/>
  <c r="G361" i="3"/>
  <c r="G273" i="3"/>
  <c r="A192" i="3"/>
  <c r="E272" i="3"/>
  <c r="F190" i="3"/>
  <c r="G269" i="3"/>
  <c r="G229" i="3"/>
  <c r="B188" i="3"/>
  <c r="F306" i="3"/>
  <c r="E265" i="3"/>
  <c r="C226" i="3"/>
  <c r="G197" i="3"/>
  <c r="D338" i="3"/>
  <c r="D306" i="3"/>
  <c r="C279" i="3"/>
  <c r="E250" i="3"/>
  <c r="B226" i="3"/>
  <c r="C203" i="3"/>
  <c r="D326" i="3"/>
  <c r="F303" i="3"/>
  <c r="F282" i="3"/>
  <c r="G262" i="3"/>
  <c r="G242" i="3"/>
  <c r="C223" i="3"/>
  <c r="E201" i="3"/>
  <c r="D334" i="3"/>
  <c r="C316" i="3"/>
  <c r="B306" i="3"/>
  <c r="F295" i="3"/>
  <c r="A285" i="3"/>
  <c r="D275" i="3"/>
  <c r="B265" i="3"/>
  <c r="C255" i="3"/>
  <c r="D245" i="3"/>
  <c r="D235" i="3"/>
  <c r="G225" i="3"/>
  <c r="B215" i="3"/>
  <c r="B204" i="3"/>
  <c r="D193" i="3"/>
  <c r="F183" i="3"/>
  <c r="B344" i="3"/>
  <c r="A254" i="3"/>
  <c r="C185" i="3"/>
  <c r="G167" i="3"/>
  <c r="E157" i="3"/>
  <c r="D147" i="3"/>
  <c r="A136" i="3"/>
  <c r="F125" i="3"/>
  <c r="B115" i="3"/>
  <c r="F104" i="3"/>
  <c r="B93" i="3"/>
  <c r="C83" i="3"/>
  <c r="E72" i="3"/>
  <c r="C61" i="3"/>
  <c r="C50" i="3"/>
  <c r="F39" i="3"/>
  <c r="A293" i="3"/>
  <c r="B212" i="3"/>
  <c r="D172" i="3"/>
  <c r="D162" i="3"/>
  <c r="D152" i="3"/>
  <c r="E141" i="3"/>
  <c r="D130" i="3"/>
  <c r="B120" i="3"/>
  <c r="F109" i="3"/>
  <c r="B98" i="3"/>
  <c r="A88" i="3"/>
  <c r="D77" i="3"/>
  <c r="B67" i="3"/>
  <c r="B55" i="3"/>
  <c r="F44" i="3"/>
  <c r="B34" i="3"/>
  <c r="C281" i="3"/>
  <c r="B200" i="3"/>
  <c r="B171" i="3"/>
  <c r="B161" i="3"/>
  <c r="A151" i="3"/>
  <c r="B140" i="3"/>
  <c r="B129" i="3"/>
  <c r="F118" i="3"/>
  <c r="A108" i="3"/>
  <c r="F96" i="3"/>
  <c r="F86" i="3"/>
  <c r="G75" i="3"/>
  <c r="C65" i="3"/>
  <c r="F53" i="3"/>
  <c r="C43" i="3"/>
  <c r="C32" i="3"/>
  <c r="A280" i="3"/>
  <c r="D198" i="3"/>
  <c r="A171" i="3"/>
  <c r="A161" i="3"/>
  <c r="G150" i="3"/>
  <c r="A140" i="3"/>
  <c r="A129" i="3"/>
  <c r="D118" i="3"/>
  <c r="G107" i="3"/>
  <c r="D96" i="3"/>
  <c r="D86" i="3"/>
  <c r="F75" i="3"/>
  <c r="B65" i="3"/>
  <c r="D53" i="3"/>
  <c r="B43" i="3"/>
  <c r="B32" i="3"/>
  <c r="F258" i="3"/>
  <c r="D187" i="3"/>
  <c r="D168" i="3"/>
  <c r="B158" i="3"/>
  <c r="B148" i="3"/>
  <c r="F136" i="3"/>
  <c r="C126" i="3"/>
  <c r="G115" i="3"/>
  <c r="C105" i="3"/>
  <c r="F93" i="3"/>
  <c r="G83" i="3"/>
  <c r="B73" i="3"/>
  <c r="A62" i="3"/>
  <c r="A51" i="3"/>
  <c r="F287" i="3"/>
  <c r="F107" i="3"/>
  <c r="A65" i="3"/>
  <c r="E237" i="3"/>
  <c r="G171" i="3"/>
  <c r="C159" i="3"/>
  <c r="B145" i="3"/>
  <c r="C132" i="3"/>
  <c r="B122" i="3"/>
  <c r="D111" i="3"/>
  <c r="G100" i="3"/>
  <c r="G89" i="3"/>
  <c r="D79" i="3"/>
  <c r="C69" i="3"/>
  <c r="D57" i="3"/>
  <c r="E46" i="3"/>
  <c r="B36" i="3"/>
  <c r="D256" i="3"/>
  <c r="D186" i="3"/>
  <c r="B168" i="3"/>
  <c r="G157" i="3"/>
  <c r="G147" i="3"/>
  <c r="C136" i="3"/>
  <c r="A126" i="3"/>
  <c r="D115" i="3"/>
  <c r="A105" i="3"/>
  <c r="D93" i="3"/>
  <c r="E83" i="3"/>
  <c r="G72" i="3"/>
  <c r="F61" i="3"/>
  <c r="F50" i="3"/>
  <c r="A40" i="3"/>
  <c r="B29" i="3"/>
  <c r="F124" i="3"/>
  <c r="D42" i="3"/>
  <c r="C23" i="3"/>
  <c r="E12" i="3"/>
  <c r="F1" i="3"/>
  <c r="D123" i="3"/>
  <c r="D41" i="3"/>
  <c r="B23" i="3"/>
  <c r="D12" i="3"/>
  <c r="E1" i="3"/>
  <c r="G121" i="3"/>
  <c r="A41" i="3"/>
  <c r="A23" i="3"/>
  <c r="C12" i="3"/>
  <c r="D1" i="3"/>
  <c r="D120" i="3"/>
  <c r="C40" i="3"/>
  <c r="G22" i="3"/>
  <c r="B12" i="3"/>
  <c r="C1" i="3"/>
  <c r="B119" i="3"/>
  <c r="G39" i="3"/>
  <c r="F22" i="3"/>
  <c r="A12" i="3"/>
  <c r="B1" i="3"/>
  <c r="G117" i="3"/>
  <c r="A39" i="3"/>
  <c r="D22" i="3"/>
  <c r="G11" i="3"/>
  <c r="A1" i="3"/>
  <c r="E116" i="3"/>
  <c r="E38" i="3"/>
  <c r="C22" i="3"/>
  <c r="F11" i="3"/>
  <c r="B255" i="3"/>
  <c r="G104" i="3"/>
  <c r="F33" i="3"/>
  <c r="F20" i="3"/>
  <c r="B10" i="3"/>
  <c r="A168" i="3"/>
  <c r="C29" i="3"/>
  <c r="D29" i="3"/>
  <c r="G27" i="3"/>
  <c r="G73" i="3"/>
  <c r="D26" i="3"/>
  <c r="A25" i="3"/>
  <c r="E140" i="3"/>
  <c r="F3" i="3"/>
  <c r="A14" i="3"/>
  <c r="G1" i="3"/>
  <c r="D102" i="3"/>
  <c r="A59" i="3"/>
  <c r="A228" i="3"/>
  <c r="F170" i="3"/>
  <c r="G156" i="3"/>
  <c r="F143" i="3"/>
  <c r="A131" i="3"/>
  <c r="G120" i="3"/>
  <c r="C110" i="3"/>
  <c r="B99" i="3"/>
  <c r="F88" i="3"/>
  <c r="C78" i="3"/>
  <c r="G67" i="3"/>
  <c r="G55" i="3"/>
  <c r="C45" i="3"/>
  <c r="B332" i="3"/>
  <c r="D246" i="3"/>
  <c r="C182" i="3"/>
  <c r="A167" i="3"/>
  <c r="F156" i="3"/>
  <c r="B146" i="3"/>
  <c r="A135" i="3"/>
  <c r="G124" i="3"/>
  <c r="C114" i="3"/>
  <c r="C103" i="3"/>
  <c r="B92" i="3"/>
  <c r="A82" i="3"/>
  <c r="F71" i="3"/>
  <c r="A60" i="3"/>
  <c r="C49" i="3"/>
  <c r="F38" i="3"/>
  <c r="F329" i="3"/>
  <c r="B114" i="3"/>
  <c r="C37" i="3"/>
  <c r="A22" i="3"/>
  <c r="D11" i="3"/>
  <c r="B316" i="3"/>
  <c r="G112" i="3"/>
  <c r="C36" i="3"/>
  <c r="F21" i="3"/>
  <c r="C11" i="3"/>
  <c r="A306" i="3"/>
  <c r="B111" i="3"/>
  <c r="G35" i="3"/>
  <c r="D21" i="3"/>
  <c r="B11" i="3"/>
  <c r="E295" i="3"/>
  <c r="A110" i="3"/>
  <c r="A35" i="3"/>
  <c r="C21" i="3"/>
  <c r="A11" i="3"/>
  <c r="G284" i="3"/>
  <c r="D108" i="3"/>
  <c r="G34" i="3"/>
  <c r="B21" i="3"/>
  <c r="F10" i="3"/>
  <c r="C275" i="3"/>
  <c r="C107" i="3"/>
  <c r="D34" i="3"/>
  <c r="A21" i="3"/>
  <c r="D10" i="3"/>
  <c r="A265" i="3"/>
  <c r="B106" i="3"/>
  <c r="C34" i="3"/>
  <c r="G20" i="3"/>
  <c r="C10" i="3"/>
  <c r="B186" i="3"/>
  <c r="C93" i="3"/>
  <c r="A31" i="3"/>
  <c r="C19" i="3"/>
  <c r="F8" i="3"/>
  <c r="A9" i="3"/>
  <c r="D7" i="3"/>
  <c r="E7" i="3"/>
  <c r="D16" i="3"/>
  <c r="A28" i="3"/>
  <c r="D61" i="3"/>
  <c r="G13" i="3"/>
  <c r="D14" i="3"/>
  <c r="D3" i="3"/>
  <c r="D23" i="3"/>
  <c r="C96" i="3"/>
  <c r="C53" i="3"/>
  <c r="B207" i="3"/>
  <c r="D169" i="3"/>
  <c r="F155" i="3"/>
  <c r="A141" i="3"/>
  <c r="G129" i="3"/>
  <c r="D119" i="3"/>
  <c r="A109" i="3"/>
  <c r="D97" i="3"/>
  <c r="D87" i="3"/>
  <c r="F76" i="3"/>
  <c r="C66" i="3"/>
  <c r="D54" i="3"/>
  <c r="A44" i="3"/>
  <c r="C317" i="3"/>
  <c r="D236" i="3"/>
  <c r="D179" i="3"/>
  <c r="D165" i="3"/>
  <c r="D155" i="3"/>
  <c r="A145" i="3"/>
  <c r="D133" i="3"/>
  <c r="F123" i="3"/>
  <c r="A113" i="3"/>
  <c r="B102" i="3"/>
  <c r="A91" i="3"/>
  <c r="E80" i="3"/>
  <c r="D70" i="3"/>
  <c r="D58" i="3"/>
  <c r="F47" i="3"/>
  <c r="D37" i="3"/>
  <c r="C245" i="3"/>
  <c r="B103" i="3"/>
  <c r="D33" i="3"/>
  <c r="D20" i="3"/>
  <c r="A10" i="3"/>
  <c r="C235" i="3"/>
  <c r="A102" i="3"/>
  <c r="B33" i="3"/>
  <c r="C20" i="3"/>
  <c r="G9" i="3"/>
  <c r="F225" i="3"/>
  <c r="D100" i="3"/>
  <c r="A33" i="3"/>
  <c r="B20" i="3"/>
  <c r="F9" i="3"/>
  <c r="A215" i="3"/>
  <c r="D98" i="3"/>
  <c r="A32" i="3"/>
  <c r="A20" i="3"/>
  <c r="D9" i="3"/>
  <c r="A204" i="3"/>
  <c r="B97" i="3"/>
  <c r="G31" i="3"/>
  <c r="F19" i="3"/>
  <c r="C9" i="3"/>
  <c r="F193" i="3"/>
  <c r="G95" i="3"/>
  <c r="E31" i="3"/>
  <c r="E19" i="3"/>
  <c r="B9" i="3"/>
  <c r="B189" i="3"/>
  <c r="E94" i="3"/>
  <c r="D31" i="3"/>
  <c r="D19" i="3"/>
  <c r="D83" i="3"/>
  <c r="B18" i="3"/>
  <c r="F157" i="3"/>
  <c r="B6" i="3"/>
  <c r="F147" i="3"/>
  <c r="B15" i="3"/>
  <c r="B136" i="3"/>
  <c r="E25" i="3"/>
  <c r="B25" i="3"/>
  <c r="C91" i="3"/>
  <c r="A48" i="3"/>
  <c r="G195" i="3"/>
  <c r="B167" i="3"/>
  <c r="C154" i="3"/>
  <c r="C139" i="3"/>
  <c r="F128" i="3"/>
  <c r="B118" i="3"/>
  <c r="E107" i="3"/>
  <c r="B96" i="3"/>
  <c r="B86" i="3"/>
  <c r="C75" i="3"/>
  <c r="E64" i="3"/>
  <c r="B53" i="3"/>
  <c r="G42" i="3"/>
  <c r="C307" i="3"/>
  <c r="G226" i="3"/>
  <c r="D175" i="3"/>
  <c r="B164" i="3"/>
  <c r="B154" i="3"/>
  <c r="D143" i="3"/>
  <c r="B132" i="3"/>
  <c r="A122" i="3"/>
  <c r="C111" i="3"/>
  <c r="F100" i="3"/>
  <c r="F89" i="3"/>
  <c r="C79" i="3"/>
  <c r="B69" i="3"/>
  <c r="C57" i="3"/>
  <c r="D46" i="3"/>
  <c r="A36" i="3"/>
  <c r="B182" i="3"/>
  <c r="A92" i="3"/>
  <c r="G30" i="3"/>
  <c r="B19" i="3"/>
  <c r="E8" i="3"/>
  <c r="F178" i="3"/>
  <c r="G90" i="3"/>
  <c r="F30" i="3"/>
  <c r="A19" i="3"/>
  <c r="D8" i="3"/>
  <c r="C175" i="3"/>
  <c r="E89" i="3"/>
  <c r="C30" i="3"/>
  <c r="G18" i="3"/>
  <c r="C8" i="3"/>
  <c r="A173" i="3"/>
  <c r="C88" i="3"/>
  <c r="B30" i="3"/>
  <c r="F18" i="3"/>
  <c r="B8" i="3"/>
  <c r="E171" i="3"/>
  <c r="B87" i="3"/>
  <c r="A30" i="3"/>
  <c r="E18" i="3"/>
  <c r="A8" i="3"/>
  <c r="D170" i="3"/>
  <c r="G85" i="3"/>
  <c r="F29" i="3"/>
  <c r="D18" i="3"/>
  <c r="F7" i="3"/>
  <c r="B169" i="3"/>
  <c r="F84" i="3"/>
  <c r="C18" i="3"/>
  <c r="F72" i="3"/>
  <c r="F16" i="3"/>
  <c r="E4" i="3"/>
  <c r="D55" i="3"/>
  <c r="G52" i="3"/>
  <c r="C3" i="3"/>
  <c r="C86" i="3"/>
  <c r="E318" i="3"/>
  <c r="C190" i="3"/>
  <c r="A166" i="3"/>
  <c r="G151" i="3"/>
  <c r="G137" i="3"/>
  <c r="D127" i="3"/>
  <c r="G116" i="3"/>
  <c r="D106" i="3"/>
  <c r="G94" i="3"/>
  <c r="A85" i="3"/>
  <c r="B74" i="3"/>
  <c r="B63" i="3"/>
  <c r="A52" i="3"/>
  <c r="C41" i="3"/>
  <c r="F296" i="3"/>
  <c r="E216" i="3"/>
  <c r="B173" i="3"/>
  <c r="A163" i="3"/>
  <c r="A153" i="3"/>
  <c r="A142" i="3"/>
  <c r="G130" i="3"/>
  <c r="F120" i="3"/>
  <c r="B110" i="3"/>
  <c r="A99" i="3"/>
  <c r="D88" i="3"/>
  <c r="B78" i="3"/>
  <c r="F67" i="3"/>
  <c r="F55" i="3"/>
  <c r="B45" i="3"/>
  <c r="F34" i="3"/>
  <c r="G166" i="3"/>
  <c r="F81" i="3"/>
  <c r="A29" i="3"/>
  <c r="A18" i="3"/>
  <c r="C7" i="3"/>
  <c r="C165" i="3"/>
  <c r="D80" i="3"/>
  <c r="F28" i="3"/>
  <c r="D17" i="3"/>
  <c r="B7" i="3"/>
  <c r="A164" i="3"/>
  <c r="B79" i="3"/>
  <c r="E28" i="3"/>
  <c r="C17" i="3"/>
  <c r="A7" i="3"/>
  <c r="F162" i="3"/>
  <c r="A78" i="3"/>
  <c r="D28" i="3"/>
  <c r="B17" i="3"/>
  <c r="G6" i="3"/>
  <c r="E161" i="3"/>
  <c r="C76" i="3"/>
  <c r="C28" i="3"/>
  <c r="A17" i="3"/>
  <c r="F6" i="3"/>
  <c r="D160" i="3"/>
  <c r="A75" i="3"/>
  <c r="B28" i="3"/>
  <c r="G16" i="3"/>
  <c r="D6" i="3"/>
  <c r="A159" i="3"/>
  <c r="C6" i="3"/>
  <c r="B4" i="3"/>
  <c r="D137" i="3"/>
  <c r="G80" i="3"/>
  <c r="E308" i="3"/>
  <c r="D183" i="3"/>
  <c r="C164" i="3"/>
  <c r="E150" i="3"/>
  <c r="D136" i="3"/>
  <c r="B126" i="3"/>
  <c r="F115" i="3"/>
  <c r="B105" i="3"/>
  <c r="E93" i="3"/>
  <c r="F83" i="3"/>
  <c r="A73" i="3"/>
  <c r="G61" i="3"/>
  <c r="G50" i="3"/>
  <c r="B40" i="3"/>
  <c r="B286" i="3"/>
  <c r="B205" i="3"/>
  <c r="F171" i="3"/>
  <c r="F161" i="3"/>
  <c r="F151" i="3"/>
  <c r="F140" i="3"/>
  <c r="F129" i="3"/>
  <c r="C119" i="3"/>
  <c r="E108" i="3"/>
  <c r="C97" i="3"/>
  <c r="C87" i="3"/>
  <c r="D76" i="3"/>
  <c r="B66" i="3"/>
  <c r="C54" i="3"/>
  <c r="G43" i="3"/>
  <c r="C33" i="3"/>
  <c r="E156" i="3"/>
  <c r="D71" i="3"/>
  <c r="F27" i="3"/>
  <c r="C16" i="3"/>
  <c r="A6" i="3"/>
  <c r="C155" i="3"/>
  <c r="C70" i="3"/>
  <c r="E27" i="3"/>
  <c r="B16" i="3"/>
  <c r="E5" i="3"/>
  <c r="A154" i="3"/>
  <c r="A69" i="3"/>
  <c r="D27" i="3"/>
  <c r="A16" i="3"/>
  <c r="D5" i="3"/>
  <c r="G152" i="3"/>
  <c r="D67" i="3"/>
  <c r="C27" i="3"/>
  <c r="G15" i="3"/>
  <c r="C5" i="3"/>
  <c r="D151" i="3"/>
  <c r="A66" i="3"/>
  <c r="B27" i="3"/>
  <c r="F15" i="3"/>
  <c r="B5" i="3"/>
  <c r="C150" i="3"/>
  <c r="C64" i="3"/>
  <c r="A27" i="3"/>
  <c r="D15" i="3"/>
  <c r="A5" i="3"/>
  <c r="A149" i="3"/>
  <c r="G62" i="3"/>
  <c r="F26" i="3"/>
  <c r="C15" i="3"/>
  <c r="F4" i="3"/>
  <c r="B3" i="3"/>
  <c r="D25" i="3"/>
  <c r="A139" i="3"/>
  <c r="F51" i="3"/>
  <c r="F12" i="3"/>
  <c r="D75" i="3"/>
  <c r="E277" i="3"/>
  <c r="G179" i="3"/>
  <c r="G161" i="3"/>
  <c r="C149" i="3"/>
  <c r="B135" i="3"/>
  <c r="A125" i="3"/>
  <c r="D114" i="3"/>
  <c r="D103" i="3"/>
  <c r="C92" i="3"/>
  <c r="B82" i="3"/>
  <c r="G71" i="3"/>
  <c r="B60" i="3"/>
  <c r="D49" i="3"/>
  <c r="G38" i="3"/>
  <c r="D276" i="3"/>
  <c r="D194" i="3"/>
  <c r="E170" i="3"/>
  <c r="E160" i="3"/>
  <c r="D150" i="3"/>
  <c r="B139" i="3"/>
  <c r="E128" i="3"/>
  <c r="A118" i="3"/>
  <c r="D107" i="3"/>
  <c r="A96" i="3"/>
  <c r="A86" i="3"/>
  <c r="B75" i="3"/>
  <c r="D64" i="3"/>
  <c r="A53" i="3"/>
  <c r="F42" i="3"/>
  <c r="F31" i="3"/>
  <c r="A146" i="3"/>
  <c r="G59" i="3"/>
  <c r="C26" i="3"/>
  <c r="A15" i="3"/>
  <c r="D4" i="3"/>
  <c r="G144" i="3"/>
  <c r="C58" i="3"/>
  <c r="B26" i="3"/>
  <c r="G14" i="3"/>
  <c r="C4" i="3"/>
  <c r="C143" i="3"/>
  <c r="B57" i="3"/>
  <c r="A26" i="3"/>
  <c r="F14" i="3"/>
  <c r="G141" i="3"/>
  <c r="B54" i="3"/>
  <c r="C14" i="3"/>
  <c r="B14" i="3"/>
  <c r="A43" i="3"/>
  <c r="F70" i="3"/>
  <c r="F267" i="3"/>
  <c r="G175" i="3"/>
  <c r="F160" i="3"/>
  <c r="C146" i="3"/>
  <c r="F133" i="3"/>
  <c r="G123" i="3"/>
  <c r="B113" i="3"/>
  <c r="C102" i="3"/>
  <c r="B91" i="3"/>
  <c r="F80" i="3"/>
  <c r="E70" i="3"/>
  <c r="F58" i="3"/>
  <c r="G47" i="3"/>
  <c r="F37" i="3"/>
  <c r="B266" i="3"/>
  <c r="G189" i="3"/>
  <c r="C169" i="3"/>
  <c r="B159" i="3"/>
  <c r="B149" i="3"/>
  <c r="F137" i="3"/>
  <c r="C127" i="3"/>
  <c r="F116" i="3"/>
  <c r="C106" i="3"/>
  <c r="F94" i="3"/>
  <c r="G84" i="3"/>
  <c r="A74" i="3"/>
  <c r="A63" i="3"/>
  <c r="G51" i="3"/>
  <c r="B41" i="3"/>
  <c r="D30" i="3"/>
  <c r="E134" i="3"/>
  <c r="B49" i="3"/>
  <c r="E24" i="3"/>
  <c r="F13" i="3"/>
  <c r="A3" i="3"/>
  <c r="C133" i="3"/>
  <c r="E47" i="3"/>
  <c r="D24" i="3"/>
  <c r="E13" i="3"/>
  <c r="G2" i="3"/>
  <c r="A132" i="3"/>
  <c r="C46" i="3"/>
  <c r="C24" i="3"/>
  <c r="D13" i="3"/>
  <c r="F2" i="3"/>
  <c r="F130" i="3"/>
  <c r="D45" i="3"/>
  <c r="B24" i="3"/>
  <c r="C13" i="3"/>
  <c r="D2" i="3"/>
  <c r="E129" i="3"/>
  <c r="A45" i="3"/>
  <c r="A24" i="3"/>
  <c r="B13" i="3"/>
  <c r="C2" i="3"/>
  <c r="D128" i="3"/>
  <c r="B44" i="3"/>
  <c r="G23" i="3"/>
  <c r="A13" i="3"/>
  <c r="B2" i="3"/>
  <c r="B127" i="3"/>
  <c r="F43" i="3"/>
  <c r="F23" i="3"/>
  <c r="G12" i="3"/>
  <c r="A2" i="3"/>
  <c r="C115" i="3"/>
  <c r="G37" i="3"/>
  <c r="B22" i="3"/>
  <c r="E11" i="3"/>
  <c r="D50" i="3"/>
  <c r="A4" i="3"/>
  <c r="C25" i="3"/>
  <c r="G125" i="3"/>
  <c r="H773" i="1" l="1"/>
  <c r="H700" i="1"/>
  <c r="H768" i="1"/>
  <c r="H703" i="1"/>
  <c r="H771" i="1"/>
  <c r="B705" i="1"/>
  <c r="H758" i="1"/>
  <c r="H734" i="1"/>
  <c r="H718" i="1"/>
  <c r="B700" i="1"/>
  <c r="B776" i="1"/>
  <c r="B744" i="1"/>
  <c r="H764" i="1"/>
  <c r="H694" i="1"/>
  <c r="H751" i="1"/>
  <c r="B689" i="1"/>
  <c r="B761" i="1"/>
  <c r="H735" i="1"/>
  <c r="H719" i="1"/>
  <c r="B704" i="1"/>
  <c r="H665" i="1"/>
  <c r="H641" i="1"/>
  <c r="H661" i="1"/>
  <c r="H657" i="1"/>
  <c r="H543" i="1"/>
  <c r="H527" i="1"/>
  <c r="H511" i="1"/>
  <c r="H653" i="1"/>
  <c r="H634" i="1"/>
  <c r="B670" i="1"/>
  <c r="H618" i="1"/>
  <c r="H602" i="1"/>
  <c r="H586" i="1"/>
  <c r="H570" i="1"/>
  <c r="H673" i="1"/>
  <c r="H548" i="1"/>
  <c r="H532" i="1"/>
  <c r="H516" i="1"/>
  <c r="H569" i="1"/>
  <c r="H492" i="1"/>
  <c r="H476" i="1"/>
  <c r="H460" i="1"/>
  <c r="H444" i="1"/>
  <c r="H428" i="1"/>
  <c r="H412" i="1"/>
  <c r="H396" i="1"/>
  <c r="H380" i="1"/>
  <c r="H364" i="1"/>
  <c r="H583" i="1"/>
  <c r="H611" i="1"/>
  <c r="H561" i="1"/>
  <c r="H491" i="1"/>
  <c r="H475" i="1"/>
  <c r="H459" i="1"/>
  <c r="H443" i="1"/>
  <c r="H427" i="1"/>
  <c r="H411" i="1"/>
  <c r="H395" i="1"/>
  <c r="H379" i="1"/>
  <c r="H621" i="1"/>
  <c r="H363" i="1"/>
  <c r="H343" i="1"/>
  <c r="H327" i="1"/>
  <c r="H311" i="1"/>
  <c r="H295" i="1"/>
  <c r="H279" i="1"/>
  <c r="H263" i="1"/>
  <c r="H247" i="1"/>
  <c r="H231" i="1"/>
  <c r="H215" i="1"/>
  <c r="H199" i="1"/>
  <c r="H183" i="1"/>
  <c r="H167" i="1"/>
  <c r="H151" i="1"/>
  <c r="H135" i="1"/>
  <c r="H119" i="1"/>
  <c r="H103" i="1"/>
  <c r="H87" i="1"/>
  <c r="H619" i="1"/>
  <c r="H350" i="1"/>
  <c r="H334" i="1"/>
  <c r="H318" i="1"/>
  <c r="H302" i="1"/>
  <c r="H286" i="1"/>
  <c r="H270" i="1"/>
  <c r="H254" i="1"/>
  <c r="H238" i="1"/>
  <c r="B772" i="1"/>
  <c r="B699" i="1"/>
  <c r="B767" i="1"/>
  <c r="B702" i="1"/>
  <c r="B770" i="1"/>
  <c r="H698" i="1"/>
  <c r="B757" i="1"/>
  <c r="H732" i="1"/>
  <c r="H716" i="1"/>
  <c r="H696" i="1"/>
  <c r="H769" i="1"/>
  <c r="H704" i="1"/>
  <c r="B763" i="1"/>
  <c r="H676" i="1"/>
  <c r="B750" i="1"/>
  <c r="H685" i="1"/>
  <c r="H754" i="1"/>
  <c r="H733" i="1"/>
  <c r="H717" i="1"/>
  <c r="H697" i="1"/>
  <c r="H663" i="1"/>
  <c r="H639" i="1"/>
  <c r="H646" i="1"/>
  <c r="H642" i="1"/>
  <c r="H541" i="1"/>
  <c r="H525" i="1"/>
  <c r="H509" i="1"/>
  <c r="H651" i="1"/>
  <c r="H632" i="1"/>
  <c r="B657" i="1"/>
  <c r="H616" i="1"/>
  <c r="H600" i="1"/>
  <c r="H584" i="1"/>
  <c r="H568" i="1"/>
  <c r="H671" i="1"/>
  <c r="H546" i="1"/>
  <c r="H530" i="1"/>
  <c r="H514" i="1"/>
  <c r="H506" i="1"/>
  <c r="H490" i="1"/>
  <c r="H474" i="1"/>
  <c r="H458" i="1"/>
  <c r="H442" i="1"/>
  <c r="H426" i="1"/>
  <c r="H410" i="1"/>
  <c r="H394" i="1"/>
  <c r="H378" i="1"/>
  <c r="H362" i="1"/>
  <c r="H567" i="1"/>
  <c r="H595" i="1"/>
  <c r="H505" i="1"/>
  <c r="H489" i="1"/>
  <c r="H473" i="1"/>
  <c r="H457" i="1"/>
  <c r="H441" i="1"/>
  <c r="H425" i="1"/>
  <c r="H409" i="1"/>
  <c r="H393" i="1"/>
  <c r="H377" i="1"/>
  <c r="H605" i="1"/>
  <c r="H359" i="1"/>
  <c r="H341" i="1"/>
  <c r="H325" i="1"/>
  <c r="H309" i="1"/>
  <c r="H293" i="1"/>
  <c r="H277" i="1"/>
  <c r="H261" i="1"/>
  <c r="H245" i="1"/>
  <c r="H229" i="1"/>
  <c r="H213" i="1"/>
  <c r="H197" i="1"/>
  <c r="H181" i="1"/>
  <c r="H165" i="1"/>
  <c r="H149" i="1"/>
  <c r="H133" i="1"/>
  <c r="H117" i="1"/>
  <c r="H101" i="1"/>
  <c r="H85" i="1"/>
  <c r="H555" i="1"/>
  <c r="H348" i="1"/>
  <c r="H332" i="1"/>
  <c r="H316" i="1"/>
  <c r="H300" i="1"/>
  <c r="H284" i="1"/>
  <c r="H268" i="1"/>
  <c r="H252" i="1"/>
  <c r="H236" i="1"/>
  <c r="H765" i="1"/>
  <c r="H695" i="1"/>
  <c r="H760" i="1"/>
  <c r="B690" i="1"/>
  <c r="H763" i="1"/>
  <c r="H693" i="1"/>
  <c r="H750" i="1"/>
  <c r="H730" i="1"/>
  <c r="H714" i="1"/>
  <c r="B695" i="1"/>
  <c r="B768" i="1"/>
  <c r="B703" i="1"/>
  <c r="H756" i="1"/>
  <c r="H775" i="1"/>
  <c r="H743" i="1"/>
  <c r="B680" i="1"/>
  <c r="B753" i="1"/>
  <c r="H731" i="1"/>
  <c r="H715" i="1"/>
  <c r="B687" i="1"/>
  <c r="B660" i="1"/>
  <c r="H637" i="1"/>
  <c r="B643" i="1"/>
  <c r="B631" i="1"/>
  <c r="H539" i="1"/>
  <c r="H523" i="1"/>
  <c r="H507" i="1"/>
  <c r="H649" i="1"/>
  <c r="H660" i="1"/>
  <c r="H645" i="1"/>
  <c r="H614" i="1"/>
  <c r="H598" i="1"/>
  <c r="H582" i="1"/>
  <c r="H566" i="1"/>
  <c r="B662" i="1"/>
  <c r="H544" i="1"/>
  <c r="H528" i="1"/>
  <c r="H512" i="1"/>
  <c r="H504" i="1"/>
  <c r="H488" i="1"/>
  <c r="H472" i="1"/>
  <c r="H456" i="1"/>
  <c r="H440" i="1"/>
  <c r="H424" i="1"/>
  <c r="H408" i="1"/>
  <c r="H392" i="1"/>
  <c r="H376" i="1"/>
  <c r="H360" i="1"/>
  <c r="H659" i="1"/>
  <c r="H579" i="1"/>
  <c r="H503" i="1"/>
  <c r="H487" i="1"/>
  <c r="H471" i="1"/>
  <c r="H455" i="1"/>
  <c r="H439" i="1"/>
  <c r="H423" i="1"/>
  <c r="H407" i="1"/>
  <c r="H391" i="1"/>
  <c r="H375" i="1"/>
  <c r="H589" i="1"/>
  <c r="H571" i="1"/>
  <c r="H339" i="1"/>
  <c r="H323" i="1"/>
  <c r="H307" i="1"/>
  <c r="H291" i="1"/>
  <c r="H275" i="1"/>
  <c r="H259" i="1"/>
  <c r="H243" i="1"/>
  <c r="H227" i="1"/>
  <c r="H211" i="1"/>
  <c r="H195" i="1"/>
  <c r="H179" i="1"/>
  <c r="H163" i="1"/>
  <c r="H147" i="1"/>
  <c r="H131" i="1"/>
  <c r="H115" i="1"/>
  <c r="H99" i="1"/>
  <c r="H83" i="1"/>
  <c r="H355" i="1"/>
  <c r="H346" i="1"/>
  <c r="H330" i="1"/>
  <c r="H314" i="1"/>
  <c r="H298" i="1"/>
  <c r="H282" i="1"/>
  <c r="H266" i="1"/>
  <c r="H250" i="1"/>
  <c r="H234" i="1"/>
  <c r="B764" i="1"/>
  <c r="H757" i="1"/>
  <c r="B756" i="1"/>
  <c r="H679" i="1"/>
  <c r="B751" i="1"/>
  <c r="H677" i="1"/>
  <c r="B754" i="1"/>
  <c r="B773" i="1"/>
  <c r="H740" i="1"/>
  <c r="H724" i="1"/>
  <c r="H708" i="1"/>
  <c r="H682" i="1"/>
  <c r="H753" i="1"/>
  <c r="H678" i="1"/>
  <c r="B747" i="1"/>
  <c r="B766" i="1"/>
  <c r="B696" i="1"/>
  <c r="H770" i="1"/>
  <c r="H741" i="1"/>
  <c r="H725" i="1"/>
  <c r="H709" i="1"/>
  <c r="B678" i="1"/>
  <c r="H652" i="1"/>
  <c r="H631" i="1"/>
  <c r="H674" i="1"/>
  <c r="H549" i="1"/>
  <c r="H533" i="1"/>
  <c r="H517" i="1"/>
  <c r="H664" i="1"/>
  <c r="H640" i="1"/>
  <c r="H628" i="1"/>
  <c r="H624" i="1"/>
  <c r="H608" i="1"/>
  <c r="H592" i="1"/>
  <c r="H576" i="1"/>
  <c r="H560" i="1"/>
  <c r="H554" i="1"/>
  <c r="H538" i="1"/>
  <c r="H522" i="1"/>
  <c r="H617" i="1"/>
  <c r="H498" i="1"/>
  <c r="H482" i="1"/>
  <c r="H466" i="1"/>
  <c r="H450" i="1"/>
  <c r="H434" i="1"/>
  <c r="H418" i="1"/>
  <c r="H402" i="1"/>
  <c r="H386" i="1"/>
  <c r="H370" i="1"/>
  <c r="H354" i="1"/>
  <c r="H597" i="1"/>
  <c r="H609" i="1"/>
  <c r="H497" i="1"/>
  <c r="H481" i="1"/>
  <c r="H465" i="1"/>
  <c r="H449" i="1"/>
  <c r="H433" i="1"/>
  <c r="H417" i="1"/>
  <c r="H401" i="1"/>
  <c r="H385" i="1"/>
  <c r="H369" i="1"/>
  <c r="H591" i="1"/>
  <c r="H349" i="1"/>
  <c r="H333" i="1"/>
  <c r="H317" i="1"/>
  <c r="H301" i="1"/>
  <c r="H285" i="1"/>
  <c r="H269" i="1"/>
  <c r="H253" i="1"/>
  <c r="H237" i="1"/>
  <c r="H221" i="1"/>
  <c r="H205" i="1"/>
  <c r="H189" i="1"/>
  <c r="H173" i="1"/>
  <c r="H157" i="1"/>
  <c r="H141" i="1"/>
  <c r="H125" i="1"/>
  <c r="H109" i="1"/>
  <c r="H93" i="1"/>
  <c r="H77" i="1"/>
  <c r="H603" i="1"/>
  <c r="H340" i="1"/>
  <c r="H324" i="1"/>
  <c r="H308" i="1"/>
  <c r="H292" i="1"/>
  <c r="H276" i="1"/>
  <c r="H260" i="1"/>
  <c r="H244" i="1"/>
  <c r="H228" i="1"/>
  <c r="H749" i="1"/>
  <c r="H776" i="1"/>
  <c r="H744" i="1"/>
  <c r="H675" i="1"/>
  <c r="H747" i="1"/>
  <c r="H766" i="1"/>
  <c r="H738" i="1"/>
  <c r="H722" i="1"/>
  <c r="H706" i="1"/>
  <c r="H680" i="1"/>
  <c r="B752" i="1"/>
  <c r="H772" i="1"/>
  <c r="H699" i="1"/>
  <c r="H759" i="1"/>
  <c r="H692" i="1"/>
  <c r="B769" i="1"/>
  <c r="H739" i="1"/>
  <c r="H723" i="1"/>
  <c r="H707" i="1"/>
  <c r="H669" i="1"/>
  <c r="H650" i="1"/>
  <c r="B626" i="1"/>
  <c r="H672" i="1"/>
  <c r="H547" i="1"/>
  <c r="H531" i="1"/>
  <c r="H515" i="1"/>
  <c r="H662" i="1"/>
  <c r="H638" i="1"/>
  <c r="H626" i="1"/>
  <c r="H622" i="1"/>
  <c r="H606" i="1"/>
  <c r="H590" i="1"/>
  <c r="H574" i="1"/>
  <c r="H558" i="1"/>
  <c r="H552" i="1"/>
  <c r="H536" i="1"/>
  <c r="H520" i="1"/>
  <c r="H601" i="1"/>
  <c r="H496" i="1"/>
  <c r="H480" i="1"/>
  <c r="H464" i="1"/>
  <c r="H448" i="1"/>
  <c r="H432" i="1"/>
  <c r="H416" i="1"/>
  <c r="H400" i="1"/>
  <c r="H384" i="1"/>
  <c r="H368" i="1"/>
  <c r="H615" i="1"/>
  <c r="H581" i="1"/>
  <c r="H593" i="1"/>
  <c r="H495" i="1"/>
  <c r="H479" i="1"/>
  <c r="H463" i="1"/>
  <c r="H447" i="1"/>
  <c r="H431" i="1"/>
  <c r="H415" i="1"/>
  <c r="H399" i="1"/>
  <c r="H383" i="1"/>
  <c r="H367" i="1"/>
  <c r="H587" i="1"/>
  <c r="H347" i="1"/>
  <c r="H331" i="1"/>
  <c r="H315" i="1"/>
  <c r="H299" i="1"/>
  <c r="H283" i="1"/>
  <c r="H267" i="1"/>
  <c r="H251" i="1"/>
  <c r="H235" i="1"/>
  <c r="H219" i="1"/>
  <c r="H203" i="1"/>
  <c r="H187" i="1"/>
  <c r="H171" i="1"/>
  <c r="H155" i="1"/>
  <c r="H139" i="1"/>
  <c r="H123" i="1"/>
  <c r="H107" i="1"/>
  <c r="H91" i="1"/>
  <c r="H75" i="1"/>
  <c r="H357" i="1"/>
  <c r="H338" i="1"/>
  <c r="H322" i="1"/>
  <c r="H306" i="1"/>
  <c r="H290" i="1"/>
  <c r="H274" i="1"/>
  <c r="H258" i="1"/>
  <c r="H242" i="1"/>
  <c r="B748" i="1"/>
  <c r="B775" i="1"/>
  <c r="B743" i="1"/>
  <c r="B778" i="1"/>
  <c r="B746" i="1"/>
  <c r="B765" i="1"/>
  <c r="H736" i="1"/>
  <c r="H720" i="1"/>
  <c r="H701" i="1"/>
  <c r="H777" i="1"/>
  <c r="H745" i="1"/>
  <c r="B771" i="1"/>
  <c r="B698" i="1"/>
  <c r="B758" i="1"/>
  <c r="H690" i="1"/>
  <c r="H762" i="1"/>
  <c r="H737" i="1"/>
  <c r="H721" i="1"/>
  <c r="H705" i="1"/>
  <c r="H667" i="1"/>
  <c r="H648" i="1"/>
  <c r="B675" i="1"/>
  <c r="H670" i="1"/>
  <c r="H545" i="1"/>
  <c r="H529" i="1"/>
  <c r="H513" i="1"/>
  <c r="H655" i="1"/>
  <c r="H636" i="1"/>
  <c r="B555" i="1"/>
  <c r="H620" i="1"/>
  <c r="H604" i="1"/>
  <c r="H588" i="1"/>
  <c r="H572" i="1"/>
  <c r="H556" i="1"/>
  <c r="H550" i="1"/>
  <c r="H534" i="1"/>
  <c r="H518" i="1"/>
  <c r="H585" i="1"/>
  <c r="H494" i="1"/>
  <c r="H478" i="1"/>
  <c r="H462" i="1"/>
  <c r="H446" i="1"/>
  <c r="H430" i="1"/>
  <c r="H414" i="1"/>
  <c r="H398" i="1"/>
  <c r="H382" i="1"/>
  <c r="H366" i="1"/>
  <c r="H599" i="1"/>
  <c r="H565" i="1"/>
  <c r="H577" i="1"/>
  <c r="H493" i="1"/>
  <c r="H477" i="1"/>
  <c r="H461" i="1"/>
  <c r="H445" i="1"/>
  <c r="H429" i="1"/>
  <c r="H413" i="1"/>
  <c r="H397" i="1"/>
  <c r="H381" i="1"/>
  <c r="H365" i="1"/>
  <c r="H575" i="1"/>
  <c r="H345" i="1"/>
  <c r="H329" i="1"/>
  <c r="H313" i="1"/>
  <c r="H297" i="1"/>
  <c r="H281" i="1"/>
  <c r="H265" i="1"/>
  <c r="H249" i="1"/>
  <c r="H233" i="1"/>
  <c r="H217" i="1"/>
  <c r="H201" i="1"/>
  <c r="H185" i="1"/>
  <c r="H169" i="1"/>
  <c r="H153" i="1"/>
  <c r="H137" i="1"/>
  <c r="H121" i="1"/>
  <c r="H105" i="1"/>
  <c r="H89" i="1"/>
  <c r="H623" i="1"/>
  <c r="H352" i="1"/>
  <c r="H336" i="1"/>
  <c r="H320" i="1"/>
  <c r="H304" i="1"/>
  <c r="H288" i="1"/>
  <c r="H272" i="1"/>
  <c r="H256" i="1"/>
  <c r="B694" i="1"/>
  <c r="H691" i="1"/>
  <c r="H689" i="1"/>
  <c r="B774" i="1"/>
  <c r="H729" i="1"/>
  <c r="H635" i="1"/>
  <c r="H521" i="1"/>
  <c r="H643" i="1"/>
  <c r="H564" i="1"/>
  <c r="H510" i="1"/>
  <c r="H454" i="1"/>
  <c r="H390" i="1"/>
  <c r="H563" i="1"/>
  <c r="H453" i="1"/>
  <c r="H389" i="1"/>
  <c r="H337" i="1"/>
  <c r="H273" i="1"/>
  <c r="H209" i="1"/>
  <c r="H145" i="1"/>
  <c r="H81" i="1"/>
  <c r="H312" i="1"/>
  <c r="H248" i="1"/>
  <c r="H220" i="1"/>
  <c r="H204" i="1"/>
  <c r="H188" i="1"/>
  <c r="H172" i="1"/>
  <c r="H156" i="1"/>
  <c r="H140" i="1"/>
  <c r="H124" i="1"/>
  <c r="H108" i="1"/>
  <c r="H92" i="1"/>
  <c r="H73" i="1"/>
  <c r="H57" i="1"/>
  <c r="H41" i="1"/>
  <c r="H25" i="1"/>
  <c r="H9" i="1"/>
  <c r="H74" i="1"/>
  <c r="H58" i="1"/>
  <c r="H42" i="1"/>
  <c r="H26" i="1"/>
  <c r="H10" i="1"/>
  <c r="H688" i="1"/>
  <c r="H774" i="1"/>
  <c r="H684" i="1"/>
  <c r="H767" i="1"/>
  <c r="H727" i="1"/>
  <c r="H633" i="1"/>
  <c r="H519" i="1"/>
  <c r="B642" i="1"/>
  <c r="H562" i="1"/>
  <c r="H508" i="1"/>
  <c r="H452" i="1"/>
  <c r="H388" i="1"/>
  <c r="H625" i="1"/>
  <c r="H451" i="1"/>
  <c r="H387" i="1"/>
  <c r="H335" i="1"/>
  <c r="H271" i="1"/>
  <c r="H207" i="1"/>
  <c r="H143" i="1"/>
  <c r="H79" i="1"/>
  <c r="H310" i="1"/>
  <c r="H246" i="1"/>
  <c r="H218" i="1"/>
  <c r="H202" i="1"/>
  <c r="H186" i="1"/>
  <c r="H170" i="1"/>
  <c r="H154" i="1"/>
  <c r="H138" i="1"/>
  <c r="H122" i="1"/>
  <c r="H106" i="1"/>
  <c r="H90" i="1"/>
  <c r="H71" i="1"/>
  <c r="H55" i="1"/>
  <c r="H39" i="1"/>
  <c r="H23" i="1"/>
  <c r="H7" i="1"/>
  <c r="H72" i="1"/>
  <c r="H56" i="1"/>
  <c r="H40" i="1"/>
  <c r="H24" i="1"/>
  <c r="H8" i="1"/>
  <c r="B759" i="1"/>
  <c r="B749" i="1"/>
  <c r="H761" i="1"/>
  <c r="H702" i="1"/>
  <c r="H713" i="1"/>
  <c r="H629" i="1"/>
  <c r="H668" i="1"/>
  <c r="H612" i="1"/>
  <c r="H658" i="1"/>
  <c r="H502" i="1"/>
  <c r="H438" i="1"/>
  <c r="H374" i="1"/>
  <c r="H501" i="1"/>
  <c r="H437" i="1"/>
  <c r="H373" i="1"/>
  <c r="H321" i="1"/>
  <c r="H257" i="1"/>
  <c r="H193" i="1"/>
  <c r="H129" i="1"/>
  <c r="H607" i="1"/>
  <c r="H296" i="1"/>
  <c r="H240" i="1"/>
  <c r="H216" i="1"/>
  <c r="H200" i="1"/>
  <c r="H184" i="1"/>
  <c r="H168" i="1"/>
  <c r="H152" i="1"/>
  <c r="H136" i="1"/>
  <c r="H120" i="1"/>
  <c r="H104" i="1"/>
  <c r="H88" i="1"/>
  <c r="H69" i="1"/>
  <c r="H53" i="1"/>
  <c r="H37" i="1"/>
  <c r="H21" i="1"/>
  <c r="H5" i="1"/>
  <c r="H70" i="1"/>
  <c r="H54" i="1"/>
  <c r="H38" i="1"/>
  <c r="H22" i="1"/>
  <c r="H78" i="1"/>
  <c r="H752" i="1"/>
  <c r="H742" i="1"/>
  <c r="B760" i="1"/>
  <c r="B701" i="1"/>
  <c r="H711" i="1"/>
  <c r="H627" i="1"/>
  <c r="H666" i="1"/>
  <c r="H610" i="1"/>
  <c r="B647" i="1"/>
  <c r="H500" i="1"/>
  <c r="H436" i="1"/>
  <c r="H372" i="1"/>
  <c r="H499" i="1"/>
  <c r="H435" i="1"/>
  <c r="H371" i="1"/>
  <c r="H319" i="1"/>
  <c r="H255" i="1"/>
  <c r="H191" i="1"/>
  <c r="H127" i="1"/>
  <c r="H361" i="1"/>
  <c r="H294" i="1"/>
  <c r="H232" i="1"/>
  <c r="H214" i="1"/>
  <c r="H198" i="1"/>
  <c r="H182" i="1"/>
  <c r="H166" i="1"/>
  <c r="H150" i="1"/>
  <c r="H134" i="1"/>
  <c r="H118" i="1"/>
  <c r="H102" i="1"/>
  <c r="H86" i="1"/>
  <c r="H67" i="1"/>
  <c r="H51" i="1"/>
  <c r="H35" i="1"/>
  <c r="H19" i="1"/>
  <c r="H3" i="1"/>
  <c r="H68" i="1"/>
  <c r="H52" i="1"/>
  <c r="H36" i="1"/>
  <c r="H20" i="1"/>
  <c r="H686" i="1"/>
  <c r="H728" i="1"/>
  <c r="H687" i="1"/>
  <c r="H778" i="1"/>
  <c r="H683" i="1"/>
  <c r="H553" i="1"/>
  <c r="H647" i="1"/>
  <c r="H596" i="1"/>
  <c r="H542" i="1"/>
  <c r="H486" i="1"/>
  <c r="H422" i="1"/>
  <c r="H358" i="1"/>
  <c r="H485" i="1"/>
  <c r="H421" i="1"/>
  <c r="H573" i="1"/>
  <c r="H305" i="1"/>
  <c r="H241" i="1"/>
  <c r="H177" i="1"/>
  <c r="H113" i="1"/>
  <c r="H344" i="1"/>
  <c r="H280" i="1"/>
  <c r="H230" i="1"/>
  <c r="H212" i="1"/>
  <c r="H196" i="1"/>
  <c r="H180" i="1"/>
  <c r="H164" i="1"/>
  <c r="H148" i="1"/>
  <c r="H132" i="1"/>
  <c r="H116" i="1"/>
  <c r="H100" i="1"/>
  <c r="H84" i="1"/>
  <c r="H65" i="1"/>
  <c r="H49" i="1"/>
  <c r="H33" i="1"/>
  <c r="H17" i="1"/>
  <c r="H2" i="1"/>
  <c r="H66" i="1"/>
  <c r="H50" i="1"/>
  <c r="H34" i="1"/>
  <c r="H18" i="1"/>
  <c r="B762" i="1"/>
  <c r="H712" i="1"/>
  <c r="B755" i="1"/>
  <c r="H746" i="1"/>
  <c r="H656" i="1"/>
  <c r="H537" i="1"/>
  <c r="B659" i="1"/>
  <c r="H580" i="1"/>
  <c r="H526" i="1"/>
  <c r="H470" i="1"/>
  <c r="H406" i="1"/>
  <c r="H644" i="1"/>
  <c r="H469" i="1"/>
  <c r="H405" i="1"/>
  <c r="H353" i="1"/>
  <c r="H289" i="1"/>
  <c r="H225" i="1"/>
  <c r="H161" i="1"/>
  <c r="H97" i="1"/>
  <c r="H328" i="1"/>
  <c r="H264" i="1"/>
  <c r="H224" i="1"/>
  <c r="H208" i="1"/>
  <c r="H192" i="1"/>
  <c r="H176" i="1"/>
  <c r="H160" i="1"/>
  <c r="H144" i="1"/>
  <c r="H128" i="1"/>
  <c r="H112" i="1"/>
  <c r="H96" i="1"/>
  <c r="H80" i="1"/>
  <c r="H61" i="1"/>
  <c r="H45" i="1"/>
  <c r="H29" i="1"/>
  <c r="H13" i="1"/>
  <c r="H4" i="1"/>
  <c r="H62" i="1"/>
  <c r="H46" i="1"/>
  <c r="H30" i="1"/>
  <c r="H14" i="1"/>
  <c r="H755" i="1"/>
  <c r="H710" i="1"/>
  <c r="H748" i="1"/>
  <c r="B745" i="1"/>
  <c r="H654" i="1"/>
  <c r="H535" i="1"/>
  <c r="H630" i="1"/>
  <c r="H578" i="1"/>
  <c r="H524" i="1"/>
  <c r="H468" i="1"/>
  <c r="H404" i="1"/>
  <c r="H613" i="1"/>
  <c r="H467" i="1"/>
  <c r="H403" i="1"/>
  <c r="H351" i="1"/>
  <c r="H287" i="1"/>
  <c r="H223" i="1"/>
  <c r="H159" i="1"/>
  <c r="H95" i="1"/>
  <c r="H326" i="1"/>
  <c r="H262" i="1"/>
  <c r="H222" i="1"/>
  <c r="H206" i="1"/>
  <c r="H190" i="1"/>
  <c r="H174" i="1"/>
  <c r="H158" i="1"/>
  <c r="H142" i="1"/>
  <c r="H126" i="1"/>
  <c r="H110" i="1"/>
  <c r="H94" i="1"/>
  <c r="H559" i="1"/>
  <c r="H59" i="1"/>
  <c r="H43" i="1"/>
  <c r="H27" i="1"/>
  <c r="H11" i="1"/>
  <c r="H6" i="1"/>
  <c r="H60" i="1"/>
  <c r="H44" i="1"/>
  <c r="H28" i="1"/>
  <c r="H12" i="1"/>
  <c r="B685" i="1"/>
  <c r="H540" i="1"/>
  <c r="H239" i="1"/>
  <c r="H178" i="1"/>
  <c r="H47" i="1"/>
  <c r="H726" i="1"/>
  <c r="H484" i="1"/>
  <c r="H175" i="1"/>
  <c r="H162" i="1"/>
  <c r="H31" i="1"/>
  <c r="B686" i="1"/>
  <c r="H420" i="1"/>
  <c r="H111" i="1"/>
  <c r="H146" i="1"/>
  <c r="H15" i="1"/>
  <c r="B777" i="1"/>
  <c r="H356" i="1"/>
  <c r="H342" i="1"/>
  <c r="H130" i="1"/>
  <c r="H76" i="1"/>
  <c r="H681" i="1"/>
  <c r="H483" i="1"/>
  <c r="H278" i="1"/>
  <c r="H114" i="1"/>
  <c r="H64" i="1"/>
  <c r="B646" i="1"/>
  <c r="H557" i="1"/>
  <c r="H210" i="1"/>
  <c r="H82" i="1"/>
  <c r="H32" i="1"/>
  <c r="H594" i="1"/>
  <c r="H303" i="1"/>
  <c r="H194" i="1"/>
  <c r="H63" i="1"/>
  <c r="H16" i="1"/>
  <c r="H551" i="1"/>
  <c r="H419" i="1"/>
  <c r="H226" i="1"/>
  <c r="H98" i="1"/>
  <c r="H48" i="1"/>
  <c r="F767" i="1"/>
  <c r="I744" i="1"/>
  <c r="G729" i="1"/>
  <c r="G713" i="1"/>
  <c r="F692" i="1"/>
  <c r="F778" i="1"/>
  <c r="I755" i="1"/>
  <c r="F735" i="1"/>
  <c r="F719" i="1"/>
  <c r="G700" i="1"/>
  <c r="F681" i="1"/>
  <c r="G760" i="1"/>
  <c r="I740" i="1"/>
  <c r="I724" i="1"/>
  <c r="I708" i="1"/>
  <c r="F688" i="1"/>
  <c r="I777" i="1"/>
  <c r="G755" i="1"/>
  <c r="G698" i="1"/>
  <c r="I772" i="1"/>
  <c r="G750" i="1"/>
  <c r="G732" i="1"/>
  <c r="G716" i="1"/>
  <c r="F698" i="1"/>
  <c r="G680" i="1"/>
  <c r="G761" i="1"/>
  <c r="F742" i="1"/>
  <c r="F726" i="1"/>
  <c r="F710" i="1"/>
  <c r="I690" i="1"/>
  <c r="I778" i="1"/>
  <c r="G756" i="1"/>
  <c r="I737" i="1"/>
  <c r="I721" i="1"/>
  <c r="I705" i="1"/>
  <c r="F678" i="1"/>
  <c r="G759" i="1"/>
  <c r="I700" i="1"/>
  <c r="I679" i="1"/>
  <c r="F645" i="1"/>
  <c r="F616" i="1"/>
  <c r="F600" i="1"/>
  <c r="F584" i="1"/>
  <c r="F568" i="1"/>
  <c r="G552" i="1"/>
  <c r="G536" i="1"/>
  <c r="F658" i="1"/>
  <c r="G639" i="1"/>
  <c r="I619" i="1"/>
  <c r="G762" i="1"/>
  <c r="F743" i="1"/>
  <c r="G727" i="1"/>
  <c r="G711" i="1"/>
  <c r="F690" i="1"/>
  <c r="G773" i="1"/>
  <c r="F754" i="1"/>
  <c r="F733" i="1"/>
  <c r="F717" i="1"/>
  <c r="I698" i="1"/>
  <c r="G679" i="1"/>
  <c r="I758" i="1"/>
  <c r="I738" i="1"/>
  <c r="I722" i="1"/>
  <c r="I706" i="1"/>
  <c r="G686" i="1"/>
  <c r="F776" i="1"/>
  <c r="I753" i="1"/>
  <c r="G693" i="1"/>
  <c r="F771" i="1"/>
  <c r="I748" i="1"/>
  <c r="G730" i="1"/>
  <c r="G714" i="1"/>
  <c r="G696" i="1"/>
  <c r="I676" i="1"/>
  <c r="I759" i="1"/>
  <c r="F740" i="1"/>
  <c r="F724" i="1"/>
  <c r="F708" i="1"/>
  <c r="F689" i="1"/>
  <c r="F777" i="1"/>
  <c r="I754" i="1"/>
  <c r="I735" i="1"/>
  <c r="I719" i="1"/>
  <c r="F704" i="1"/>
  <c r="G676" i="1"/>
  <c r="I757" i="1"/>
  <c r="F699" i="1"/>
  <c r="F676" i="1"/>
  <c r="F643" i="1"/>
  <c r="F614" i="1"/>
  <c r="F598" i="1"/>
  <c r="F582" i="1"/>
  <c r="F566" i="1"/>
  <c r="G550" i="1"/>
  <c r="F673" i="1"/>
  <c r="G656" i="1"/>
  <c r="G637" i="1"/>
  <c r="I617" i="1"/>
  <c r="I760" i="1"/>
  <c r="G741" i="1"/>
  <c r="G725" i="1"/>
  <c r="G709" i="1"/>
  <c r="I686" i="1"/>
  <c r="I771" i="1"/>
  <c r="G749" i="1"/>
  <c r="F731" i="1"/>
  <c r="F715" i="1"/>
  <c r="F697" i="1"/>
  <c r="G776" i="1"/>
  <c r="F757" i="1"/>
  <c r="I736" i="1"/>
  <c r="I720" i="1"/>
  <c r="G703" i="1"/>
  <c r="I684" i="1"/>
  <c r="G771" i="1"/>
  <c r="F752" i="1"/>
  <c r="G691" i="1"/>
  <c r="G766" i="1"/>
  <c r="F747" i="1"/>
  <c r="G728" i="1"/>
  <c r="G712" i="1"/>
  <c r="I694" i="1"/>
  <c r="G777" i="1"/>
  <c r="F758" i="1"/>
  <c r="F738" i="1"/>
  <c r="F722" i="1"/>
  <c r="F706" i="1"/>
  <c r="G687" i="1"/>
  <c r="G772" i="1"/>
  <c r="F753" i="1"/>
  <c r="I733" i="1"/>
  <c r="I717" i="1"/>
  <c r="G699" i="1"/>
  <c r="G775" i="1"/>
  <c r="F756" i="1"/>
  <c r="I695" i="1"/>
  <c r="F675" i="1"/>
  <c r="I629" i="1"/>
  <c r="F612" i="1"/>
  <c r="G778" i="1"/>
  <c r="F759" i="1"/>
  <c r="G739" i="1"/>
  <c r="G723" i="1"/>
  <c r="G707" i="1"/>
  <c r="F685" i="1"/>
  <c r="F770" i="1"/>
  <c r="I747" i="1"/>
  <c r="F729" i="1"/>
  <c r="F713" i="1"/>
  <c r="G695" i="1"/>
  <c r="I774" i="1"/>
  <c r="G752" i="1"/>
  <c r="I734" i="1"/>
  <c r="I718" i="1"/>
  <c r="I701" i="1"/>
  <c r="I682" i="1"/>
  <c r="I769" i="1"/>
  <c r="G747" i="1"/>
  <c r="I687" i="1"/>
  <c r="I764" i="1"/>
  <c r="G742" i="1"/>
  <c r="G726" i="1"/>
  <c r="G710" i="1"/>
  <c r="F693" i="1"/>
  <c r="I775" i="1"/>
  <c r="G753" i="1"/>
  <c r="F736" i="1"/>
  <c r="F720" i="1"/>
  <c r="G704" i="1"/>
  <c r="I685" i="1"/>
  <c r="I770" i="1"/>
  <c r="G748" i="1"/>
  <c r="I731" i="1"/>
  <c r="I715" i="1"/>
  <c r="I697" i="1"/>
  <c r="I773" i="1"/>
  <c r="G751" i="1"/>
  <c r="F694" i="1"/>
  <c r="G673" i="1"/>
  <c r="I627" i="1"/>
  <c r="F610" i="1"/>
  <c r="F594" i="1"/>
  <c r="F578" i="1"/>
  <c r="F562" i="1"/>
  <c r="I776" i="1"/>
  <c r="G754" i="1"/>
  <c r="G737" i="1"/>
  <c r="G721" i="1"/>
  <c r="G705" i="1"/>
  <c r="G683" i="1"/>
  <c r="G765" i="1"/>
  <c r="F746" i="1"/>
  <c r="F727" i="1"/>
  <c r="F711" i="1"/>
  <c r="I693" i="1"/>
  <c r="F773" i="1"/>
  <c r="I750" i="1"/>
  <c r="I732" i="1"/>
  <c r="I716" i="1"/>
  <c r="F700" i="1"/>
  <c r="I680" i="1"/>
  <c r="F768" i="1"/>
  <c r="I745" i="1"/>
  <c r="F686" i="1"/>
  <c r="F763" i="1"/>
  <c r="G740" i="1"/>
  <c r="G724" i="1"/>
  <c r="G708" i="1"/>
  <c r="F691" i="1"/>
  <c r="F774" i="1"/>
  <c r="I751" i="1"/>
  <c r="F734" i="1"/>
  <c r="F718" i="1"/>
  <c r="I702" i="1"/>
  <c r="F684" i="1"/>
  <c r="F769" i="1"/>
  <c r="I746" i="1"/>
  <c r="I729" i="1"/>
  <c r="I713" i="1"/>
  <c r="G694" i="1"/>
  <c r="F772" i="1"/>
  <c r="I749" i="1"/>
  <c r="G770" i="1"/>
  <c r="F751" i="1"/>
  <c r="G733" i="1"/>
  <c r="G717" i="1"/>
  <c r="F702" i="1"/>
  <c r="I677" i="1"/>
  <c r="F762" i="1"/>
  <c r="F739" i="1"/>
  <c r="F723" i="1"/>
  <c r="F707" i="1"/>
  <c r="G688" i="1"/>
  <c r="I766" i="1"/>
  <c r="G744" i="1"/>
  <c r="I728" i="1"/>
  <c r="I712" i="1"/>
  <c r="F695" i="1"/>
  <c r="G677" i="1"/>
  <c r="I761" i="1"/>
  <c r="I704" i="1"/>
  <c r="F677" i="1"/>
  <c r="I756" i="1"/>
  <c r="G736" i="1"/>
  <c r="G720" i="1"/>
  <c r="G701" i="1"/>
  <c r="G684" i="1"/>
  <c r="I767" i="1"/>
  <c r="G745" i="1"/>
  <c r="F730" i="1"/>
  <c r="F714" i="1"/>
  <c r="F696" i="1"/>
  <c r="F680" i="1"/>
  <c r="I762" i="1"/>
  <c r="I741" i="1"/>
  <c r="I725" i="1"/>
  <c r="I709" i="1"/>
  <c r="I683" i="1"/>
  <c r="I765" i="1"/>
  <c r="G743" i="1"/>
  <c r="I688" i="1"/>
  <c r="G658" i="1"/>
  <c r="F620" i="1"/>
  <c r="F604" i="1"/>
  <c r="F588" i="1"/>
  <c r="F572" i="1"/>
  <c r="F556" i="1"/>
  <c r="I768" i="1"/>
  <c r="G746" i="1"/>
  <c r="G731" i="1"/>
  <c r="G715" i="1"/>
  <c r="G697" i="1"/>
  <c r="I675" i="1"/>
  <c r="G757" i="1"/>
  <c r="F737" i="1"/>
  <c r="F721" i="1"/>
  <c r="F705" i="1"/>
  <c r="F683" i="1"/>
  <c r="F765" i="1"/>
  <c r="I742" i="1"/>
  <c r="I726" i="1"/>
  <c r="I710" i="1"/>
  <c r="I689" i="1"/>
  <c r="G675" i="1"/>
  <c r="F760" i="1"/>
  <c r="F703" i="1"/>
  <c r="G774" i="1"/>
  <c r="F755" i="1"/>
  <c r="G734" i="1"/>
  <c r="G718" i="1"/>
  <c r="I699" i="1"/>
  <c r="G682" i="1"/>
  <c r="F766" i="1"/>
  <c r="I743" i="1"/>
  <c r="F728" i="1"/>
  <c r="F712" i="1"/>
  <c r="I692" i="1"/>
  <c r="G678" i="1"/>
  <c r="F761" i="1"/>
  <c r="I739" i="1"/>
  <c r="I723" i="1"/>
  <c r="I707" i="1"/>
  <c r="I681" i="1"/>
  <c r="F764" i="1"/>
  <c r="G702" i="1"/>
  <c r="G685" i="1"/>
  <c r="I646" i="1"/>
  <c r="F618" i="1"/>
  <c r="F775" i="1"/>
  <c r="F725" i="1"/>
  <c r="F679" i="1"/>
  <c r="G689" i="1"/>
  <c r="F745" i="1"/>
  <c r="G671" i="1"/>
  <c r="F592" i="1"/>
  <c r="F560" i="1"/>
  <c r="G538" i="1"/>
  <c r="G652" i="1"/>
  <c r="I625" i="1"/>
  <c r="I605" i="1"/>
  <c r="I589" i="1"/>
  <c r="I573" i="1"/>
  <c r="I557" i="1"/>
  <c r="F542" i="1"/>
  <c r="F526" i="1"/>
  <c r="F510" i="1"/>
  <c r="I668" i="1"/>
  <c r="I651" i="1"/>
  <c r="I634" i="1"/>
  <c r="G617" i="1"/>
  <c r="G601" i="1"/>
  <c r="G585" i="1"/>
  <c r="G569" i="1"/>
  <c r="G674" i="1"/>
  <c r="I630" i="1"/>
  <c r="F615" i="1"/>
  <c r="F599" i="1"/>
  <c r="F583" i="1"/>
  <c r="F567" i="1"/>
  <c r="G551" i="1"/>
  <c r="G668" i="1"/>
  <c r="G649" i="1"/>
  <c r="G634" i="1"/>
  <c r="I612" i="1"/>
  <c r="I596" i="1"/>
  <c r="I580" i="1"/>
  <c r="I564" i="1"/>
  <c r="F547" i="1"/>
  <c r="F531" i="1"/>
  <c r="F515" i="1"/>
  <c r="F666" i="1"/>
  <c r="F649" i="1"/>
  <c r="G628" i="1"/>
  <c r="I542" i="1"/>
  <c r="I526" i="1"/>
  <c r="I510" i="1"/>
  <c r="I656" i="1"/>
  <c r="I639" i="1"/>
  <c r="G624" i="1"/>
  <c r="G608" i="1"/>
  <c r="G592" i="1"/>
  <c r="G576" i="1"/>
  <c r="G560" i="1"/>
  <c r="G533" i="1"/>
  <c r="I551" i="1"/>
  <c r="G504" i="1"/>
  <c r="G488" i="1"/>
  <c r="G472" i="1"/>
  <c r="I549" i="1"/>
  <c r="F504" i="1"/>
  <c r="F488" i="1"/>
  <c r="F472" i="1"/>
  <c r="F456" i="1"/>
  <c r="F440" i="1"/>
  <c r="F424" i="1"/>
  <c r="F408" i="1"/>
  <c r="F392" i="1"/>
  <c r="F376" i="1"/>
  <c r="F360" i="1"/>
  <c r="G537" i="1"/>
  <c r="I501" i="1"/>
  <c r="I485" i="1"/>
  <c r="I469" i="1"/>
  <c r="I453" i="1"/>
  <c r="I437" i="1"/>
  <c r="I421" i="1"/>
  <c r="I405" i="1"/>
  <c r="I389" i="1"/>
  <c r="I373" i="1"/>
  <c r="F656" i="1"/>
  <c r="G509" i="1"/>
  <c r="G513" i="1"/>
  <c r="F493" i="1"/>
  <c r="F477" i="1"/>
  <c r="F461" i="1"/>
  <c r="F445" i="1"/>
  <c r="F429" i="1"/>
  <c r="F413" i="1"/>
  <c r="F397" i="1"/>
  <c r="F381" i="1"/>
  <c r="F365" i="1"/>
  <c r="G493" i="1"/>
  <c r="G439" i="1"/>
  <c r="I396" i="1"/>
  <c r="G357" i="1"/>
  <c r="G340" i="1"/>
  <c r="G324" i="1"/>
  <c r="G308" i="1"/>
  <c r="G292" i="1"/>
  <c r="G276" i="1"/>
  <c r="G260" i="1"/>
  <c r="G244" i="1"/>
  <c r="G228" i="1"/>
  <c r="G212" i="1"/>
  <c r="G196" i="1"/>
  <c r="G180" i="1"/>
  <c r="G164" i="1"/>
  <c r="G148" i="1"/>
  <c r="G132" i="1"/>
  <c r="G116" i="1"/>
  <c r="G100" i="1"/>
  <c r="G84" i="1"/>
  <c r="I500" i="1"/>
  <c r="G444" i="1"/>
  <c r="G401" i="1"/>
  <c r="G360" i="1"/>
  <c r="F342" i="1"/>
  <c r="F326" i="1"/>
  <c r="F310" i="1"/>
  <c r="F294" i="1"/>
  <c r="F278" i="1"/>
  <c r="F262" i="1"/>
  <c r="F246" i="1"/>
  <c r="F230" i="1"/>
  <c r="F214" i="1"/>
  <c r="F198" i="1"/>
  <c r="F182" i="1"/>
  <c r="F166" i="1"/>
  <c r="F150" i="1"/>
  <c r="F134" i="1"/>
  <c r="F118" i="1"/>
  <c r="F102" i="1"/>
  <c r="F86" i="1"/>
  <c r="G508" i="1"/>
  <c r="I448" i="1"/>
  <c r="G406" i="1"/>
  <c r="I356" i="1"/>
  <c r="I339" i="1"/>
  <c r="I323" i="1"/>
  <c r="I307" i="1"/>
  <c r="I291" i="1"/>
  <c r="I275" i="1"/>
  <c r="I259" i="1"/>
  <c r="I243" i="1"/>
  <c r="I227" i="1"/>
  <c r="I211" i="1"/>
  <c r="I195" i="1"/>
  <c r="I179" i="1"/>
  <c r="I163" i="1"/>
  <c r="I147" i="1"/>
  <c r="I131" i="1"/>
  <c r="I115" i="1"/>
  <c r="I99" i="1"/>
  <c r="I83" i="1"/>
  <c r="I498" i="1"/>
  <c r="I442" i="1"/>
  <c r="G400" i="1"/>
  <c r="G359" i="1"/>
  <c r="I464" i="1"/>
  <c r="G420" i="1"/>
  <c r="G377" i="1"/>
  <c r="F347" i="1"/>
  <c r="I752" i="1"/>
  <c r="F709" i="1"/>
  <c r="G763" i="1"/>
  <c r="G769" i="1"/>
  <c r="I727" i="1"/>
  <c r="I661" i="1"/>
  <c r="F590" i="1"/>
  <c r="F558" i="1"/>
  <c r="F671" i="1"/>
  <c r="G650" i="1"/>
  <c r="I623" i="1"/>
  <c r="I603" i="1"/>
  <c r="I587" i="1"/>
  <c r="I571" i="1"/>
  <c r="I555" i="1"/>
  <c r="F540" i="1"/>
  <c r="F524" i="1"/>
  <c r="F508" i="1"/>
  <c r="I666" i="1"/>
  <c r="I649" i="1"/>
  <c r="I632" i="1"/>
  <c r="G615" i="1"/>
  <c r="G599" i="1"/>
  <c r="G583" i="1"/>
  <c r="G567" i="1"/>
  <c r="G672" i="1"/>
  <c r="I628" i="1"/>
  <c r="F613" i="1"/>
  <c r="F597" i="1"/>
  <c r="F581" i="1"/>
  <c r="F565" i="1"/>
  <c r="G549" i="1"/>
  <c r="G666" i="1"/>
  <c r="G647" i="1"/>
  <c r="G632" i="1"/>
  <c r="I610" i="1"/>
  <c r="I594" i="1"/>
  <c r="I578" i="1"/>
  <c r="I562" i="1"/>
  <c r="F545" i="1"/>
  <c r="F529" i="1"/>
  <c r="F513" i="1"/>
  <c r="F664" i="1"/>
  <c r="F647" i="1"/>
  <c r="G626" i="1"/>
  <c r="I540" i="1"/>
  <c r="I524" i="1"/>
  <c r="I508" i="1"/>
  <c r="I654" i="1"/>
  <c r="I637" i="1"/>
  <c r="G622" i="1"/>
  <c r="G606" i="1"/>
  <c r="G590" i="1"/>
  <c r="G574" i="1"/>
  <c r="G558" i="1"/>
  <c r="I527" i="1"/>
  <c r="G539" i="1"/>
  <c r="G502" i="1"/>
  <c r="G486" i="1"/>
  <c r="G470" i="1"/>
  <c r="I537" i="1"/>
  <c r="F502" i="1"/>
  <c r="F486" i="1"/>
  <c r="F470" i="1"/>
  <c r="F454" i="1"/>
  <c r="F438" i="1"/>
  <c r="F422" i="1"/>
  <c r="F406" i="1"/>
  <c r="F390" i="1"/>
  <c r="F374" i="1"/>
  <c r="F358" i="1"/>
  <c r="G531" i="1"/>
  <c r="I499" i="1"/>
  <c r="I483" i="1"/>
  <c r="I467" i="1"/>
  <c r="I451" i="1"/>
  <c r="I435" i="1"/>
  <c r="I419" i="1"/>
  <c r="I403" i="1"/>
  <c r="I387" i="1"/>
  <c r="I371" i="1"/>
  <c r="F641" i="1"/>
  <c r="F652" i="1"/>
  <c r="I507" i="1"/>
  <c r="F491" i="1"/>
  <c r="F475" i="1"/>
  <c r="F459" i="1"/>
  <c r="F443" i="1"/>
  <c r="F427" i="1"/>
  <c r="F411" i="1"/>
  <c r="F395" i="1"/>
  <c r="F379" i="1"/>
  <c r="F363" i="1"/>
  <c r="G485" i="1"/>
  <c r="G434" i="1"/>
  <c r="G391" i="1"/>
  <c r="I354" i="1"/>
  <c r="G338" i="1"/>
  <c r="G322" i="1"/>
  <c r="G306" i="1"/>
  <c r="G290" i="1"/>
  <c r="G274" i="1"/>
  <c r="G258" i="1"/>
  <c r="G242" i="1"/>
  <c r="G226" i="1"/>
  <c r="G210" i="1"/>
  <c r="G194" i="1"/>
  <c r="G178" i="1"/>
  <c r="G162" i="1"/>
  <c r="G146" i="1"/>
  <c r="G130" i="1"/>
  <c r="G114" i="1"/>
  <c r="G98" i="1"/>
  <c r="G82" i="1"/>
  <c r="I492" i="1"/>
  <c r="I438" i="1"/>
  <c r="G396" i="1"/>
  <c r="F357" i="1"/>
  <c r="F340" i="1"/>
  <c r="F324" i="1"/>
  <c r="F308" i="1"/>
  <c r="F292" i="1"/>
  <c r="F276" i="1"/>
  <c r="F260" i="1"/>
  <c r="F244" i="1"/>
  <c r="F228" i="1"/>
  <c r="F212" i="1"/>
  <c r="F196" i="1"/>
  <c r="F180" i="1"/>
  <c r="F164" i="1"/>
  <c r="F148" i="1"/>
  <c r="F132" i="1"/>
  <c r="F116" i="1"/>
  <c r="F100" i="1"/>
  <c r="F84" i="1"/>
  <c r="G499" i="1"/>
  <c r="G443" i="1"/>
  <c r="I400" i="1"/>
  <c r="I353" i="1"/>
  <c r="I337" i="1"/>
  <c r="I321" i="1"/>
  <c r="I305" i="1"/>
  <c r="I289" i="1"/>
  <c r="I273" i="1"/>
  <c r="I257" i="1"/>
  <c r="I241" i="1"/>
  <c r="I225" i="1"/>
  <c r="I209" i="1"/>
  <c r="I193" i="1"/>
  <c r="I177" i="1"/>
  <c r="I161" i="1"/>
  <c r="I145" i="1"/>
  <c r="I129" i="1"/>
  <c r="I113" i="1"/>
  <c r="I97" i="1"/>
  <c r="I81" i="1"/>
  <c r="I490" i="1"/>
  <c r="G437" i="1"/>
  <c r="I394" i="1"/>
  <c r="G356" i="1"/>
  <c r="G457" i="1"/>
  <c r="I414" i="1"/>
  <c r="G372" i="1"/>
  <c r="F345" i="1"/>
  <c r="G735" i="1"/>
  <c r="I691" i="1"/>
  <c r="F744" i="1"/>
  <c r="F750" i="1"/>
  <c r="I711" i="1"/>
  <c r="F624" i="1"/>
  <c r="F586" i="1"/>
  <c r="G554" i="1"/>
  <c r="G669" i="1"/>
  <c r="G648" i="1"/>
  <c r="I621" i="1"/>
  <c r="I601" i="1"/>
  <c r="I585" i="1"/>
  <c r="I569" i="1"/>
  <c r="F554" i="1"/>
  <c r="F538" i="1"/>
  <c r="F522" i="1"/>
  <c r="I674" i="1"/>
  <c r="I664" i="1"/>
  <c r="I647" i="1"/>
  <c r="F629" i="1"/>
  <c r="G613" i="1"/>
  <c r="G597" i="1"/>
  <c r="G581" i="1"/>
  <c r="G565" i="1"/>
  <c r="G670" i="1"/>
  <c r="I626" i="1"/>
  <c r="F611" i="1"/>
  <c r="F595" i="1"/>
  <c r="F579" i="1"/>
  <c r="F563" i="1"/>
  <c r="G547" i="1"/>
  <c r="G664" i="1"/>
  <c r="I645" i="1"/>
  <c r="I624" i="1"/>
  <c r="I608" i="1"/>
  <c r="I592" i="1"/>
  <c r="I576" i="1"/>
  <c r="I560" i="1"/>
  <c r="F543" i="1"/>
  <c r="F527" i="1"/>
  <c r="F511" i="1"/>
  <c r="F662" i="1"/>
  <c r="F640" i="1"/>
  <c r="I554" i="1"/>
  <c r="I538" i="1"/>
  <c r="I522" i="1"/>
  <c r="I506" i="1"/>
  <c r="I652" i="1"/>
  <c r="I635" i="1"/>
  <c r="G620" i="1"/>
  <c r="G604" i="1"/>
  <c r="G588" i="1"/>
  <c r="G572" i="1"/>
  <c r="G556" i="1"/>
  <c r="G522" i="1"/>
  <c r="G532" i="1"/>
  <c r="G500" i="1"/>
  <c r="G484" i="1"/>
  <c r="G468" i="1"/>
  <c r="I531" i="1"/>
  <c r="F500" i="1"/>
  <c r="F484" i="1"/>
  <c r="F468" i="1"/>
  <c r="F452" i="1"/>
  <c r="F436" i="1"/>
  <c r="F420" i="1"/>
  <c r="F404" i="1"/>
  <c r="F388" i="1"/>
  <c r="F372" i="1"/>
  <c r="F356" i="1"/>
  <c r="I525" i="1"/>
  <c r="I497" i="1"/>
  <c r="I481" i="1"/>
  <c r="I465" i="1"/>
  <c r="I449" i="1"/>
  <c r="I433" i="1"/>
  <c r="I417" i="1"/>
  <c r="I401" i="1"/>
  <c r="I385" i="1"/>
  <c r="I369" i="1"/>
  <c r="I545" i="1"/>
  <c r="F637" i="1"/>
  <c r="F505" i="1"/>
  <c r="F489" i="1"/>
  <c r="F473" i="1"/>
  <c r="F457" i="1"/>
  <c r="F441" i="1"/>
  <c r="F425" i="1"/>
  <c r="F409" i="1"/>
  <c r="F393" i="1"/>
  <c r="F377" i="1"/>
  <c r="F361" i="1"/>
  <c r="G477" i="1"/>
  <c r="I428" i="1"/>
  <c r="G386" i="1"/>
  <c r="G352" i="1"/>
  <c r="G336" i="1"/>
  <c r="G320" i="1"/>
  <c r="G304" i="1"/>
  <c r="G288" i="1"/>
  <c r="G272" i="1"/>
  <c r="G256" i="1"/>
  <c r="G240" i="1"/>
  <c r="G224" i="1"/>
  <c r="G208" i="1"/>
  <c r="G192" i="1"/>
  <c r="G176" i="1"/>
  <c r="G160" i="1"/>
  <c r="G144" i="1"/>
  <c r="G128" i="1"/>
  <c r="G112" i="1"/>
  <c r="G96" i="1"/>
  <c r="G80" i="1"/>
  <c r="I484" i="1"/>
  <c r="G433" i="1"/>
  <c r="I390" i="1"/>
  <c r="G354" i="1"/>
  <c r="F338" i="1"/>
  <c r="F322" i="1"/>
  <c r="F306" i="1"/>
  <c r="F290" i="1"/>
  <c r="F274" i="1"/>
  <c r="F258" i="1"/>
  <c r="F242" i="1"/>
  <c r="F226" i="1"/>
  <c r="F210" i="1"/>
  <c r="F194" i="1"/>
  <c r="F178" i="1"/>
  <c r="F162" i="1"/>
  <c r="F146" i="1"/>
  <c r="F130" i="1"/>
  <c r="F114" i="1"/>
  <c r="F98" i="1"/>
  <c r="F82" i="1"/>
  <c r="G491" i="1"/>
  <c r="G438" i="1"/>
  <c r="G395" i="1"/>
  <c r="I351" i="1"/>
  <c r="I335" i="1"/>
  <c r="I319" i="1"/>
  <c r="I303" i="1"/>
  <c r="I287" i="1"/>
  <c r="I271" i="1"/>
  <c r="I255" i="1"/>
  <c r="I239" i="1"/>
  <c r="I223" i="1"/>
  <c r="I207" i="1"/>
  <c r="I191" i="1"/>
  <c r="I175" i="1"/>
  <c r="I159" i="1"/>
  <c r="I143" i="1"/>
  <c r="I127" i="1"/>
  <c r="I111" i="1"/>
  <c r="I95" i="1"/>
  <c r="I79" i="1"/>
  <c r="I482" i="1"/>
  <c r="G432" i="1"/>
  <c r="G389" i="1"/>
  <c r="G523" i="1"/>
  <c r="G452" i="1"/>
  <c r="G409" i="1"/>
  <c r="I366" i="1"/>
  <c r="F343" i="1"/>
  <c r="F327" i="1"/>
  <c r="G719" i="1"/>
  <c r="G768" i="1"/>
  <c r="I678" i="1"/>
  <c r="F732" i="1"/>
  <c r="F687" i="1"/>
  <c r="F622" i="1"/>
  <c r="F580" i="1"/>
  <c r="G548" i="1"/>
  <c r="G667" i="1"/>
  <c r="I644" i="1"/>
  <c r="I615" i="1"/>
  <c r="I599" i="1"/>
  <c r="I583" i="1"/>
  <c r="I567" i="1"/>
  <c r="F552" i="1"/>
  <c r="F536" i="1"/>
  <c r="F520" i="1"/>
  <c r="I672" i="1"/>
  <c r="I662" i="1"/>
  <c r="F646" i="1"/>
  <c r="F627" i="1"/>
  <c r="G611" i="1"/>
  <c r="G595" i="1"/>
  <c r="G579" i="1"/>
  <c r="G563" i="1"/>
  <c r="I660" i="1"/>
  <c r="F625" i="1"/>
  <c r="F609" i="1"/>
  <c r="F593" i="1"/>
  <c r="F577" i="1"/>
  <c r="F561" i="1"/>
  <c r="G545" i="1"/>
  <c r="G662" i="1"/>
  <c r="I643" i="1"/>
  <c r="I622" i="1"/>
  <c r="I606" i="1"/>
  <c r="I590" i="1"/>
  <c r="I574" i="1"/>
  <c r="I558" i="1"/>
  <c r="F541" i="1"/>
  <c r="F525" i="1"/>
  <c r="F509" i="1"/>
  <c r="G660" i="1"/>
  <c r="F638" i="1"/>
  <c r="I552" i="1"/>
  <c r="I536" i="1"/>
  <c r="I520" i="1"/>
  <c r="I669" i="1"/>
  <c r="I650" i="1"/>
  <c r="I633" i="1"/>
  <c r="G618" i="1"/>
  <c r="G602" i="1"/>
  <c r="G586" i="1"/>
  <c r="G570" i="1"/>
  <c r="F663" i="1"/>
  <c r="G517" i="1"/>
  <c r="G527" i="1"/>
  <c r="G498" i="1"/>
  <c r="G482" i="1"/>
  <c r="G466" i="1"/>
  <c r="G526" i="1"/>
  <c r="F498" i="1"/>
  <c r="F482" i="1"/>
  <c r="F466" i="1"/>
  <c r="F450" i="1"/>
  <c r="F434" i="1"/>
  <c r="F418" i="1"/>
  <c r="F402" i="1"/>
  <c r="F386" i="1"/>
  <c r="F370" i="1"/>
  <c r="F354" i="1"/>
  <c r="G520" i="1"/>
  <c r="I495" i="1"/>
  <c r="I479" i="1"/>
  <c r="I463" i="1"/>
  <c r="I447" i="1"/>
  <c r="I431" i="1"/>
  <c r="I415" i="1"/>
  <c r="I399" i="1"/>
  <c r="I383" i="1"/>
  <c r="I367" i="1"/>
  <c r="I535" i="1"/>
  <c r="I541" i="1"/>
  <c r="F503" i="1"/>
  <c r="F487" i="1"/>
  <c r="F471" i="1"/>
  <c r="F455" i="1"/>
  <c r="F439" i="1"/>
  <c r="F423" i="1"/>
  <c r="F407" i="1"/>
  <c r="F391" i="1"/>
  <c r="F375" i="1"/>
  <c r="F359" i="1"/>
  <c r="G469" i="1"/>
  <c r="G423" i="1"/>
  <c r="I380" i="1"/>
  <c r="G350" i="1"/>
  <c r="G334" i="1"/>
  <c r="G318" i="1"/>
  <c r="G302" i="1"/>
  <c r="G286" i="1"/>
  <c r="G270" i="1"/>
  <c r="G254" i="1"/>
  <c r="G238" i="1"/>
  <c r="G222" i="1"/>
  <c r="G206" i="1"/>
  <c r="G190" i="1"/>
  <c r="G174" i="1"/>
  <c r="G158" i="1"/>
  <c r="G142" i="1"/>
  <c r="G126" i="1"/>
  <c r="G110" i="1"/>
  <c r="G94" i="1"/>
  <c r="G78" i="1"/>
  <c r="I476" i="1"/>
  <c r="G428" i="1"/>
  <c r="G385" i="1"/>
  <c r="F352" i="1"/>
  <c r="F336" i="1"/>
  <c r="F320" i="1"/>
  <c r="F304" i="1"/>
  <c r="F288" i="1"/>
  <c r="F272" i="1"/>
  <c r="F256" i="1"/>
  <c r="F240" i="1"/>
  <c r="F224" i="1"/>
  <c r="F208" i="1"/>
  <c r="F192" i="1"/>
  <c r="F176" i="1"/>
  <c r="F160" i="1"/>
  <c r="F144" i="1"/>
  <c r="F128" i="1"/>
  <c r="F112" i="1"/>
  <c r="F96" i="1"/>
  <c r="F80" i="1"/>
  <c r="G483" i="1"/>
  <c r="I432" i="1"/>
  <c r="G390" i="1"/>
  <c r="I349" i="1"/>
  <c r="I333" i="1"/>
  <c r="I317" i="1"/>
  <c r="I301" i="1"/>
  <c r="I285" i="1"/>
  <c r="I269" i="1"/>
  <c r="I253" i="1"/>
  <c r="I237" i="1"/>
  <c r="I221" i="1"/>
  <c r="I205" i="1"/>
  <c r="I189" i="1"/>
  <c r="I173" i="1"/>
  <c r="I157" i="1"/>
  <c r="I141" i="1"/>
  <c r="I125" i="1"/>
  <c r="I109" i="1"/>
  <c r="I93" i="1"/>
  <c r="I77" i="1"/>
  <c r="I474" i="1"/>
  <c r="I426" i="1"/>
  <c r="G384" i="1"/>
  <c r="I703" i="1"/>
  <c r="F749" i="1"/>
  <c r="G758" i="1"/>
  <c r="F716" i="1"/>
  <c r="G767" i="1"/>
  <c r="F608" i="1"/>
  <c r="F576" i="1"/>
  <c r="G546" i="1"/>
  <c r="G665" i="1"/>
  <c r="G641" i="1"/>
  <c r="I613" i="1"/>
  <c r="I597" i="1"/>
  <c r="I581" i="1"/>
  <c r="I565" i="1"/>
  <c r="F550" i="1"/>
  <c r="F534" i="1"/>
  <c r="F518" i="1"/>
  <c r="I670" i="1"/>
  <c r="F661" i="1"/>
  <c r="G644" i="1"/>
  <c r="G625" i="1"/>
  <c r="G609" i="1"/>
  <c r="G593" i="1"/>
  <c r="G577" i="1"/>
  <c r="G561" i="1"/>
  <c r="F659" i="1"/>
  <c r="F623" i="1"/>
  <c r="F607" i="1"/>
  <c r="F591" i="1"/>
  <c r="F575" i="1"/>
  <c r="F559" i="1"/>
  <c r="G543" i="1"/>
  <c r="F657" i="1"/>
  <c r="F642" i="1"/>
  <c r="I620" i="1"/>
  <c r="I604" i="1"/>
  <c r="I588" i="1"/>
  <c r="I572" i="1"/>
  <c r="I556" i="1"/>
  <c r="F539" i="1"/>
  <c r="F523" i="1"/>
  <c r="F507" i="1"/>
  <c r="I658" i="1"/>
  <c r="F636" i="1"/>
  <c r="I550" i="1"/>
  <c r="I534" i="1"/>
  <c r="I518" i="1"/>
  <c r="I667" i="1"/>
  <c r="I648" i="1"/>
  <c r="I631" i="1"/>
  <c r="G616" i="1"/>
  <c r="G600" i="1"/>
  <c r="G584" i="1"/>
  <c r="G568" i="1"/>
  <c r="F648" i="1"/>
  <c r="I511" i="1"/>
  <c r="I521" i="1"/>
  <c r="G496" i="1"/>
  <c r="G480" i="1"/>
  <c r="G464" i="1"/>
  <c r="G521" i="1"/>
  <c r="F496" i="1"/>
  <c r="F480" i="1"/>
  <c r="F464" i="1"/>
  <c r="F448" i="1"/>
  <c r="F432" i="1"/>
  <c r="F416" i="1"/>
  <c r="F400" i="1"/>
  <c r="F384" i="1"/>
  <c r="F368" i="1"/>
  <c r="I657" i="1"/>
  <c r="G515" i="1"/>
  <c r="I493" i="1"/>
  <c r="I477" i="1"/>
  <c r="I461" i="1"/>
  <c r="I445" i="1"/>
  <c r="I429" i="1"/>
  <c r="I413" i="1"/>
  <c r="I397" i="1"/>
  <c r="I381" i="1"/>
  <c r="I365" i="1"/>
  <c r="G530" i="1"/>
  <c r="G534" i="1"/>
  <c r="F501" i="1"/>
  <c r="F485" i="1"/>
  <c r="F469" i="1"/>
  <c r="F453" i="1"/>
  <c r="F437" i="1"/>
  <c r="F421" i="1"/>
  <c r="F405" i="1"/>
  <c r="F389" i="1"/>
  <c r="F373" i="1"/>
  <c r="F654" i="1"/>
  <c r="G461" i="1"/>
  <c r="G418" i="1"/>
  <c r="G375" i="1"/>
  <c r="G348" i="1"/>
  <c r="G332" i="1"/>
  <c r="G316" i="1"/>
  <c r="G300" i="1"/>
  <c r="G284" i="1"/>
  <c r="G268" i="1"/>
  <c r="G252" i="1"/>
  <c r="G236" i="1"/>
  <c r="G220" i="1"/>
  <c r="G204" i="1"/>
  <c r="G188" i="1"/>
  <c r="G172" i="1"/>
  <c r="G156" i="1"/>
  <c r="G140" i="1"/>
  <c r="G124" i="1"/>
  <c r="G108" i="1"/>
  <c r="G92" i="1"/>
  <c r="G76" i="1"/>
  <c r="I468" i="1"/>
  <c r="I422" i="1"/>
  <c r="G380" i="1"/>
  <c r="F350" i="1"/>
  <c r="F334" i="1"/>
  <c r="F318" i="1"/>
  <c r="F302" i="1"/>
  <c r="F286" i="1"/>
  <c r="F270" i="1"/>
  <c r="F254" i="1"/>
  <c r="F238" i="1"/>
  <c r="F222" i="1"/>
  <c r="F206" i="1"/>
  <c r="F190" i="1"/>
  <c r="F174" i="1"/>
  <c r="F158" i="1"/>
  <c r="F142" i="1"/>
  <c r="F126" i="1"/>
  <c r="F110" i="1"/>
  <c r="F94" i="1"/>
  <c r="F78" i="1"/>
  <c r="G475" i="1"/>
  <c r="G427" i="1"/>
  <c r="I384" i="1"/>
  <c r="I347" i="1"/>
  <c r="I331" i="1"/>
  <c r="I315" i="1"/>
  <c r="I299" i="1"/>
  <c r="I283" i="1"/>
  <c r="I267" i="1"/>
  <c r="I251" i="1"/>
  <c r="I235" i="1"/>
  <c r="I219" i="1"/>
  <c r="I203" i="1"/>
  <c r="I187" i="1"/>
  <c r="I171" i="1"/>
  <c r="I155" i="1"/>
  <c r="I139" i="1"/>
  <c r="I123" i="1"/>
  <c r="I763" i="1"/>
  <c r="I714" i="1"/>
  <c r="G722" i="1"/>
  <c r="F682" i="1"/>
  <c r="G692" i="1"/>
  <c r="F602" i="1"/>
  <c r="F570" i="1"/>
  <c r="G542" i="1"/>
  <c r="I659" i="1"/>
  <c r="G633" i="1"/>
  <c r="I609" i="1"/>
  <c r="I593" i="1"/>
  <c r="I577" i="1"/>
  <c r="I561" i="1"/>
  <c r="F546" i="1"/>
  <c r="F530" i="1"/>
  <c r="F514" i="1"/>
  <c r="F667" i="1"/>
  <c r="I655" i="1"/>
  <c r="I638" i="1"/>
  <c r="G621" i="1"/>
  <c r="G605" i="1"/>
  <c r="G589" i="1"/>
  <c r="G573" i="1"/>
  <c r="G557" i="1"/>
  <c r="F644" i="1"/>
  <c r="F619" i="1"/>
  <c r="F603" i="1"/>
  <c r="F587" i="1"/>
  <c r="F571" i="1"/>
  <c r="F555" i="1"/>
  <c r="F672" i="1"/>
  <c r="G653" i="1"/>
  <c r="G638" i="1"/>
  <c r="I616" i="1"/>
  <c r="I600" i="1"/>
  <c r="I584" i="1"/>
  <c r="I568" i="1"/>
  <c r="F551" i="1"/>
  <c r="F535" i="1"/>
  <c r="F519" i="1"/>
  <c r="I671" i="1"/>
  <c r="F653" i="1"/>
  <c r="F632" i="1"/>
  <c r="I546" i="1"/>
  <c r="I530" i="1"/>
  <c r="I514" i="1"/>
  <c r="I663" i="1"/>
  <c r="G643" i="1"/>
  <c r="F628" i="1"/>
  <c r="G612" i="1"/>
  <c r="G596" i="1"/>
  <c r="G580" i="1"/>
  <c r="G564" i="1"/>
  <c r="I553" i="1"/>
  <c r="G646" i="1"/>
  <c r="G511" i="1"/>
  <c r="G492" i="1"/>
  <c r="G476" i="1"/>
  <c r="G460" i="1"/>
  <c r="G510" i="1"/>
  <c r="F492" i="1"/>
  <c r="F476" i="1"/>
  <c r="F460" i="1"/>
  <c r="F444" i="1"/>
  <c r="F428" i="1"/>
  <c r="F412" i="1"/>
  <c r="F396" i="1"/>
  <c r="F380" i="1"/>
  <c r="F364" i="1"/>
  <c r="G627" i="1"/>
  <c r="I505" i="1"/>
  <c r="I489" i="1"/>
  <c r="I473" i="1"/>
  <c r="I457" i="1"/>
  <c r="I441" i="1"/>
  <c r="I425" i="1"/>
  <c r="I409" i="1"/>
  <c r="I393" i="1"/>
  <c r="I377" i="1"/>
  <c r="I361" i="1"/>
  <c r="I519" i="1"/>
  <c r="I523" i="1"/>
  <c r="F497" i="1"/>
  <c r="F481" i="1"/>
  <c r="F465" i="1"/>
  <c r="F449" i="1"/>
  <c r="F433" i="1"/>
  <c r="F417" i="1"/>
  <c r="F401" i="1"/>
  <c r="F385" i="1"/>
  <c r="F369" i="1"/>
  <c r="I513" i="1"/>
  <c r="G450" i="1"/>
  <c r="G407" i="1"/>
  <c r="I364" i="1"/>
  <c r="G344" i="1"/>
  <c r="G328" i="1"/>
  <c r="G312" i="1"/>
  <c r="G296" i="1"/>
  <c r="G280" i="1"/>
  <c r="G264" i="1"/>
  <c r="G248" i="1"/>
  <c r="G232" i="1"/>
  <c r="G216" i="1"/>
  <c r="G200" i="1"/>
  <c r="G184" i="1"/>
  <c r="G168" i="1"/>
  <c r="G152" i="1"/>
  <c r="G136" i="1"/>
  <c r="G120" i="1"/>
  <c r="G104" i="1"/>
  <c r="G88" i="1"/>
  <c r="I533" i="1"/>
  <c r="I454" i="1"/>
  <c r="G412" i="1"/>
  <c r="G369" i="1"/>
  <c r="F346" i="1"/>
  <c r="F330" i="1"/>
  <c r="F314" i="1"/>
  <c r="F298" i="1"/>
  <c r="F282" i="1"/>
  <c r="F266" i="1"/>
  <c r="F250" i="1"/>
  <c r="F234" i="1"/>
  <c r="F218" i="1"/>
  <c r="F202" i="1"/>
  <c r="F186" i="1"/>
  <c r="F170" i="1"/>
  <c r="F154" i="1"/>
  <c r="F138" i="1"/>
  <c r="F122" i="1"/>
  <c r="F106" i="1"/>
  <c r="F90" i="1"/>
  <c r="F639" i="1"/>
  <c r="G459" i="1"/>
  <c r="I416" i="1"/>
  <c r="G374" i="1"/>
  <c r="I343" i="1"/>
  <c r="I327" i="1"/>
  <c r="I311" i="1"/>
  <c r="I295" i="1"/>
  <c r="I279" i="1"/>
  <c r="I263" i="1"/>
  <c r="I247" i="1"/>
  <c r="I231" i="1"/>
  <c r="I215" i="1"/>
  <c r="I199" i="1"/>
  <c r="I183" i="1"/>
  <c r="I167" i="1"/>
  <c r="I151" i="1"/>
  <c r="I135" i="1"/>
  <c r="I119" i="1"/>
  <c r="I103" i="1"/>
  <c r="I87" i="1"/>
  <c r="G528" i="1"/>
  <c r="G453" i="1"/>
  <c r="I410" i="1"/>
  <c r="G368" i="1"/>
  <c r="I480" i="1"/>
  <c r="I430" i="1"/>
  <c r="G388" i="1"/>
  <c r="F351" i="1"/>
  <c r="F335" i="1"/>
  <c r="F319" i="1"/>
  <c r="F741" i="1"/>
  <c r="I696" i="1"/>
  <c r="G706" i="1"/>
  <c r="G764" i="1"/>
  <c r="G690" i="1"/>
  <c r="F596" i="1"/>
  <c r="F564" i="1"/>
  <c r="G540" i="1"/>
  <c r="G654" i="1"/>
  <c r="G631" i="1"/>
  <c r="I607" i="1"/>
  <c r="I591" i="1"/>
  <c r="I575" i="1"/>
  <c r="I559" i="1"/>
  <c r="F544" i="1"/>
  <c r="F528" i="1"/>
  <c r="F512" i="1"/>
  <c r="F665" i="1"/>
  <c r="I653" i="1"/>
  <c r="I636" i="1"/>
  <c r="G619" i="1"/>
  <c r="G603" i="1"/>
  <c r="G587" i="1"/>
  <c r="G571" i="1"/>
  <c r="G555" i="1"/>
  <c r="G642" i="1"/>
  <c r="F617" i="1"/>
  <c r="F601" i="1"/>
  <c r="F585" i="1"/>
  <c r="F569" i="1"/>
  <c r="G553" i="1"/>
  <c r="F670" i="1"/>
  <c r="G651" i="1"/>
  <c r="G636" i="1"/>
  <c r="I614" i="1"/>
  <c r="I598" i="1"/>
  <c r="I582" i="1"/>
  <c r="I566" i="1"/>
  <c r="F549" i="1"/>
  <c r="F533" i="1"/>
  <c r="F517" i="1"/>
  <c r="F668" i="1"/>
  <c r="F651" i="1"/>
  <c r="G630" i="1"/>
  <c r="I544" i="1"/>
  <c r="I528" i="1"/>
  <c r="I512" i="1"/>
  <c r="F660" i="1"/>
  <c r="I641" i="1"/>
  <c r="F626" i="1"/>
  <c r="G610" i="1"/>
  <c r="G594" i="1"/>
  <c r="G578" i="1"/>
  <c r="G562" i="1"/>
  <c r="I539" i="1"/>
  <c r="F631" i="1"/>
  <c r="G506" i="1"/>
  <c r="G490" i="1"/>
  <c r="G474" i="1"/>
  <c r="G629" i="1"/>
  <c r="F506" i="1"/>
  <c r="F490" i="1"/>
  <c r="F474" i="1"/>
  <c r="F458" i="1"/>
  <c r="F442" i="1"/>
  <c r="F426" i="1"/>
  <c r="F410" i="1"/>
  <c r="F394" i="1"/>
  <c r="F378" i="1"/>
  <c r="F362" i="1"/>
  <c r="I547" i="1"/>
  <c r="I503" i="1"/>
  <c r="I487" i="1"/>
  <c r="I471" i="1"/>
  <c r="I455" i="1"/>
  <c r="I439" i="1"/>
  <c r="I423" i="1"/>
  <c r="I407" i="1"/>
  <c r="I391" i="1"/>
  <c r="I375" i="1"/>
  <c r="I359" i="1"/>
  <c r="G514" i="1"/>
  <c r="G518" i="1"/>
  <c r="F495" i="1"/>
  <c r="F479" i="1"/>
  <c r="F463" i="1"/>
  <c r="F447" i="1"/>
  <c r="F431" i="1"/>
  <c r="F415" i="1"/>
  <c r="F399" i="1"/>
  <c r="F383" i="1"/>
  <c r="F367" i="1"/>
  <c r="G501" i="1"/>
  <c r="I444" i="1"/>
  <c r="G402" i="1"/>
  <c r="I360" i="1"/>
  <c r="G342" i="1"/>
  <c r="G326" i="1"/>
  <c r="G310" i="1"/>
  <c r="G294" i="1"/>
  <c r="G278" i="1"/>
  <c r="G262" i="1"/>
  <c r="G246" i="1"/>
  <c r="G230" i="1"/>
  <c r="G214" i="1"/>
  <c r="G198" i="1"/>
  <c r="G182" i="1"/>
  <c r="G166" i="1"/>
  <c r="G150" i="1"/>
  <c r="G134" i="1"/>
  <c r="G118" i="1"/>
  <c r="G102" i="1"/>
  <c r="G86" i="1"/>
  <c r="G512" i="1"/>
  <c r="G449" i="1"/>
  <c r="I406" i="1"/>
  <c r="G364" i="1"/>
  <c r="F344" i="1"/>
  <c r="F328" i="1"/>
  <c r="F312" i="1"/>
  <c r="F296" i="1"/>
  <c r="F280" i="1"/>
  <c r="F264" i="1"/>
  <c r="F248" i="1"/>
  <c r="F232" i="1"/>
  <c r="F216" i="1"/>
  <c r="F200" i="1"/>
  <c r="F184" i="1"/>
  <c r="F168" i="1"/>
  <c r="F152" i="1"/>
  <c r="F136" i="1"/>
  <c r="F120" i="1"/>
  <c r="F104" i="1"/>
  <c r="F88" i="1"/>
  <c r="I529" i="1"/>
  <c r="G454" i="1"/>
  <c r="G411" i="1"/>
  <c r="I368" i="1"/>
  <c r="I341" i="1"/>
  <c r="I325" i="1"/>
  <c r="I309" i="1"/>
  <c r="I293" i="1"/>
  <c r="I277" i="1"/>
  <c r="I261" i="1"/>
  <c r="I245" i="1"/>
  <c r="I229" i="1"/>
  <c r="I213" i="1"/>
  <c r="I197" i="1"/>
  <c r="I181" i="1"/>
  <c r="I165" i="1"/>
  <c r="I149" i="1"/>
  <c r="I133" i="1"/>
  <c r="I117" i="1"/>
  <c r="I101" i="1"/>
  <c r="I85" i="1"/>
  <c r="G507" i="1"/>
  <c r="G448" i="1"/>
  <c r="G405" i="1"/>
  <c r="F701" i="1"/>
  <c r="I595" i="1"/>
  <c r="I640" i="1"/>
  <c r="F605" i="1"/>
  <c r="I602" i="1"/>
  <c r="F634" i="1"/>
  <c r="G598" i="1"/>
  <c r="G462" i="1"/>
  <c r="F398" i="1"/>
  <c r="I443" i="1"/>
  <c r="F499" i="1"/>
  <c r="F371" i="1"/>
  <c r="G298" i="1"/>
  <c r="G170" i="1"/>
  <c r="G417" i="1"/>
  <c r="F252" i="1"/>
  <c r="F124" i="1"/>
  <c r="I329" i="1"/>
  <c r="I201" i="1"/>
  <c r="I91" i="1"/>
  <c r="I378" i="1"/>
  <c r="G441" i="1"/>
  <c r="G358" i="1"/>
  <c r="F329" i="1"/>
  <c r="F309" i="1"/>
  <c r="F293" i="1"/>
  <c r="F277" i="1"/>
  <c r="F261" i="1"/>
  <c r="F245" i="1"/>
  <c r="F229" i="1"/>
  <c r="F213" i="1"/>
  <c r="F197" i="1"/>
  <c r="F181" i="1"/>
  <c r="F165" i="1"/>
  <c r="F149" i="1"/>
  <c r="F133" i="1"/>
  <c r="F117" i="1"/>
  <c r="F101" i="1"/>
  <c r="F85" i="1"/>
  <c r="G503" i="1"/>
  <c r="G446" i="1"/>
  <c r="G403" i="1"/>
  <c r="I357" i="1"/>
  <c r="I340" i="1"/>
  <c r="I324" i="1"/>
  <c r="I308" i="1"/>
  <c r="I292" i="1"/>
  <c r="I276" i="1"/>
  <c r="I260" i="1"/>
  <c r="I244" i="1"/>
  <c r="I228" i="1"/>
  <c r="I212" i="1"/>
  <c r="I196" i="1"/>
  <c r="I180" i="1"/>
  <c r="I164" i="1"/>
  <c r="I148" i="1"/>
  <c r="I132" i="1"/>
  <c r="I116" i="1"/>
  <c r="I100" i="1"/>
  <c r="I84" i="1"/>
  <c r="I494" i="1"/>
  <c r="G440" i="1"/>
  <c r="G397" i="1"/>
  <c r="F355" i="1"/>
  <c r="G283" i="1"/>
  <c r="G155" i="1"/>
  <c r="G109" i="1"/>
  <c r="G410" i="1"/>
  <c r="G249" i="1"/>
  <c r="G121" i="1"/>
  <c r="G63" i="1"/>
  <c r="G47" i="1"/>
  <c r="G31" i="1"/>
  <c r="G15" i="1"/>
  <c r="G301" i="1"/>
  <c r="I3" i="1"/>
  <c r="G295" i="1"/>
  <c r="G167" i="1"/>
  <c r="F71" i="1"/>
  <c r="F55" i="1"/>
  <c r="F39" i="1"/>
  <c r="F23" i="1"/>
  <c r="F7" i="1"/>
  <c r="I31" i="1"/>
  <c r="G325" i="1"/>
  <c r="G197" i="1"/>
  <c r="I74" i="1"/>
  <c r="I58" i="1"/>
  <c r="I42" i="1"/>
  <c r="I26" i="1"/>
  <c r="I10" i="1"/>
  <c r="G205" i="1"/>
  <c r="I436" i="1"/>
  <c r="G259" i="1"/>
  <c r="G131" i="1"/>
  <c r="I43" i="1"/>
  <c r="G321" i="1"/>
  <c r="G193" i="1"/>
  <c r="G74" i="1"/>
  <c r="G58" i="1"/>
  <c r="G42" i="1"/>
  <c r="G26" i="1"/>
  <c r="G10" i="1"/>
  <c r="I23" i="1"/>
  <c r="G303" i="1"/>
  <c r="G175" i="1"/>
  <c r="F72" i="1"/>
  <c r="F56" i="1"/>
  <c r="F40" i="1"/>
  <c r="F24" i="1"/>
  <c r="F8" i="1"/>
  <c r="I55" i="1"/>
  <c r="G38" i="1"/>
  <c r="G349" i="1"/>
  <c r="G143" i="1"/>
  <c r="F36" i="1"/>
  <c r="I27" i="1"/>
  <c r="I13" i="1"/>
  <c r="F32" i="1"/>
  <c r="F42" i="1"/>
  <c r="F748" i="1"/>
  <c r="I579" i="1"/>
  <c r="G623" i="1"/>
  <c r="F589" i="1"/>
  <c r="I586" i="1"/>
  <c r="I548" i="1"/>
  <c r="G582" i="1"/>
  <c r="I515" i="1"/>
  <c r="F382" i="1"/>
  <c r="I427" i="1"/>
  <c r="F483" i="1"/>
  <c r="G535" i="1"/>
  <c r="G282" i="1"/>
  <c r="G154" i="1"/>
  <c r="I374" i="1"/>
  <c r="F236" i="1"/>
  <c r="F108" i="1"/>
  <c r="I313" i="1"/>
  <c r="I185" i="1"/>
  <c r="I89" i="1"/>
  <c r="G373" i="1"/>
  <c r="G436" i="1"/>
  <c r="F353" i="1"/>
  <c r="F325" i="1"/>
  <c r="F307" i="1"/>
  <c r="F291" i="1"/>
  <c r="F275" i="1"/>
  <c r="F259" i="1"/>
  <c r="F243" i="1"/>
  <c r="F227" i="1"/>
  <c r="F211" i="1"/>
  <c r="F195" i="1"/>
  <c r="F179" i="1"/>
  <c r="F163" i="1"/>
  <c r="F147" i="1"/>
  <c r="F131" i="1"/>
  <c r="F115" i="1"/>
  <c r="F99" i="1"/>
  <c r="F83" i="1"/>
  <c r="G495" i="1"/>
  <c r="I440" i="1"/>
  <c r="G398" i="1"/>
  <c r="G355" i="1"/>
  <c r="I338" i="1"/>
  <c r="I322" i="1"/>
  <c r="I306" i="1"/>
  <c r="I290" i="1"/>
  <c r="I274" i="1"/>
  <c r="I258" i="1"/>
  <c r="I242" i="1"/>
  <c r="I226" i="1"/>
  <c r="I210" i="1"/>
  <c r="I194" i="1"/>
  <c r="I178" i="1"/>
  <c r="I162" i="1"/>
  <c r="I146" i="1"/>
  <c r="I130" i="1"/>
  <c r="I114" i="1"/>
  <c r="I98" i="1"/>
  <c r="I82" i="1"/>
  <c r="I486" i="1"/>
  <c r="I434" i="1"/>
  <c r="G392" i="1"/>
  <c r="G458" i="1"/>
  <c r="G267" i="1"/>
  <c r="G139" i="1"/>
  <c r="I67" i="1"/>
  <c r="G367" i="1"/>
  <c r="G233" i="1"/>
  <c r="G105" i="1"/>
  <c r="G61" i="1"/>
  <c r="G45" i="1"/>
  <c r="G29" i="1"/>
  <c r="G13" i="1"/>
  <c r="G221" i="1"/>
  <c r="G505" i="1"/>
  <c r="G279" i="1"/>
  <c r="G151" i="1"/>
  <c r="F69" i="1"/>
  <c r="F53" i="1"/>
  <c r="F37" i="1"/>
  <c r="F21" i="1"/>
  <c r="F5" i="1"/>
  <c r="I17" i="1"/>
  <c r="G309" i="1"/>
  <c r="G181" i="1"/>
  <c r="I72" i="1"/>
  <c r="I56" i="1"/>
  <c r="I40" i="1"/>
  <c r="I24" i="1"/>
  <c r="I8" i="1"/>
  <c r="G93" i="1"/>
  <c r="G394" i="1"/>
  <c r="G243" i="1"/>
  <c r="G115" i="1"/>
  <c r="I29" i="1"/>
  <c r="G305" i="1"/>
  <c r="G177" i="1"/>
  <c r="G72" i="1"/>
  <c r="G56" i="1"/>
  <c r="G40" i="1"/>
  <c r="G24" i="1"/>
  <c r="G8" i="1"/>
  <c r="I9" i="1"/>
  <c r="G287" i="1"/>
  <c r="G159" i="1"/>
  <c r="F70" i="1"/>
  <c r="F54" i="1"/>
  <c r="F38" i="1"/>
  <c r="F22" i="1"/>
  <c r="F6" i="1"/>
  <c r="I41" i="1"/>
  <c r="G54" i="1"/>
  <c r="G271" i="1"/>
  <c r="F52" i="1"/>
  <c r="F4" i="1"/>
  <c r="F18" i="1"/>
  <c r="F16" i="1"/>
  <c r="G125" i="1"/>
  <c r="F606" i="1"/>
  <c r="I563" i="1"/>
  <c r="G607" i="1"/>
  <c r="F573" i="1"/>
  <c r="I570" i="1"/>
  <c r="I532" i="1"/>
  <c r="G566" i="1"/>
  <c r="F494" i="1"/>
  <c r="F366" i="1"/>
  <c r="I411" i="1"/>
  <c r="F467" i="1"/>
  <c r="G455" i="1"/>
  <c r="G266" i="1"/>
  <c r="G138" i="1"/>
  <c r="F348" i="1"/>
  <c r="F220" i="1"/>
  <c r="F92" i="1"/>
  <c r="I297" i="1"/>
  <c r="I169" i="1"/>
  <c r="I75" i="1"/>
  <c r="G363" i="1"/>
  <c r="G425" i="1"/>
  <c r="F349" i="1"/>
  <c r="F323" i="1"/>
  <c r="F305" i="1"/>
  <c r="F289" i="1"/>
  <c r="F273" i="1"/>
  <c r="F257" i="1"/>
  <c r="F241" i="1"/>
  <c r="F225" i="1"/>
  <c r="F209" i="1"/>
  <c r="F193" i="1"/>
  <c r="F177" i="1"/>
  <c r="F161" i="1"/>
  <c r="F145" i="1"/>
  <c r="F129" i="1"/>
  <c r="F113" i="1"/>
  <c r="F97" i="1"/>
  <c r="F81" i="1"/>
  <c r="G487" i="1"/>
  <c r="G435" i="1"/>
  <c r="I392" i="1"/>
  <c r="I352" i="1"/>
  <c r="I336" i="1"/>
  <c r="I320" i="1"/>
  <c r="I304" i="1"/>
  <c r="I288" i="1"/>
  <c r="I272" i="1"/>
  <c r="I256" i="1"/>
  <c r="I240" i="1"/>
  <c r="I224" i="1"/>
  <c r="I208" i="1"/>
  <c r="I192" i="1"/>
  <c r="I176" i="1"/>
  <c r="I160" i="1"/>
  <c r="I144" i="1"/>
  <c r="I128" i="1"/>
  <c r="I112" i="1"/>
  <c r="I96" i="1"/>
  <c r="I80" i="1"/>
  <c r="I478" i="1"/>
  <c r="G429" i="1"/>
  <c r="I386" i="1"/>
  <c r="G415" i="1"/>
  <c r="G251" i="1"/>
  <c r="G123" i="1"/>
  <c r="I49" i="1"/>
  <c r="G345" i="1"/>
  <c r="G217" i="1"/>
  <c r="G89" i="1"/>
  <c r="G59" i="1"/>
  <c r="G43" i="1"/>
  <c r="G27" i="1"/>
  <c r="G11" i="1"/>
  <c r="G157" i="1"/>
  <c r="G447" i="1"/>
  <c r="G263" i="1"/>
  <c r="G135" i="1"/>
  <c r="F67" i="1"/>
  <c r="F51" i="1"/>
  <c r="F35" i="1"/>
  <c r="F19" i="1"/>
  <c r="F3" i="1"/>
  <c r="I7" i="1"/>
  <c r="G293" i="1"/>
  <c r="G165" i="1"/>
  <c r="I70" i="1"/>
  <c r="I54" i="1"/>
  <c r="I38" i="1"/>
  <c r="I22" i="1"/>
  <c r="I6" i="1"/>
  <c r="I63" i="1"/>
  <c r="I355" i="1"/>
  <c r="G227" i="1"/>
  <c r="G99" i="1"/>
  <c r="I15" i="1"/>
  <c r="G289" i="1"/>
  <c r="G161" i="1"/>
  <c r="G70" i="1"/>
  <c r="G22" i="1"/>
  <c r="G473" i="1"/>
  <c r="F68" i="1"/>
  <c r="F20" i="1"/>
  <c r="F64" i="1"/>
  <c r="F12" i="1"/>
  <c r="F574" i="1"/>
  <c r="F548" i="1"/>
  <c r="G591" i="1"/>
  <c r="F557" i="1"/>
  <c r="F553" i="1"/>
  <c r="I516" i="1"/>
  <c r="F633" i="1"/>
  <c r="F478" i="1"/>
  <c r="I642" i="1"/>
  <c r="I395" i="1"/>
  <c r="F451" i="1"/>
  <c r="I412" i="1"/>
  <c r="G250" i="1"/>
  <c r="G122" i="1"/>
  <c r="F332" i="1"/>
  <c r="F204" i="1"/>
  <c r="F76" i="1"/>
  <c r="I281" i="1"/>
  <c r="I153" i="1"/>
  <c r="F635" i="1"/>
  <c r="I504" i="1"/>
  <c r="G404" i="1"/>
  <c r="F341" i="1"/>
  <c r="F321" i="1"/>
  <c r="F303" i="1"/>
  <c r="F287" i="1"/>
  <c r="F271" i="1"/>
  <c r="F255" i="1"/>
  <c r="F239" i="1"/>
  <c r="F223" i="1"/>
  <c r="F207" i="1"/>
  <c r="F191" i="1"/>
  <c r="F175" i="1"/>
  <c r="F159" i="1"/>
  <c r="F143" i="1"/>
  <c r="F127" i="1"/>
  <c r="F111" i="1"/>
  <c r="F95" i="1"/>
  <c r="F79" i="1"/>
  <c r="G479" i="1"/>
  <c r="G430" i="1"/>
  <c r="G387" i="1"/>
  <c r="I350" i="1"/>
  <c r="I334" i="1"/>
  <c r="I318" i="1"/>
  <c r="I302" i="1"/>
  <c r="I286" i="1"/>
  <c r="I270" i="1"/>
  <c r="I254" i="1"/>
  <c r="I238" i="1"/>
  <c r="I222" i="1"/>
  <c r="I206" i="1"/>
  <c r="I190" i="1"/>
  <c r="I174" i="1"/>
  <c r="I158" i="1"/>
  <c r="I142" i="1"/>
  <c r="I126" i="1"/>
  <c r="I110" i="1"/>
  <c r="I94" i="1"/>
  <c r="I78" i="1"/>
  <c r="I470" i="1"/>
  <c r="G424" i="1"/>
  <c r="G381" i="1"/>
  <c r="I372" i="1"/>
  <c r="G235" i="1"/>
  <c r="G107" i="1"/>
  <c r="I35" i="1"/>
  <c r="G329" i="1"/>
  <c r="G201" i="1"/>
  <c r="G73" i="1"/>
  <c r="G57" i="1"/>
  <c r="G41" i="1"/>
  <c r="G25" i="1"/>
  <c r="G9" i="1"/>
  <c r="I71" i="1"/>
  <c r="I404" i="1"/>
  <c r="G247" i="1"/>
  <c r="G119" i="1"/>
  <c r="F65" i="1"/>
  <c r="F49" i="1"/>
  <c r="F33" i="1"/>
  <c r="F17" i="1"/>
  <c r="I420" i="1"/>
  <c r="G497" i="1"/>
  <c r="G277" i="1"/>
  <c r="G149" i="1"/>
  <c r="I68" i="1"/>
  <c r="I52" i="1"/>
  <c r="I36" i="1"/>
  <c r="I20" i="1"/>
  <c r="I4" i="1"/>
  <c r="I53" i="1"/>
  <c r="G339" i="1"/>
  <c r="G211" i="1"/>
  <c r="G83" i="1"/>
  <c r="G481" i="1"/>
  <c r="G273" i="1"/>
  <c r="G145" i="1"/>
  <c r="G68" i="1"/>
  <c r="G52" i="1"/>
  <c r="G36" i="1"/>
  <c r="G20" i="1"/>
  <c r="G269" i="1"/>
  <c r="G426" i="1"/>
  <c r="G255" i="1"/>
  <c r="G127" i="1"/>
  <c r="F66" i="1"/>
  <c r="F50" i="1"/>
  <c r="F34" i="1"/>
  <c r="F2" i="1"/>
  <c r="G465" i="1"/>
  <c r="F26" i="1"/>
  <c r="G544" i="1"/>
  <c r="F532" i="1"/>
  <c r="G575" i="1"/>
  <c r="F674" i="1"/>
  <c r="F537" i="1"/>
  <c r="I665" i="1"/>
  <c r="G661" i="1"/>
  <c r="F462" i="1"/>
  <c r="I509" i="1"/>
  <c r="I379" i="1"/>
  <c r="F435" i="1"/>
  <c r="G370" i="1"/>
  <c r="G234" i="1"/>
  <c r="G106" i="1"/>
  <c r="F316" i="1"/>
  <c r="F188" i="1"/>
  <c r="G467" i="1"/>
  <c r="I265" i="1"/>
  <c r="I137" i="1"/>
  <c r="I466" i="1"/>
  <c r="I496" i="1"/>
  <c r="I398" i="1"/>
  <c r="F339" i="1"/>
  <c r="F317" i="1"/>
  <c r="F301" i="1"/>
  <c r="F285" i="1"/>
  <c r="F269" i="1"/>
  <c r="F253" i="1"/>
  <c r="F237" i="1"/>
  <c r="F221" i="1"/>
  <c r="F205" i="1"/>
  <c r="F189" i="1"/>
  <c r="F173" i="1"/>
  <c r="F157" i="1"/>
  <c r="F141" i="1"/>
  <c r="F125" i="1"/>
  <c r="F109" i="1"/>
  <c r="F93" i="1"/>
  <c r="F77" i="1"/>
  <c r="G471" i="1"/>
  <c r="I424" i="1"/>
  <c r="G382" i="1"/>
  <c r="I348" i="1"/>
  <c r="I332" i="1"/>
  <c r="I316" i="1"/>
  <c r="I300" i="1"/>
  <c r="I284" i="1"/>
  <c r="I268" i="1"/>
  <c r="I252" i="1"/>
  <c r="I236" i="1"/>
  <c r="I220" i="1"/>
  <c r="I204" i="1"/>
  <c r="I188" i="1"/>
  <c r="I172" i="1"/>
  <c r="I156" i="1"/>
  <c r="I140" i="1"/>
  <c r="I124" i="1"/>
  <c r="I108" i="1"/>
  <c r="I92" i="1"/>
  <c r="I76" i="1"/>
  <c r="I462" i="1"/>
  <c r="I418" i="1"/>
  <c r="G376" i="1"/>
  <c r="G347" i="1"/>
  <c r="G219" i="1"/>
  <c r="G91" i="1"/>
  <c r="I21" i="1"/>
  <c r="G313" i="1"/>
  <c r="G185" i="1"/>
  <c r="G71" i="1"/>
  <c r="G55" i="1"/>
  <c r="G39" i="1"/>
  <c r="G23" i="1"/>
  <c r="G7" i="1"/>
  <c r="I59" i="1"/>
  <c r="I362" i="1"/>
  <c r="G231" i="1"/>
  <c r="G103" i="1"/>
  <c r="F63" i="1"/>
  <c r="F47" i="1"/>
  <c r="F31" i="1"/>
  <c r="F15" i="1"/>
  <c r="G189" i="1"/>
  <c r="G442" i="1"/>
  <c r="G261" i="1"/>
  <c r="G133" i="1"/>
  <c r="I66" i="1"/>
  <c r="I50" i="1"/>
  <c r="I34" i="1"/>
  <c r="I18" i="1"/>
  <c r="I2" i="1"/>
  <c r="I39" i="1"/>
  <c r="G323" i="1"/>
  <c r="G195" i="1"/>
  <c r="G4" i="1"/>
  <c r="G431" i="1"/>
  <c r="G257" i="1"/>
  <c r="G129" i="1"/>
  <c r="G66" i="1"/>
  <c r="G50" i="1"/>
  <c r="G34" i="1"/>
  <c r="G18" i="1"/>
  <c r="G141" i="1"/>
  <c r="G383" i="1"/>
  <c r="G239" i="1"/>
  <c r="G111" i="1"/>
  <c r="F48" i="1"/>
  <c r="F10" i="1"/>
  <c r="G681" i="1"/>
  <c r="G663" i="1"/>
  <c r="F516" i="1"/>
  <c r="G559" i="1"/>
  <c r="G655" i="1"/>
  <c r="F521" i="1"/>
  <c r="G645" i="1"/>
  <c r="G516" i="1"/>
  <c r="F446" i="1"/>
  <c r="I491" i="1"/>
  <c r="I363" i="1"/>
  <c r="F419" i="1"/>
  <c r="G346" i="1"/>
  <c r="G218" i="1"/>
  <c r="G90" i="1"/>
  <c r="F300" i="1"/>
  <c r="F172" i="1"/>
  <c r="G422" i="1"/>
  <c r="I249" i="1"/>
  <c r="I121" i="1"/>
  <c r="I458" i="1"/>
  <c r="I488" i="1"/>
  <c r="G393" i="1"/>
  <c r="F337" i="1"/>
  <c r="F315" i="1"/>
  <c r="F299" i="1"/>
  <c r="F283" i="1"/>
  <c r="F267" i="1"/>
  <c r="F251" i="1"/>
  <c r="F235" i="1"/>
  <c r="F219" i="1"/>
  <c r="F203" i="1"/>
  <c r="F187" i="1"/>
  <c r="F171" i="1"/>
  <c r="F155" i="1"/>
  <c r="F139" i="1"/>
  <c r="F123" i="1"/>
  <c r="F107" i="1"/>
  <c r="F91" i="1"/>
  <c r="F75" i="1"/>
  <c r="G463" i="1"/>
  <c r="G419" i="1"/>
  <c r="I376" i="1"/>
  <c r="I346" i="1"/>
  <c r="I330" i="1"/>
  <c r="I314" i="1"/>
  <c r="I298" i="1"/>
  <c r="I282" i="1"/>
  <c r="I266" i="1"/>
  <c r="I250" i="1"/>
  <c r="I234" i="1"/>
  <c r="I218" i="1"/>
  <c r="I202" i="1"/>
  <c r="I186" i="1"/>
  <c r="I170" i="1"/>
  <c r="I154" i="1"/>
  <c r="I138" i="1"/>
  <c r="I122" i="1"/>
  <c r="I106" i="1"/>
  <c r="I90" i="1"/>
  <c r="G541" i="1"/>
  <c r="G456" i="1"/>
  <c r="G413" i="1"/>
  <c r="I370" i="1"/>
  <c r="G331" i="1"/>
  <c r="G203" i="1"/>
  <c r="G77" i="1"/>
  <c r="I5" i="1"/>
  <c r="G297" i="1"/>
  <c r="G169" i="1"/>
  <c r="G69" i="1"/>
  <c r="G53" i="1"/>
  <c r="G37" i="1"/>
  <c r="G21" i="1"/>
  <c r="G5" i="1"/>
  <c r="I45" i="1"/>
  <c r="G343" i="1"/>
  <c r="G215" i="1"/>
  <c r="G87" i="1"/>
  <c r="F61" i="1"/>
  <c r="F45" i="1"/>
  <c r="F29" i="1"/>
  <c r="F13" i="1"/>
  <c r="I73" i="1"/>
  <c r="G399" i="1"/>
  <c r="G245" i="1"/>
  <c r="G117" i="1"/>
  <c r="I64" i="1"/>
  <c r="I48" i="1"/>
  <c r="I32" i="1"/>
  <c r="I16" i="1"/>
  <c r="G6" i="1"/>
  <c r="I25" i="1"/>
  <c r="G307" i="1"/>
  <c r="G179" i="1"/>
  <c r="G317" i="1"/>
  <c r="I388" i="1"/>
  <c r="G241" i="1"/>
  <c r="G113" i="1"/>
  <c r="G64" i="1"/>
  <c r="G48" i="1"/>
  <c r="G32" i="1"/>
  <c r="G16" i="1"/>
  <c r="I65" i="1"/>
  <c r="G351" i="1"/>
  <c r="G223" i="1"/>
  <c r="G95" i="1"/>
  <c r="F62" i="1"/>
  <c r="F46" i="1"/>
  <c r="F30" i="1"/>
  <c r="F14" i="1"/>
  <c r="G253" i="1"/>
  <c r="F28" i="1"/>
  <c r="I730" i="1"/>
  <c r="G635" i="1"/>
  <c r="F669" i="1"/>
  <c r="G657" i="1"/>
  <c r="G640" i="1"/>
  <c r="I673" i="1"/>
  <c r="F630" i="1"/>
  <c r="G494" i="1"/>
  <c r="F430" i="1"/>
  <c r="I475" i="1"/>
  <c r="G525" i="1"/>
  <c r="F403" i="1"/>
  <c r="G330" i="1"/>
  <c r="G202" i="1"/>
  <c r="F650" i="1"/>
  <c r="F284" i="1"/>
  <c r="F156" i="1"/>
  <c r="G379" i="1"/>
  <c r="I233" i="1"/>
  <c r="I107" i="1"/>
  <c r="G421" i="1"/>
  <c r="I472" i="1"/>
  <c r="I382" i="1"/>
  <c r="F333" i="1"/>
  <c r="F313" i="1"/>
  <c r="F297" i="1"/>
  <c r="F281" i="1"/>
  <c r="F265" i="1"/>
  <c r="F249" i="1"/>
  <c r="F233" i="1"/>
  <c r="F217" i="1"/>
  <c r="F201" i="1"/>
  <c r="F185" i="1"/>
  <c r="F169" i="1"/>
  <c r="F153" i="1"/>
  <c r="F137" i="1"/>
  <c r="F121" i="1"/>
  <c r="F105" i="1"/>
  <c r="F89" i="1"/>
  <c r="I543" i="1"/>
  <c r="I456" i="1"/>
  <c r="G414" i="1"/>
  <c r="G371" i="1"/>
  <c r="I344" i="1"/>
  <c r="I328" i="1"/>
  <c r="I312" i="1"/>
  <c r="I296" i="1"/>
  <c r="I280" i="1"/>
  <c r="I264" i="1"/>
  <c r="I248" i="1"/>
  <c r="I232" i="1"/>
  <c r="I216" i="1"/>
  <c r="I200" i="1"/>
  <c r="I184" i="1"/>
  <c r="I168" i="1"/>
  <c r="I152" i="1"/>
  <c r="I136" i="1"/>
  <c r="I120" i="1"/>
  <c r="I104" i="1"/>
  <c r="I88" i="1"/>
  <c r="I517" i="1"/>
  <c r="I450" i="1"/>
  <c r="G408" i="1"/>
  <c r="G365" i="1"/>
  <c r="G315" i="1"/>
  <c r="G187" i="1"/>
  <c r="G378" i="1"/>
  <c r="G524" i="1"/>
  <c r="G281" i="1"/>
  <c r="G153" i="1"/>
  <c r="G67" i="1"/>
  <c r="G51" i="1"/>
  <c r="G35" i="1"/>
  <c r="G19" i="1"/>
  <c r="G3" i="1"/>
  <c r="I33" i="1"/>
  <c r="G327" i="1"/>
  <c r="G199" i="1"/>
  <c r="G75" i="1"/>
  <c r="F59" i="1"/>
  <c r="F43" i="1"/>
  <c r="F27" i="1"/>
  <c r="F11" i="1"/>
  <c r="I57" i="1"/>
  <c r="I358" i="1"/>
  <c r="G229" i="1"/>
  <c r="G101" i="1"/>
  <c r="I62" i="1"/>
  <c r="I46" i="1"/>
  <c r="I30" i="1"/>
  <c r="I14" i="1"/>
  <c r="G333" i="1"/>
  <c r="I11" i="1"/>
  <c r="G291" i="1"/>
  <c r="G163" i="1"/>
  <c r="G173" i="1"/>
  <c r="G353" i="1"/>
  <c r="G225" i="1"/>
  <c r="G97" i="1"/>
  <c r="G62" i="1"/>
  <c r="G46" i="1"/>
  <c r="G30" i="1"/>
  <c r="G14" i="1"/>
  <c r="I51" i="1"/>
  <c r="G335" i="1"/>
  <c r="G207" i="1"/>
  <c r="G79" i="1"/>
  <c r="F60" i="1"/>
  <c r="F44" i="1"/>
  <c r="I69" i="1"/>
  <c r="G738" i="1"/>
  <c r="I611" i="1"/>
  <c r="G659" i="1"/>
  <c r="F621" i="1"/>
  <c r="I618" i="1"/>
  <c r="F655" i="1"/>
  <c r="G614" i="1"/>
  <c r="G478" i="1"/>
  <c r="F414" i="1"/>
  <c r="I459" i="1"/>
  <c r="G529" i="1"/>
  <c r="F387" i="1"/>
  <c r="G314" i="1"/>
  <c r="G186" i="1"/>
  <c r="I460" i="1"/>
  <c r="F268" i="1"/>
  <c r="F140" i="1"/>
  <c r="I345" i="1"/>
  <c r="I217" i="1"/>
  <c r="I105" i="1"/>
  <c r="G416" i="1"/>
  <c r="I446" i="1"/>
  <c r="G362" i="1"/>
  <c r="F331" i="1"/>
  <c r="F311" i="1"/>
  <c r="F295" i="1"/>
  <c r="F279" i="1"/>
  <c r="F263" i="1"/>
  <c r="F247" i="1"/>
  <c r="F231" i="1"/>
  <c r="F215" i="1"/>
  <c r="F199" i="1"/>
  <c r="F183" i="1"/>
  <c r="F167" i="1"/>
  <c r="F151" i="1"/>
  <c r="F135" i="1"/>
  <c r="F119" i="1"/>
  <c r="F103" i="1"/>
  <c r="F87" i="1"/>
  <c r="G519" i="1"/>
  <c r="G451" i="1"/>
  <c r="I408" i="1"/>
  <c r="G366" i="1"/>
  <c r="I342" i="1"/>
  <c r="I326" i="1"/>
  <c r="I310" i="1"/>
  <c r="I294" i="1"/>
  <c r="I278" i="1"/>
  <c r="I262" i="1"/>
  <c r="I246" i="1"/>
  <c r="I230" i="1"/>
  <c r="I214" i="1"/>
  <c r="I198" i="1"/>
  <c r="I182" i="1"/>
  <c r="I166" i="1"/>
  <c r="I150" i="1"/>
  <c r="I134" i="1"/>
  <c r="I118" i="1"/>
  <c r="I102" i="1"/>
  <c r="I86" i="1"/>
  <c r="I502" i="1"/>
  <c r="G445" i="1"/>
  <c r="I402" i="1"/>
  <c r="G361" i="1"/>
  <c r="G299" i="1"/>
  <c r="G171" i="1"/>
  <c r="G237" i="1"/>
  <c r="I452" i="1"/>
  <c r="G265" i="1"/>
  <c r="G137" i="1"/>
  <c r="G65" i="1"/>
  <c r="G49" i="1"/>
  <c r="G33" i="1"/>
  <c r="G17" i="1"/>
  <c r="G2" i="1"/>
  <c r="I19" i="1"/>
  <c r="G311" i="1"/>
  <c r="G183" i="1"/>
  <c r="F73" i="1"/>
  <c r="F57" i="1"/>
  <c r="F41" i="1"/>
  <c r="F25" i="1"/>
  <c r="F9" i="1"/>
  <c r="I47" i="1"/>
  <c r="G341" i="1"/>
  <c r="G213" i="1"/>
  <c r="G85" i="1"/>
  <c r="I60" i="1"/>
  <c r="I44" i="1"/>
  <c r="I28" i="1"/>
  <c r="I12" i="1"/>
  <c r="G285" i="1"/>
  <c r="G489" i="1"/>
  <c r="G275" i="1"/>
  <c r="G147" i="1"/>
  <c r="I61" i="1"/>
  <c r="G337" i="1"/>
  <c r="G209" i="1"/>
  <c r="G81" i="1"/>
  <c r="G60" i="1"/>
  <c r="G44" i="1"/>
  <c r="G28" i="1"/>
  <c r="G12" i="1"/>
  <c r="I37" i="1"/>
  <c r="G319" i="1"/>
  <c r="G191" i="1"/>
  <c r="F74" i="1"/>
  <c r="F58" i="1"/>
</calcChain>
</file>

<file path=xl/sharedStrings.xml><?xml version="1.0" encoding="utf-8"?>
<sst xmlns="http://schemas.openxmlformats.org/spreadsheetml/2006/main" count="8096" uniqueCount="2322">
  <si>
    <t>Tutor Name</t>
  </si>
  <si>
    <t>Tutor ID</t>
  </si>
  <si>
    <t>Stage</t>
  </si>
  <si>
    <t>Subject</t>
  </si>
  <si>
    <t>Status</t>
  </si>
  <si>
    <t>HR ID</t>
  </si>
  <si>
    <t>Stage Range</t>
  </si>
  <si>
    <t>email</t>
  </si>
  <si>
    <t>Mobile Number</t>
  </si>
  <si>
    <t>إيمان محمود</t>
  </si>
  <si>
    <t>Lower Primary</t>
  </si>
  <si>
    <t>Discover</t>
  </si>
  <si>
    <t>Backup</t>
  </si>
  <si>
    <t>نسرين زهران</t>
  </si>
  <si>
    <t>Active</t>
  </si>
  <si>
    <t>رحاب حمدي</t>
  </si>
  <si>
    <t>نرمين جلال</t>
  </si>
  <si>
    <t>ندى عبد النبي</t>
  </si>
  <si>
    <t>مروة مجدي</t>
  </si>
  <si>
    <t>يارا سلطان</t>
  </si>
  <si>
    <t>أسماء الحسيني</t>
  </si>
  <si>
    <t>دعاء مصطفى</t>
  </si>
  <si>
    <t>مونيكا إدوارد</t>
  </si>
  <si>
    <t>دنيا فاروق</t>
  </si>
  <si>
    <t>إيريني عاطف</t>
  </si>
  <si>
    <t>English</t>
  </si>
  <si>
    <t>هبة عبد الحميد</t>
  </si>
  <si>
    <t>مها عبد الله</t>
  </si>
  <si>
    <t>ميرا هشام</t>
  </si>
  <si>
    <t>نوران أسامة</t>
  </si>
  <si>
    <t>إسراء علاء</t>
  </si>
  <si>
    <t>سارة جرجس</t>
  </si>
  <si>
    <t>ندى شريف</t>
  </si>
  <si>
    <t>أسماء حمزة</t>
  </si>
  <si>
    <t>شاهندة عبد العزيز</t>
  </si>
  <si>
    <t>Inactive</t>
  </si>
  <si>
    <t>جيهان سمير</t>
  </si>
  <si>
    <t>ريهام هريدي</t>
  </si>
  <si>
    <t>ندى علي</t>
  </si>
  <si>
    <t>مارينا عماد</t>
  </si>
  <si>
    <t>ماريام أشرف</t>
  </si>
  <si>
    <t>إيمان جلال</t>
  </si>
  <si>
    <t>نهى لطفي</t>
  </si>
  <si>
    <t>صفا عادل</t>
  </si>
  <si>
    <t>نجوى بدوي</t>
  </si>
  <si>
    <t>شاهنده محمد</t>
  </si>
  <si>
    <t>أسماء أشرف</t>
  </si>
  <si>
    <t>Mathematics</t>
  </si>
  <si>
    <t>آية صبحي</t>
  </si>
  <si>
    <t>نورهان هاني</t>
  </si>
  <si>
    <t>آية فتحي</t>
  </si>
  <si>
    <t>نورهان ياسر</t>
  </si>
  <si>
    <t>إيمان رمضان</t>
  </si>
  <si>
    <t>آية عادل</t>
  </si>
  <si>
    <t>دينا رضوان</t>
  </si>
  <si>
    <t>سمية محمد</t>
  </si>
  <si>
    <t>نورهان فاضل</t>
  </si>
  <si>
    <t>مريم الجوهري</t>
  </si>
  <si>
    <t>ياسمين إيهاب</t>
  </si>
  <si>
    <t>شيماء نبيل</t>
  </si>
  <si>
    <t>اكتشف</t>
  </si>
  <si>
    <t>ياسمين محروس</t>
  </si>
  <si>
    <t>نرمين صبري</t>
  </si>
  <si>
    <t>الرياضيات</t>
  </si>
  <si>
    <t>مروة عبد الشافي</t>
  </si>
  <si>
    <t>فاطمة لبيب</t>
  </si>
  <si>
    <t>حسين حلمي</t>
  </si>
  <si>
    <t>نهلة يسري</t>
  </si>
  <si>
    <t>إبراهيم طارق</t>
  </si>
  <si>
    <t>اللغة العربية</t>
  </si>
  <si>
    <t>سارة عبد الحميد</t>
  </si>
  <si>
    <t>إيمان شاكر</t>
  </si>
  <si>
    <t>دعاء زكريا</t>
  </si>
  <si>
    <t>ياسمين محمد</t>
  </si>
  <si>
    <t>إنجي مختار</t>
  </si>
  <si>
    <t>شيماء كمال</t>
  </si>
  <si>
    <t>أسماء قاسم</t>
  </si>
  <si>
    <t>شيماء حسين فهمي</t>
  </si>
  <si>
    <t>منال إبراهيم</t>
  </si>
  <si>
    <t>شيماء سليمان</t>
  </si>
  <si>
    <t>أماني سعد</t>
  </si>
  <si>
    <t>آلاء أشرف</t>
  </si>
  <si>
    <t>سارة سعيد</t>
  </si>
  <si>
    <t>زينب سمير</t>
  </si>
  <si>
    <t>أميرة غيث</t>
  </si>
  <si>
    <t>Higher Primary</t>
  </si>
  <si>
    <t>طه محمد</t>
  </si>
  <si>
    <t>رافد سلمان</t>
  </si>
  <si>
    <t>إيمان عطية</t>
  </si>
  <si>
    <t>دينا حسين</t>
  </si>
  <si>
    <t>ريم الديب</t>
  </si>
  <si>
    <t>مرام طارق</t>
  </si>
  <si>
    <t>إيمان فؤاد</t>
  </si>
  <si>
    <t>دعاء أبو الحديد</t>
  </si>
  <si>
    <t>شيرين محمد</t>
  </si>
  <si>
    <t>إيمان حسن</t>
  </si>
  <si>
    <t>محمد شعبان</t>
  </si>
  <si>
    <t>نورهان عماد</t>
  </si>
  <si>
    <t>ريهام أحمد</t>
  </si>
  <si>
    <t>سارة عادل</t>
  </si>
  <si>
    <t>مصطفى عتمان</t>
  </si>
  <si>
    <t>ناريمان الشاعر</t>
  </si>
  <si>
    <t>ياسمين زكي</t>
  </si>
  <si>
    <t>عمرو موافي</t>
  </si>
  <si>
    <t>ندى صيام</t>
  </si>
  <si>
    <t>نجوى نوير</t>
  </si>
  <si>
    <t>بيتر جورج</t>
  </si>
  <si>
    <t>إياد سيد</t>
  </si>
  <si>
    <t>سمر السيد</t>
  </si>
  <si>
    <t>بسمة فؤاد</t>
  </si>
  <si>
    <t>منى الشاعر</t>
  </si>
  <si>
    <t>سمير فرج</t>
  </si>
  <si>
    <t>نهى إبراهيم</t>
  </si>
  <si>
    <t>إبراهيم عبد العليم</t>
  </si>
  <si>
    <t>سهر السيد</t>
  </si>
  <si>
    <t>محمد سيد</t>
  </si>
  <si>
    <t>دعاء عماد الدين</t>
  </si>
  <si>
    <t>يوسف محمود</t>
  </si>
  <si>
    <t>نهلة اليماني</t>
  </si>
  <si>
    <t>محمد عبد الله</t>
  </si>
  <si>
    <t>غدي معاذ</t>
  </si>
  <si>
    <t>نرمين حسن</t>
  </si>
  <si>
    <t>بيتر مدحت</t>
  </si>
  <si>
    <t>وليد علي</t>
  </si>
  <si>
    <t>حاتم حسن</t>
  </si>
  <si>
    <t>ICT</t>
  </si>
  <si>
    <t>رحمة صلاح</t>
  </si>
  <si>
    <t>عمرو خالد</t>
  </si>
  <si>
    <t>إسلام همام</t>
  </si>
  <si>
    <t>أحمد جودة</t>
  </si>
  <si>
    <t>آية حمدي</t>
  </si>
  <si>
    <t>كيرلس بطرس</t>
  </si>
  <si>
    <t>مي الهمشري</t>
  </si>
  <si>
    <t>علي حامد</t>
  </si>
  <si>
    <t>محمد رأفت</t>
  </si>
  <si>
    <t>أحمد نسيم</t>
  </si>
  <si>
    <t>إيمان خليل</t>
  </si>
  <si>
    <t>سالي سيد</t>
  </si>
  <si>
    <t>رانيا فهمي</t>
  </si>
  <si>
    <t>هدى عباس</t>
  </si>
  <si>
    <t>سلمى الليثي</t>
  </si>
  <si>
    <t>هبة الله عادل</t>
  </si>
  <si>
    <t>سارة محمد</t>
  </si>
  <si>
    <t>إيمان دسوقي</t>
  </si>
  <si>
    <t>محمد لقمان</t>
  </si>
  <si>
    <t>الشيماء جمال</t>
  </si>
  <si>
    <t>فاطمة حمدي</t>
  </si>
  <si>
    <t>سارة عثمان</t>
  </si>
  <si>
    <t>دعاء نجيب</t>
  </si>
  <si>
    <t>مينا مجدي</t>
  </si>
  <si>
    <t>رانيا عبد المنعم</t>
  </si>
  <si>
    <t>شيماء ناجي</t>
  </si>
  <si>
    <t>عمرو طارق</t>
  </si>
  <si>
    <t>إسراء مبارك</t>
  </si>
  <si>
    <t>عمر جمعة</t>
  </si>
  <si>
    <t>كريمة سعيد</t>
  </si>
  <si>
    <t>منة رأفت</t>
  </si>
  <si>
    <t>نانسي أحمد</t>
  </si>
  <si>
    <t>أسماء صابر</t>
  </si>
  <si>
    <t>أسماء النوبي</t>
  </si>
  <si>
    <t>حبيبة عادل</t>
  </si>
  <si>
    <t>مارتينا أسعد</t>
  </si>
  <si>
    <t>هبة الله هشام</t>
  </si>
  <si>
    <t>نصرة حسين</t>
  </si>
  <si>
    <t>أميرة بدير</t>
  </si>
  <si>
    <t>جهاد مصطفى</t>
  </si>
  <si>
    <t>سعدية أحمد</t>
  </si>
  <si>
    <t>آية مجاهد</t>
  </si>
  <si>
    <t>أحمد توفيق</t>
  </si>
  <si>
    <t>زينة الشيخ</t>
  </si>
  <si>
    <t>Science</t>
  </si>
  <si>
    <t>نورهان المليجي</t>
  </si>
  <si>
    <t>إسراء إبراهيم</t>
  </si>
  <si>
    <t>رضوى هشام</t>
  </si>
  <si>
    <t>أماني السيد</t>
  </si>
  <si>
    <t>ياسمين صلاح</t>
  </si>
  <si>
    <t>علياء فكري</t>
  </si>
  <si>
    <t>حنان صبحي</t>
  </si>
  <si>
    <t>رنا طارق</t>
  </si>
  <si>
    <t>هبة عبد العال</t>
  </si>
  <si>
    <t>رانا سامي</t>
  </si>
  <si>
    <t>مروة عبد القادر</t>
  </si>
  <si>
    <t>Resigned</t>
  </si>
  <si>
    <t>أميرة أحمد</t>
  </si>
  <si>
    <t>يارا مصطفى</t>
  </si>
  <si>
    <t>دميانة عاطف</t>
  </si>
  <si>
    <t>هدير أشرف</t>
  </si>
  <si>
    <t>يوستينا ويدي</t>
  </si>
  <si>
    <t>إيمان سعداوي</t>
  </si>
  <si>
    <t>سارة صبري</t>
  </si>
  <si>
    <t>منة الله محمد</t>
  </si>
  <si>
    <t>إسراء رامي</t>
  </si>
  <si>
    <t>خديجة عبد الرحمن</t>
  </si>
  <si>
    <t>دنيا منصور</t>
  </si>
  <si>
    <t>إيمان مشالي</t>
  </si>
  <si>
    <t>مجدولين سمير</t>
  </si>
  <si>
    <t>ندى عبد الناصر</t>
  </si>
  <si>
    <t>إيناس حبيب</t>
  </si>
  <si>
    <t>مريم عبد الرحمن</t>
  </si>
  <si>
    <t>آية بيومي</t>
  </si>
  <si>
    <t>هالة محمد</t>
  </si>
  <si>
    <t>الدراسات الاجتماعية</t>
  </si>
  <si>
    <t>هويدا منصور</t>
  </si>
  <si>
    <t>هبة محمد</t>
  </si>
  <si>
    <t>سارة نجيب</t>
  </si>
  <si>
    <t>زينب الصغير</t>
  </si>
  <si>
    <t>ريم نصار</t>
  </si>
  <si>
    <t>كرستين مراد</t>
  </si>
  <si>
    <t>محمد الهناوي</t>
  </si>
  <si>
    <t>ندى أسامة</t>
  </si>
  <si>
    <t>دعاء مرزوق</t>
  </si>
  <si>
    <t>الشيماء عبد الرحمن</t>
  </si>
  <si>
    <t>أسماء محمود</t>
  </si>
  <si>
    <t>ريهام مصطفى</t>
  </si>
  <si>
    <t>رنا عبد الحميد</t>
  </si>
  <si>
    <t>بشرى عاطف</t>
  </si>
  <si>
    <t>إسراء أحمد</t>
  </si>
  <si>
    <t>هبة علي</t>
  </si>
  <si>
    <t>فاطمة رشاد</t>
  </si>
  <si>
    <t>راندا فؤاد</t>
  </si>
  <si>
    <t>رانيا عماد</t>
  </si>
  <si>
    <t>إيناس علي</t>
  </si>
  <si>
    <t>أحمد صلاح</t>
  </si>
  <si>
    <t>منة الله أشرف</t>
  </si>
  <si>
    <t>مصطفى محمود</t>
  </si>
  <si>
    <t>بسمة مرسي</t>
  </si>
  <si>
    <t>بسمة سعيد</t>
  </si>
  <si>
    <t>سارة سلامة</t>
  </si>
  <si>
    <t>باسم المصري</t>
  </si>
  <si>
    <t>عمرو محمود</t>
  </si>
  <si>
    <t>آلاء والي</t>
  </si>
  <si>
    <t>زينب حسن</t>
  </si>
  <si>
    <t>مريم محمد</t>
  </si>
  <si>
    <t>ولاء سعد</t>
  </si>
  <si>
    <t>هدير سيد</t>
  </si>
  <si>
    <t>خلود محمد</t>
  </si>
  <si>
    <t>سارة محمود</t>
  </si>
  <si>
    <t>محمد يحيى</t>
  </si>
  <si>
    <t>ناهد فتحي</t>
  </si>
  <si>
    <t>دعاء ناجي</t>
  </si>
  <si>
    <t>يارا حسن</t>
  </si>
  <si>
    <t>عبد الرازق فتحي</t>
  </si>
  <si>
    <t>فاطمة الزهراء حسين</t>
  </si>
  <si>
    <t>مها الكردي</t>
  </si>
  <si>
    <t>محمد عبد الراضي</t>
  </si>
  <si>
    <t>مجدي إبراهيم</t>
  </si>
  <si>
    <t>مصطفى جمال</t>
  </si>
  <si>
    <t>رحمة سعيد</t>
  </si>
  <si>
    <t>العلوم</t>
  </si>
  <si>
    <t>أسماء الحماقي</t>
  </si>
  <si>
    <t>رانيا شعبان</t>
  </si>
  <si>
    <t>سارة هشام</t>
  </si>
  <si>
    <t>مريم عطا</t>
  </si>
  <si>
    <t>نورهان صادق</t>
  </si>
  <si>
    <t>مصطفى عطا الله</t>
  </si>
  <si>
    <t>سندس إبراهيم</t>
  </si>
  <si>
    <t>إيمان إبراهيم</t>
  </si>
  <si>
    <t>مريم أبو غراب</t>
  </si>
  <si>
    <t>شيماء سيد</t>
  </si>
  <si>
    <t>كارولين إسحاق</t>
  </si>
  <si>
    <t>ندى صلاح</t>
  </si>
  <si>
    <t>حسناء الجزار</t>
  </si>
  <si>
    <t>جهاد أحمد</t>
  </si>
  <si>
    <t>أسماء العليمي</t>
  </si>
  <si>
    <t>عبد الله معين</t>
  </si>
  <si>
    <t>محمد البدساوي</t>
  </si>
  <si>
    <t>إبراهيم الطراوي</t>
  </si>
  <si>
    <t>فاتن سيد</t>
  </si>
  <si>
    <t>محمد محرم</t>
  </si>
  <si>
    <t>السيد سابق</t>
  </si>
  <si>
    <t>أحمد سالم</t>
  </si>
  <si>
    <t>إبراهيم رشدي</t>
  </si>
  <si>
    <t>أحمد فتحي</t>
  </si>
  <si>
    <t>محمود الخطيب</t>
  </si>
  <si>
    <t>سارة عربي</t>
  </si>
  <si>
    <t>إسلام علي</t>
  </si>
  <si>
    <t>محمد مصطفى</t>
  </si>
  <si>
    <t>فاطمة عبد المنعم</t>
  </si>
  <si>
    <t>أميرة رمضان</t>
  </si>
  <si>
    <t>إيناس أحمد</t>
  </si>
  <si>
    <t>عمرو الشريف</t>
  </si>
  <si>
    <t>عادل الحلفاوي</t>
  </si>
  <si>
    <t>حسام قنديل</t>
  </si>
  <si>
    <t>رباب أحمد</t>
  </si>
  <si>
    <t>سعد بحيري</t>
  </si>
  <si>
    <t>ريهام عادل</t>
  </si>
  <si>
    <t>نادية الهواري</t>
  </si>
  <si>
    <t>فاطمة الزهراء أشرف</t>
  </si>
  <si>
    <t>دنيا علاء الدين</t>
  </si>
  <si>
    <t>هناء الأمير</t>
  </si>
  <si>
    <t>أمل عمارة</t>
  </si>
  <si>
    <t>نهاد صلاح</t>
  </si>
  <si>
    <t>أسماء هاشم</t>
  </si>
  <si>
    <t>آية فهمي</t>
  </si>
  <si>
    <t>راندا البداية</t>
  </si>
  <si>
    <t>أيمن السعيد</t>
  </si>
  <si>
    <t>نجلاء رضوان</t>
  </si>
  <si>
    <t>حازم عبد الرحمن</t>
  </si>
  <si>
    <t>تكنولوجيا المعلومات والاتصالات</t>
  </si>
  <si>
    <t>محمود نجاتي</t>
  </si>
  <si>
    <t>ياسمين هشام</t>
  </si>
  <si>
    <t>Preparatory</t>
  </si>
  <si>
    <t>حسام علي</t>
  </si>
  <si>
    <t>اعتماد واصف</t>
  </si>
  <si>
    <t>مجدي عبد المجيد</t>
  </si>
  <si>
    <t>إيمان عادل</t>
  </si>
  <si>
    <t>أحمد مندور</t>
  </si>
  <si>
    <t>عبد الرحمن عادل</t>
  </si>
  <si>
    <t>سامي الحداد</t>
  </si>
  <si>
    <t>عبد الله بكري</t>
  </si>
  <si>
    <t>رامز باسيلي</t>
  </si>
  <si>
    <t>أحمد عبد الونيس</t>
  </si>
  <si>
    <t>محمود حسنين</t>
  </si>
  <si>
    <t>علاء أبو الحسن</t>
  </si>
  <si>
    <t>علي طنطاوي</t>
  </si>
  <si>
    <t>أحمد حسين</t>
  </si>
  <si>
    <t>إيمان علاء</t>
  </si>
  <si>
    <t>نهى عبد الرحمن</t>
  </si>
  <si>
    <t>كاثرين ذكي</t>
  </si>
  <si>
    <t>ميشيل عماد</t>
  </si>
  <si>
    <t>عبد العال محمد</t>
  </si>
  <si>
    <t>هبة جمال</t>
  </si>
  <si>
    <t>سوزان عبد الفتاح</t>
  </si>
  <si>
    <t>أميرة يونس</t>
  </si>
  <si>
    <t>محمد سامي</t>
  </si>
  <si>
    <t>محمد رفعت</t>
  </si>
  <si>
    <t>سامح محمود</t>
  </si>
  <si>
    <t>أحمد عزب</t>
  </si>
  <si>
    <t>إسلام السيد</t>
  </si>
  <si>
    <t>ماجد مجدي</t>
  </si>
  <si>
    <t>جلال محمد</t>
  </si>
  <si>
    <t>أشرف يوسف</t>
  </si>
  <si>
    <t>هدى علي</t>
  </si>
  <si>
    <t>مروة كمال</t>
  </si>
  <si>
    <t>أحمد رخا</t>
  </si>
  <si>
    <t>شيماء جابر</t>
  </si>
  <si>
    <t>محمد فهمي</t>
  </si>
  <si>
    <t>عبد الرحمن ربيع</t>
  </si>
  <si>
    <t>حسام الدين الزغبي</t>
  </si>
  <si>
    <t>محمود جلال</t>
  </si>
  <si>
    <t>شريف صلاح</t>
  </si>
  <si>
    <t>سالي خالد</t>
  </si>
  <si>
    <t>إسلام حسن</t>
  </si>
  <si>
    <t>عادل عبد الله</t>
  </si>
  <si>
    <t>نوران لطفي</t>
  </si>
  <si>
    <t>ريهام علي</t>
  </si>
  <si>
    <t>محمود السعيد</t>
  </si>
  <si>
    <t>شريف زيتون</t>
  </si>
  <si>
    <t>أندرو ثروت</t>
  </si>
  <si>
    <t>زهراء صابر</t>
  </si>
  <si>
    <t>فيرونيا ممدوح</t>
  </si>
  <si>
    <t>عبد المنعم سرور</t>
  </si>
  <si>
    <t>تريزا نجيب</t>
  </si>
  <si>
    <t>يمنى محمود</t>
  </si>
  <si>
    <t>إنجي نبيل</t>
  </si>
  <si>
    <t>آية سري</t>
  </si>
  <si>
    <t>محمود عاصم</t>
  </si>
  <si>
    <t>سهيلة يسري</t>
  </si>
  <si>
    <t>ألبرت إبراهيم</t>
  </si>
  <si>
    <t>جون ملاك</t>
  </si>
  <si>
    <t>أحمد ضيف</t>
  </si>
  <si>
    <t>شيماء ماجد</t>
  </si>
  <si>
    <t>نسمة محمد</t>
  </si>
  <si>
    <t>محمود شريف</t>
  </si>
  <si>
    <t>نصر صالح</t>
  </si>
  <si>
    <t>هبة حمزة</t>
  </si>
  <si>
    <t>مارينا قدسي</t>
  </si>
  <si>
    <t>سهير ممدوح</t>
  </si>
  <si>
    <t>منة قطب</t>
  </si>
  <si>
    <t>رويدا فكري</t>
  </si>
  <si>
    <t>إحسان طاهر</t>
  </si>
  <si>
    <t>آلاء هشام</t>
  </si>
  <si>
    <t>رحاب توفيق</t>
  </si>
  <si>
    <t>ليلى السيد</t>
  </si>
  <si>
    <t>إسلام حُزين</t>
  </si>
  <si>
    <t>منة والي</t>
  </si>
  <si>
    <t>أحمد عبد الشهيد</t>
  </si>
  <si>
    <t>محمود علاء</t>
  </si>
  <si>
    <t>نادر وجدي</t>
  </si>
  <si>
    <t>مهند مجدي</t>
  </si>
  <si>
    <t>محمد مجدي</t>
  </si>
  <si>
    <t>مروى يوسف</t>
  </si>
  <si>
    <t>محمود الصعيدي</t>
  </si>
  <si>
    <t>حسام نور الدين</t>
  </si>
  <si>
    <t>فاطمة دهب</t>
  </si>
  <si>
    <t>محمد هدية</t>
  </si>
  <si>
    <t>طارق سمير</t>
  </si>
  <si>
    <t>أحمد حسام</t>
  </si>
  <si>
    <t>أحمد البحيري</t>
  </si>
  <si>
    <t>محمد فوزي</t>
  </si>
  <si>
    <t>أحمد سيد</t>
  </si>
  <si>
    <t>عبد الرحمن فتحي</t>
  </si>
  <si>
    <t>عبد الله سامي</t>
  </si>
  <si>
    <t>نهاد يسري</t>
  </si>
  <si>
    <t>أحمد حسني</t>
  </si>
  <si>
    <t>عبد الله محمد</t>
  </si>
  <si>
    <t>محمد أثير</t>
  </si>
  <si>
    <t>أحمد فلوكس</t>
  </si>
  <si>
    <t>محمد مسعد</t>
  </si>
  <si>
    <t>محمد سعيد</t>
  </si>
  <si>
    <t>مايكل إميل</t>
  </si>
  <si>
    <t>إبراهيم فريد</t>
  </si>
  <si>
    <t>علي محمد</t>
  </si>
  <si>
    <t>مرسي خالد</t>
  </si>
  <si>
    <t>إيمان فايز</t>
  </si>
  <si>
    <t>مي جمال</t>
  </si>
  <si>
    <t>ريمون مجدي</t>
  </si>
  <si>
    <t>جوزيف حنا</t>
  </si>
  <si>
    <t>مصطفى يوسف</t>
  </si>
  <si>
    <t>شوقي السيسي</t>
  </si>
  <si>
    <t>إبراهيم مرجان</t>
  </si>
  <si>
    <t>محمد نبيه</t>
  </si>
  <si>
    <t>سعيد منصور</t>
  </si>
  <si>
    <t>جودة عبد العزيز</t>
  </si>
  <si>
    <t>أحمد عويس</t>
  </si>
  <si>
    <t>محمود أبو المجد</t>
  </si>
  <si>
    <t>سارة عبد الحليم</t>
  </si>
  <si>
    <t>أحمد عبد الرزاق</t>
  </si>
  <si>
    <t>شيرين حلمي</t>
  </si>
  <si>
    <t>كامل خير الله</t>
  </si>
  <si>
    <t>ميرونا سرور</t>
  </si>
  <si>
    <t>كريستينا جرجس</t>
  </si>
  <si>
    <t>داليا عربي</t>
  </si>
  <si>
    <t>مصطفى رجب</t>
  </si>
  <si>
    <t>تامر فاضل</t>
  </si>
  <si>
    <t>دعاء صوابي</t>
  </si>
  <si>
    <t>نجلاء الهادي</t>
  </si>
  <si>
    <t>دينا إسماعيل</t>
  </si>
  <si>
    <t>نورا سلطان</t>
  </si>
  <si>
    <t>أيمن علي</t>
  </si>
  <si>
    <t>أحمد محمد</t>
  </si>
  <si>
    <t>عبد الله الكحلاوي</t>
  </si>
  <si>
    <t>هالة عبد الحليم</t>
  </si>
  <si>
    <t>عاصم عبد الهادي</t>
  </si>
  <si>
    <t>غادة صلاح</t>
  </si>
  <si>
    <t>دينا عادل</t>
  </si>
  <si>
    <t>ناهد الجبالي</t>
  </si>
  <si>
    <t>نور الهدى عبد الرحمن</t>
  </si>
  <si>
    <t>ليلى محمود</t>
  </si>
  <si>
    <t>مروة المستكاوي</t>
  </si>
  <si>
    <t>نرمين رضا</t>
  </si>
  <si>
    <t>ربيع الدوحة</t>
  </si>
  <si>
    <t>حسين مصطفى</t>
  </si>
  <si>
    <t>محمد عصام</t>
  </si>
  <si>
    <t>شريف عبد المنعم</t>
  </si>
  <si>
    <t>مسعد عبد الرحيم</t>
  </si>
  <si>
    <t>إسلام زيان</t>
  </si>
  <si>
    <t>خالد درويش</t>
  </si>
  <si>
    <t>سالم محمد</t>
  </si>
  <si>
    <t>مبروك الزيات</t>
  </si>
  <si>
    <t>بسام المليجي</t>
  </si>
  <si>
    <t>محمد حمدي</t>
  </si>
  <si>
    <t>أحمد فتحي عبد الله</t>
  </si>
  <si>
    <t>أسماء العبساوي</t>
  </si>
  <si>
    <t>أحمد درويش</t>
  </si>
  <si>
    <t>محمد حامد</t>
  </si>
  <si>
    <t>حسام البدري</t>
  </si>
  <si>
    <t>محمد عبد الحميد</t>
  </si>
  <si>
    <t>أشرف ماهر</t>
  </si>
  <si>
    <t>أحمد علوي</t>
  </si>
  <si>
    <t>عبد المقصود حسن</t>
  </si>
  <si>
    <t>أبو الصفا إسماعيل</t>
  </si>
  <si>
    <t>عبد الهادي غز</t>
  </si>
  <si>
    <t>أحمد جمال</t>
  </si>
  <si>
    <t>محمود رجب</t>
  </si>
  <si>
    <t>أحمد خيري</t>
  </si>
  <si>
    <t>جمال سلامة</t>
  </si>
  <si>
    <t>معاذ خالد</t>
  </si>
  <si>
    <t>محمد صالح</t>
  </si>
  <si>
    <t>عمار أسامة</t>
  </si>
  <si>
    <t>أشرف صبري</t>
  </si>
  <si>
    <t>طارق العليمي</t>
  </si>
  <si>
    <t>محمد عبد الغني</t>
  </si>
  <si>
    <t>شادي خالد</t>
  </si>
  <si>
    <t>Secondary</t>
  </si>
  <si>
    <t>Biology</t>
  </si>
  <si>
    <t>ملك عليوي</t>
  </si>
  <si>
    <t>بيشوي وديع</t>
  </si>
  <si>
    <t>حسام عبد الحي</t>
  </si>
  <si>
    <t>أحمد السيد</t>
  </si>
  <si>
    <t>أحمد السمري</t>
  </si>
  <si>
    <t>آمال حجازي</t>
  </si>
  <si>
    <t>سمر يوسف</t>
  </si>
  <si>
    <t>أرساني عزيز</t>
  </si>
  <si>
    <t>أحمد زكريا</t>
  </si>
  <si>
    <t>محمد الغرباوي</t>
  </si>
  <si>
    <t>Chemistry</t>
  </si>
  <si>
    <t>جمال إسماعيل</t>
  </si>
  <si>
    <t>عبد الرحمن السيد</t>
  </si>
  <si>
    <t>روماني سعد</t>
  </si>
  <si>
    <t>خالد غالي</t>
  </si>
  <si>
    <t>هبة عادل</t>
  </si>
  <si>
    <t>نهى بسيوني</t>
  </si>
  <si>
    <t>جورج مجدي</t>
  </si>
  <si>
    <t>عمرو حسين</t>
  </si>
  <si>
    <t>شريف الرخاوي</t>
  </si>
  <si>
    <t>هاجر السيد</t>
  </si>
  <si>
    <t>حكمت أحمد</t>
  </si>
  <si>
    <t>إسراء حسن</t>
  </si>
  <si>
    <t>Integrated Science</t>
  </si>
  <si>
    <t>أحمد البنا</t>
  </si>
  <si>
    <t>عمرو خليل</t>
  </si>
  <si>
    <t>أحمد النشار</t>
  </si>
  <si>
    <t>سيد صبري</t>
  </si>
  <si>
    <t>الحسين محمد</t>
  </si>
  <si>
    <t>أحمد شعبان</t>
  </si>
  <si>
    <t>أحمد عبد العظيم</t>
  </si>
  <si>
    <t>Physics</t>
  </si>
  <si>
    <t>جوزيف إميل</t>
  </si>
  <si>
    <t>إسلام ممدوح</t>
  </si>
  <si>
    <t>رحاب الصعيدي</t>
  </si>
  <si>
    <t>وليد بكر</t>
  </si>
  <si>
    <t>محمد حسن</t>
  </si>
  <si>
    <t>أحمد عبد الستار</t>
  </si>
  <si>
    <t>جورج إدريس</t>
  </si>
  <si>
    <t>سما الإبراشي</t>
  </si>
  <si>
    <t>الأحياء</t>
  </si>
  <si>
    <t>أحمد الديري</t>
  </si>
  <si>
    <t>رجب رمضان</t>
  </si>
  <si>
    <t>عبير عبد الحليم</t>
  </si>
  <si>
    <t>محمد هاني</t>
  </si>
  <si>
    <t>محمود السايح</t>
  </si>
  <si>
    <t>دينا سليمان</t>
  </si>
  <si>
    <t>محمد إسماعيل</t>
  </si>
  <si>
    <t>التاريخ</t>
  </si>
  <si>
    <t>أحمد عبد اللطيف</t>
  </si>
  <si>
    <t>أحمد حسن</t>
  </si>
  <si>
    <t>جهاد بدر</t>
  </si>
  <si>
    <t>أحمد حسن أحمد</t>
  </si>
  <si>
    <t>حاتم محمد</t>
  </si>
  <si>
    <t>طه عبد الرازق</t>
  </si>
  <si>
    <t>جوزيف ميشيل</t>
  </si>
  <si>
    <t>باسم حسين</t>
  </si>
  <si>
    <t>طارق سليم</t>
  </si>
  <si>
    <t>الجغرافيا</t>
  </si>
  <si>
    <t>وائل سلطان</t>
  </si>
  <si>
    <t>محمد عباس</t>
  </si>
  <si>
    <t>سارة لطفي</t>
  </si>
  <si>
    <t>هادي الشاعر</t>
  </si>
  <si>
    <t>أحمد عوض</t>
  </si>
  <si>
    <t>أحمد الشرقاوي</t>
  </si>
  <si>
    <t>رمضان عبد القادر</t>
  </si>
  <si>
    <t>بولس جرجس</t>
  </si>
  <si>
    <t>أحمد حاتم</t>
  </si>
  <si>
    <t>محمد رمضان</t>
  </si>
  <si>
    <t>أحمد عاطف</t>
  </si>
  <si>
    <t>مينا ميلاد</t>
  </si>
  <si>
    <t>غيث عاطف</t>
  </si>
  <si>
    <t>إبراهيم سعيد</t>
  </si>
  <si>
    <t>أحمد سيف</t>
  </si>
  <si>
    <t>أنطون ألبرت</t>
  </si>
  <si>
    <t>عمرو العقبي</t>
  </si>
  <si>
    <t>إسلام محمد</t>
  </si>
  <si>
    <t>الفلسفة والمنطق</t>
  </si>
  <si>
    <t>رامي فاروق</t>
  </si>
  <si>
    <t>أحمد علاء</t>
  </si>
  <si>
    <t>مدحت صابر</t>
  </si>
  <si>
    <t>دينا البهي</t>
  </si>
  <si>
    <t>أشرف القيصر</t>
  </si>
  <si>
    <t>بسيوني مسعد</t>
  </si>
  <si>
    <t>روماني إبراهيم</t>
  </si>
  <si>
    <t>أماني بسيوني</t>
  </si>
  <si>
    <t>محمد منصور</t>
  </si>
  <si>
    <t>الفيزياء</t>
  </si>
  <si>
    <t>أحمد مختار</t>
  </si>
  <si>
    <t>أحمد عبد القادر</t>
  </si>
  <si>
    <t>موسى عثمان</t>
  </si>
  <si>
    <t>إسلام عماد</t>
  </si>
  <si>
    <t>محمد عادل</t>
  </si>
  <si>
    <t>أسامة إمام</t>
  </si>
  <si>
    <t>وسام الشناوي</t>
  </si>
  <si>
    <t>الكيمياء</t>
  </si>
  <si>
    <t>نزار الشافعي</t>
  </si>
  <si>
    <t>دعاء عرابي</t>
  </si>
  <si>
    <t>أحمد الأمير</t>
  </si>
  <si>
    <t>محمد جودة</t>
  </si>
  <si>
    <t>ياسر عبد الجواد</t>
  </si>
  <si>
    <t>أحمد سليمان</t>
  </si>
  <si>
    <t>محمد أنور</t>
  </si>
  <si>
    <t>أيمن خطاب</t>
  </si>
  <si>
    <t>أحمد الشيمي</t>
  </si>
  <si>
    <t>حسن الرفاعي</t>
  </si>
  <si>
    <t>يوسف عبد الوهاب</t>
  </si>
  <si>
    <t>أحمد عرفة</t>
  </si>
  <si>
    <t>أحمد رجب</t>
  </si>
  <si>
    <t>رضا سلامة</t>
  </si>
  <si>
    <t>علم النفس والاجتماع</t>
  </si>
  <si>
    <t>أحمد سمير</t>
  </si>
  <si>
    <t>سالي إبراهيم</t>
  </si>
  <si>
    <t>محمد إبراهيم</t>
  </si>
  <si>
    <t>أحمد داود</t>
  </si>
  <si>
    <t>محمد سالم</t>
  </si>
  <si>
    <t>محمد عماد عبد النبي الشحات</t>
  </si>
  <si>
    <t>دسوقي إبراهيم</t>
  </si>
  <si>
    <t>رشا نصير</t>
  </si>
  <si>
    <t>مازن جاد</t>
  </si>
  <si>
    <t>زكي سعيد</t>
  </si>
  <si>
    <t>أحمد يحيى</t>
  </si>
  <si>
    <t>أماني نيكولا</t>
  </si>
  <si>
    <t>فادي جبرائيل</t>
  </si>
  <si>
    <t>رضا جبريل</t>
  </si>
  <si>
    <t>مروة مصطفى</t>
  </si>
  <si>
    <t>Español</t>
  </si>
  <si>
    <t>رضوى صبري</t>
  </si>
  <si>
    <t>Deutsch</t>
  </si>
  <si>
    <t>بيشوي عادل</t>
  </si>
  <si>
    <t>Italiano</t>
  </si>
  <si>
    <t>ماجدة محمد</t>
  </si>
  <si>
    <t>الطيب الطاهر</t>
  </si>
  <si>
    <t>عبد الله أحمد</t>
  </si>
  <si>
    <t>إنجي يحيى</t>
  </si>
  <si>
    <t>Français</t>
  </si>
  <si>
    <t>نورا جادو</t>
  </si>
  <si>
    <t>محمد بهاء</t>
  </si>
  <si>
    <t>هشام إبراهيم</t>
  </si>
  <si>
    <t>داليا حسين</t>
  </si>
  <si>
    <t>سمر هريدي</t>
  </si>
  <si>
    <t>رانيا عبد الجواد</t>
  </si>
  <si>
    <t>رضوى البرقوقي</t>
  </si>
  <si>
    <t>بثينة طه</t>
  </si>
  <si>
    <t>عصام عمر</t>
  </si>
  <si>
    <t>رحاب جمعة</t>
  </si>
  <si>
    <t>جاكلين عطا الله</t>
  </si>
  <si>
    <t>أماني علام</t>
  </si>
  <si>
    <t>مريم حسين</t>
  </si>
  <si>
    <t>خالد فريد</t>
  </si>
  <si>
    <t>سارة كمال</t>
  </si>
  <si>
    <t>نورين طه</t>
  </si>
  <si>
    <t>تقى حسن</t>
  </si>
  <si>
    <t>جمال مصطفى</t>
  </si>
  <si>
    <t>محمد صفوت</t>
  </si>
  <si>
    <t>محمد إمام</t>
  </si>
  <si>
    <t>رانا عنتر</t>
  </si>
  <si>
    <t>ماريا مجدي</t>
  </si>
  <si>
    <t>لبنى عبد العزيز</t>
  </si>
  <si>
    <t>أحمد علام</t>
  </si>
  <si>
    <t>عبير فؤاد</t>
  </si>
  <si>
    <t>عمر خالد</t>
  </si>
  <si>
    <t>ماريان حنا</t>
  </si>
  <si>
    <t>سامح ماجد</t>
  </si>
  <si>
    <t>طارق إسماعيل</t>
  </si>
  <si>
    <t>حنان بدوي</t>
  </si>
  <si>
    <t>فاطمة أحمد</t>
  </si>
  <si>
    <t>أحمد منصور</t>
  </si>
  <si>
    <t>أيمن سليم</t>
  </si>
  <si>
    <t>سلمى عصام</t>
  </si>
  <si>
    <t>أحمد ياقوت</t>
  </si>
  <si>
    <t>جهاد عبد المقصود</t>
  </si>
  <si>
    <t>نهى علاء</t>
  </si>
  <si>
    <t>عمرو خطاب</t>
  </si>
  <si>
    <t>نورهان حشاد</t>
  </si>
  <si>
    <t>سماح محمد</t>
  </si>
  <si>
    <t>نسرين عبد الوهاب</t>
  </si>
  <si>
    <t>نانسي مجاهد</t>
  </si>
  <si>
    <t>يسرا عبد الحميد</t>
  </si>
  <si>
    <t>حسني الهاشمي</t>
  </si>
  <si>
    <t>سمر إبراهيم</t>
  </si>
  <si>
    <t>آية داود</t>
  </si>
  <si>
    <t>علياء مكاوي</t>
  </si>
  <si>
    <t>طلعت أحمد</t>
  </si>
  <si>
    <t>أميرة علي</t>
  </si>
  <si>
    <t>محمد الصاوي</t>
  </si>
  <si>
    <t>تقى السيد</t>
  </si>
  <si>
    <t>تسنيم بدر</t>
  </si>
  <si>
    <t>ماهينور راغب</t>
  </si>
  <si>
    <t>آيات أبو العلا</t>
  </si>
  <si>
    <t>مارسيل سميح</t>
  </si>
  <si>
    <t>عبده شيتاوي</t>
  </si>
  <si>
    <t>New Hire</t>
  </si>
  <si>
    <t>محمد رجب</t>
  </si>
  <si>
    <t>ميرنا طارق</t>
  </si>
  <si>
    <t>منى أخنوخ</t>
  </si>
  <si>
    <t>إسلام درويش</t>
  </si>
  <si>
    <t>سارة  إبراهيم سامي</t>
  </si>
  <si>
    <t>نرمين سعيد</t>
  </si>
  <si>
    <t>عبد الرحمن رمضان</t>
  </si>
  <si>
    <t>نهال زاهر</t>
  </si>
  <si>
    <t>ريهام سلطان</t>
  </si>
  <si>
    <t>إيمان السيد</t>
  </si>
  <si>
    <t>أحمد صالح</t>
  </si>
  <si>
    <t>يمنى ياسر</t>
  </si>
  <si>
    <t>مي سامي</t>
  </si>
  <si>
    <t>إيمان ممدوح</t>
  </si>
  <si>
    <t>مينا جاد</t>
  </si>
  <si>
    <t>لطفي سالم</t>
  </si>
  <si>
    <t>الجيولوجيا</t>
  </si>
  <si>
    <t>شريف شيمي</t>
  </si>
  <si>
    <t>Terminated</t>
  </si>
  <si>
    <t>محمد كمال</t>
  </si>
  <si>
    <t>إيمان أمين</t>
  </si>
  <si>
    <t>نهى النشار</t>
  </si>
  <si>
    <t>علاء يوسف</t>
  </si>
  <si>
    <t>شحاتة مسعد</t>
  </si>
  <si>
    <t>شيماء سعيد</t>
  </si>
  <si>
    <t>منار نبيل</t>
  </si>
  <si>
    <t>ريهام الطويل</t>
  </si>
  <si>
    <t>منى صلاح</t>
  </si>
  <si>
    <t>أميرة عبد العزيز</t>
  </si>
  <si>
    <t>حنان زيدان</t>
  </si>
  <si>
    <t>رنا البدري</t>
  </si>
  <si>
    <t>عبد الرحمن أشرف</t>
  </si>
  <si>
    <t>ولاء النمر</t>
  </si>
  <si>
    <t>ياسمين سعيد</t>
  </si>
  <si>
    <t>عبد الرحمن داوود</t>
  </si>
  <si>
    <t>سماء رسمي</t>
  </si>
  <si>
    <t>هاني حواس</t>
  </si>
  <si>
    <t>دعاء عطية</t>
  </si>
  <si>
    <t>ياسمين سمير</t>
  </si>
  <si>
    <t>نيفين السعيد</t>
  </si>
  <si>
    <t>حاكم محمد</t>
  </si>
  <si>
    <t>هدى شعبان</t>
  </si>
  <si>
    <t>أسامة خليل</t>
  </si>
  <si>
    <t>محمد زكي</t>
  </si>
  <si>
    <t>داليا نبيل</t>
  </si>
  <si>
    <t>عبير حسن</t>
  </si>
  <si>
    <t>رانيا عطية</t>
  </si>
  <si>
    <t>محمود أحمد</t>
  </si>
  <si>
    <t>منيرة مهدي</t>
  </si>
  <si>
    <t>لمياء السعيد</t>
  </si>
  <si>
    <t>مروة بدير</t>
  </si>
  <si>
    <t>عبير فرغلي</t>
  </si>
  <si>
    <t>نيرة محمود</t>
  </si>
  <si>
    <t>نورهان عصام</t>
  </si>
  <si>
    <t>هبة كمال</t>
  </si>
  <si>
    <t>صابرين محمد</t>
  </si>
  <si>
    <t>ندى وليد</t>
  </si>
  <si>
    <t>نورهان طارق</t>
  </si>
  <si>
    <t>محمد عبد الباسط</t>
  </si>
  <si>
    <t>آية علاء</t>
  </si>
  <si>
    <t>غادة أحمد</t>
  </si>
  <si>
    <t>ريهام علام</t>
  </si>
  <si>
    <t>محمد علاء</t>
  </si>
  <si>
    <t>كريستين سمير</t>
  </si>
  <si>
    <t>فاطمة عمر</t>
  </si>
  <si>
    <t>عبد المغني عبد العظيم</t>
  </si>
  <si>
    <t>مارتينا مراد</t>
  </si>
  <si>
    <t>هدير محمد</t>
  </si>
  <si>
    <t>مروة صلاح</t>
  </si>
  <si>
    <t>شيرين عزب</t>
  </si>
  <si>
    <t>هادي عاطف</t>
  </si>
  <si>
    <t>حلمي رضا</t>
  </si>
  <si>
    <t>نوران أنور</t>
  </si>
  <si>
    <t>محمد حسنين</t>
  </si>
  <si>
    <t>إلهام عرابي</t>
  </si>
  <si>
    <t>بثينة صابر</t>
  </si>
  <si>
    <t>لوريس نشأت</t>
  </si>
  <si>
    <t>ياسمينا جاد الله</t>
  </si>
  <si>
    <t>سارة حمدي</t>
  </si>
  <si>
    <t>مي حسن</t>
  </si>
  <si>
    <t>وفاء ريان</t>
  </si>
  <si>
    <t>هدى عادل</t>
  </si>
  <si>
    <t>نيرة إسماعيل</t>
  </si>
  <si>
    <t>محسن قنديل</t>
  </si>
  <si>
    <t>محمد عيد</t>
  </si>
  <si>
    <t>إسراء السيد</t>
  </si>
  <si>
    <t>محمود عبده</t>
  </si>
  <si>
    <t>عبد الله جمال</t>
  </si>
  <si>
    <t>محمود جودة</t>
  </si>
  <si>
    <t>نور علام</t>
  </si>
  <si>
    <t>شروق أمين</t>
  </si>
  <si>
    <t>ماهينور توفيق</t>
  </si>
  <si>
    <t>منة جلال</t>
  </si>
  <si>
    <t>مي رشدي</t>
  </si>
  <si>
    <t>إسراء مرسي</t>
  </si>
  <si>
    <t>سارة دهشان</t>
  </si>
  <si>
    <t>أحمد عاشور</t>
  </si>
  <si>
    <t>Affiliate Not Signed</t>
  </si>
  <si>
    <t>مونيكا نعيم</t>
  </si>
  <si>
    <t>Visuals</t>
  </si>
  <si>
    <t>زينب زكي</t>
  </si>
  <si>
    <t>ماريان صبري</t>
  </si>
  <si>
    <t>Accepted but still not in active</t>
  </si>
  <si>
    <t>أحمد عماد</t>
  </si>
  <si>
    <t>حسام حسين</t>
  </si>
  <si>
    <t>محمود حسن</t>
  </si>
  <si>
    <t>أحمد صلاح الدين</t>
  </si>
  <si>
    <t>البدراوي طلبة</t>
  </si>
  <si>
    <t>مي غرابة</t>
  </si>
  <si>
    <t>شيرين حافظ</t>
  </si>
  <si>
    <t>محمد عبد المنعم</t>
  </si>
  <si>
    <t>عماد عرابي</t>
  </si>
  <si>
    <t>ماريا ماجد</t>
  </si>
  <si>
    <t>ندى سعيد</t>
  </si>
  <si>
    <t>صلاح سالمان</t>
  </si>
  <si>
    <t>حسام أحمد</t>
  </si>
  <si>
    <t>سلمى محمود</t>
  </si>
  <si>
    <t>مونيكا عماد</t>
  </si>
  <si>
    <t>فاطمة سمير</t>
  </si>
  <si>
    <t>محمد توفيق</t>
  </si>
  <si>
    <t>نسمة سلطان</t>
  </si>
  <si>
    <t>صفاء زيدان</t>
  </si>
  <si>
    <t>مصطفى حماد</t>
  </si>
  <si>
    <t>ماريا وهيب</t>
  </si>
  <si>
    <t>خيري كمال</t>
  </si>
  <si>
    <t>محمد حسين</t>
  </si>
  <si>
    <t>شيرين جمال</t>
  </si>
  <si>
    <t>هايدي عصام</t>
  </si>
  <si>
    <t>محمد علي حسن</t>
  </si>
  <si>
    <t>غادة علي</t>
  </si>
  <si>
    <t>نيفين وديع</t>
  </si>
  <si>
    <t>فرج رزق</t>
  </si>
  <si>
    <t>العلوم المتكاملة</t>
  </si>
  <si>
    <t>أحمد سيد شعبان طه نوح</t>
  </si>
  <si>
    <t>محمد شعبان عبد القادر</t>
  </si>
  <si>
    <t>ثابت محمد</t>
  </si>
  <si>
    <t>بيشوي مجدي</t>
  </si>
  <si>
    <t>إكرامي محمد</t>
  </si>
  <si>
    <t>وجدان عبد الرازق</t>
  </si>
  <si>
    <t>إسراء أحمد برعي</t>
  </si>
  <si>
    <t>سارة الهمشري</t>
  </si>
  <si>
    <t>هبة قاسم</t>
  </si>
  <si>
    <t>عبد الله محمد عبد الحليم</t>
  </si>
  <si>
    <t>رضوى مصطفى</t>
  </si>
  <si>
    <t>إيمان عفت</t>
  </si>
  <si>
    <t>دينا عادل محمود</t>
  </si>
  <si>
    <t>جاد الحسيني</t>
  </si>
  <si>
    <t>نيفين ثابت</t>
  </si>
  <si>
    <t>هدير محمد عبد المحسن</t>
  </si>
  <si>
    <t>سارة محمد عبد المحسن موسى</t>
  </si>
  <si>
    <t>هدير سمير</t>
  </si>
  <si>
    <t>إبراهيم أحمد</t>
  </si>
  <si>
    <t>بدر منير عبد المجيد</t>
  </si>
  <si>
    <t>شيماء يونس</t>
  </si>
  <si>
    <t>فاطمة صلاح</t>
  </si>
  <si>
    <t>محمد عبد الهادي سمير</t>
  </si>
  <si>
    <t>كريم جمال</t>
  </si>
  <si>
    <t>شعبان مصطفى عبد الباقي</t>
  </si>
  <si>
    <t>EG04-EG05-EG06</t>
  </si>
  <si>
    <t>imaneabada@gmail.com</t>
  </si>
  <si>
    <t>01005729272</t>
  </si>
  <si>
    <t>2172</t>
  </si>
  <si>
    <t>EG01-EG02-EG03</t>
  </si>
  <si>
    <t>the.peace20006@gmail.com</t>
  </si>
  <si>
    <t>01067579926</t>
  </si>
  <si>
    <t>2171</t>
  </si>
  <si>
    <t>rehab533@gmail.com</t>
  </si>
  <si>
    <t>01019577994</t>
  </si>
  <si>
    <t>2191</t>
  </si>
  <si>
    <t>EG01-EG02-EG03-EG04-EG05</t>
  </si>
  <si>
    <t>norenosman11@yahoo.com</t>
  </si>
  <si>
    <t>01285292060</t>
  </si>
  <si>
    <t>nadalisaid46@gmail.com</t>
  </si>
  <si>
    <t>01273190435</t>
  </si>
  <si>
    <t>jodyy2007@gmail.com</t>
  </si>
  <si>
    <t>01091927577</t>
  </si>
  <si>
    <t>ywael044@gmail.com</t>
  </si>
  <si>
    <t>01271833101</t>
  </si>
  <si>
    <t>elhosseinyasmaa@gmail.com</t>
  </si>
  <si>
    <t>01006995563</t>
  </si>
  <si>
    <t>EG01-EG02-EG03-EG04-EG05-EG06</t>
  </si>
  <si>
    <t>doaamostafaalis@gmail.com</t>
  </si>
  <si>
    <t>01012291825</t>
  </si>
  <si>
    <t>EG01-EG02-EG03-EG04</t>
  </si>
  <si>
    <t>moneyedward37@gmail.com</t>
  </si>
  <si>
    <t>01277626560</t>
  </si>
  <si>
    <t>doniafarouk2811@gmail.com</t>
  </si>
  <si>
    <t>01201302647</t>
  </si>
  <si>
    <t>2003</t>
  </si>
  <si>
    <t>erineyatef@gmail.com</t>
  </si>
  <si>
    <t>01211816220</t>
  </si>
  <si>
    <t>2103</t>
  </si>
  <si>
    <t>heba.abdelhameed99@gmail.com</t>
  </si>
  <si>
    <t>01126571109</t>
  </si>
  <si>
    <t>2244</t>
  </si>
  <si>
    <t>mahahimony@gmail.com</t>
  </si>
  <si>
    <t>01156615561</t>
  </si>
  <si>
    <t>merahesham2000@gmail.com</t>
  </si>
  <si>
    <t>01027391210</t>
  </si>
  <si>
    <t xml:space="preserve">EG01-EG02-EG03-EG04 </t>
  </si>
  <si>
    <t>nouranyl64@gmail.com</t>
  </si>
  <si>
    <t>01010594459</t>
  </si>
  <si>
    <t>EG01-EG02-EG03-EG04-EG05-EG06-EG07</t>
  </si>
  <si>
    <t>esraalaa25@gmail.com</t>
  </si>
  <si>
    <t>01091311114</t>
  </si>
  <si>
    <t>aueed.eteachers@gmail.com</t>
  </si>
  <si>
    <t>01270819064</t>
  </si>
  <si>
    <t>nadasherif1007@gmail.com</t>
  </si>
  <si>
    <t>EG01-EG02</t>
  </si>
  <si>
    <t>somahamza27@gmail.com</t>
  </si>
  <si>
    <t>shahendaabdulaziz98@gmail.com</t>
  </si>
  <si>
    <t>01004298923</t>
  </si>
  <si>
    <t>EG01-EG02-EG03-EG04-5</t>
  </si>
  <si>
    <t>mrsgehan94@gmail.com</t>
  </si>
  <si>
    <t>reham.haridy17@gmail.com</t>
  </si>
  <si>
    <t>01126620688</t>
  </si>
  <si>
    <t>nadaaly58@gmail.com</t>
  </si>
  <si>
    <t>01275735695</t>
  </si>
  <si>
    <t>marinaemad4922@gmail.com</t>
  </si>
  <si>
    <t>01210882072</t>
  </si>
  <si>
    <t>ashrfmaryam557@gmail.com</t>
  </si>
  <si>
    <t>galaleman21@yahoo.com</t>
  </si>
  <si>
    <t>01276133970</t>
  </si>
  <si>
    <t>nohalotfy33@gmail.com</t>
  </si>
  <si>
    <t>01271850094</t>
  </si>
  <si>
    <t>safaadel499@gmail.com</t>
  </si>
  <si>
    <t>nosamohamed000@gmail.com</t>
  </si>
  <si>
    <t>shahendamohammad3@gmail.com</t>
  </si>
  <si>
    <t>01223315390</t>
  </si>
  <si>
    <t>2310</t>
  </si>
  <si>
    <t>asmaaashraf.aa@gmail.com</t>
  </si>
  <si>
    <t>01015511375</t>
  </si>
  <si>
    <t>2290</t>
  </si>
  <si>
    <t>ayasobhy2014@gmail.com</t>
  </si>
  <si>
    <t>01096896433</t>
  </si>
  <si>
    <t>nourhan.hany.amer.1992@gmail.com</t>
  </si>
  <si>
    <t>01023766623</t>
  </si>
  <si>
    <t>ayafathy1020@gmail.com</t>
  </si>
  <si>
    <t>01025755518//01507075518</t>
  </si>
  <si>
    <t>nourhanyasser1999184@gmail.com</t>
  </si>
  <si>
    <t>01110620513</t>
  </si>
  <si>
    <t>emanali8134@gmail.com</t>
  </si>
  <si>
    <t>01282166883</t>
  </si>
  <si>
    <t>aya963539@gmail.com</t>
  </si>
  <si>
    <t>01064460758</t>
  </si>
  <si>
    <t>dinaradwan109@gmail.com</t>
  </si>
  <si>
    <t>01144211463</t>
  </si>
  <si>
    <t>somaiamohmed2050@gmail.com</t>
  </si>
  <si>
    <t>01096034557</t>
  </si>
  <si>
    <t>nourhan.fdel5@gmail.com</t>
  </si>
  <si>
    <t>01091234112</t>
  </si>
  <si>
    <t>mariamelgohary8@gmail.com</t>
  </si>
  <si>
    <t>yasmin.ihab.abdelwahed@hotmail.com</t>
  </si>
  <si>
    <t>2179</t>
  </si>
  <si>
    <t>shaimaa.nabil2410@gmail.com</t>
  </si>
  <si>
    <t>01013159595</t>
  </si>
  <si>
    <t>2246</t>
  </si>
  <si>
    <t>EG01-EG02-EG03-EG04-EG05-EG06-</t>
  </si>
  <si>
    <t>yoyotamer2345@gmail.com</t>
  </si>
  <si>
    <t>01114556924</t>
  </si>
  <si>
    <t>2215</t>
  </si>
  <si>
    <t>nermeensabry992@gmail.com</t>
  </si>
  <si>
    <t>01284529778</t>
  </si>
  <si>
    <t>2266</t>
  </si>
  <si>
    <t>marmar.elmahdy@gmail.com</t>
  </si>
  <si>
    <t>01061732805-01289867044</t>
  </si>
  <si>
    <t>fatmalabib041@gmail.com</t>
  </si>
  <si>
    <t>01019758284</t>
  </si>
  <si>
    <t>hussienhelmy54@gmail.com</t>
  </si>
  <si>
    <t>01222364937</t>
  </si>
  <si>
    <t>nahlayousry6@gmail.com</t>
  </si>
  <si>
    <t>2092</t>
  </si>
  <si>
    <t>ibrahimelzayan@gmail.com</t>
  </si>
  <si>
    <t>01141139184</t>
  </si>
  <si>
    <t>2178</t>
  </si>
  <si>
    <t>sara.mohmed409@gmail.com</t>
  </si>
  <si>
    <t>01155026319</t>
  </si>
  <si>
    <t>2273</t>
  </si>
  <si>
    <t>emanshaker81@gmail.com</t>
  </si>
  <si>
    <t>0201114924955</t>
  </si>
  <si>
    <t>2278</t>
  </si>
  <si>
    <t>douaazika@gmail.com</t>
  </si>
  <si>
    <t>2321</t>
  </si>
  <si>
    <t>سنعتمد عليها في الترم الثاني
EG01-EG02-EG03</t>
  </si>
  <si>
    <t>myasmine116@gmail.com</t>
  </si>
  <si>
    <t>01015633019</t>
  </si>
  <si>
    <t>enjymokhtar.219@gmail.com</t>
  </si>
  <si>
    <t>01201521125</t>
  </si>
  <si>
    <t>shimaakamal553@gmail.com</t>
  </si>
  <si>
    <t>01157711782</t>
  </si>
  <si>
    <t>asmaakasem25@hotmail.com</t>
  </si>
  <si>
    <t>01100109067</t>
  </si>
  <si>
    <t>shimaahussain2@gmail.com</t>
  </si>
  <si>
    <t>01016634509</t>
  </si>
  <si>
    <t>manalabdelnaby10@gmail.com</t>
  </si>
  <si>
    <t>shimosoliman4016@gmail.com</t>
  </si>
  <si>
    <t>amanianas217@gmail.com</t>
  </si>
  <si>
    <t>01001014795</t>
  </si>
  <si>
    <t>alaa.work91@gmail.com</t>
  </si>
  <si>
    <t>sosajojo29@gmail.com</t>
  </si>
  <si>
    <t>01211339318</t>
  </si>
  <si>
    <t>zeinabsamirsamir@gmail.com</t>
  </si>
  <si>
    <t>1963</t>
  </si>
  <si>
    <t>amiraghth@gmail.com</t>
  </si>
  <si>
    <t>01119682313</t>
  </si>
  <si>
    <t>1990</t>
  </si>
  <si>
    <t>tahaeldaowdy@gmail.com</t>
  </si>
  <si>
    <t>+201119688644</t>
  </si>
  <si>
    <t>2153</t>
  </si>
  <si>
    <t>der7afer@gmail.com</t>
  </si>
  <si>
    <t>01145433963</t>
  </si>
  <si>
    <t>eman.ismail89@gmail.com</t>
  </si>
  <si>
    <t>01098433794</t>
  </si>
  <si>
    <t>EG04-EG05-EG06-EG07-EG08-EG09</t>
  </si>
  <si>
    <t>elsayeddina@hotmail.com</t>
  </si>
  <si>
    <t>01114432985</t>
  </si>
  <si>
    <t>EG4-EG5-EG6-EG7-EG8-EG9</t>
  </si>
  <si>
    <t>raldeeb.hesham@gmail.com</t>
  </si>
  <si>
    <t>01010014454</t>
  </si>
  <si>
    <t>maram.tareq1988@gmail.com</t>
  </si>
  <si>
    <t>01550116087</t>
  </si>
  <si>
    <t>efouad774@gmail.com</t>
  </si>
  <si>
    <t>01203102091</t>
  </si>
  <si>
    <t>EG04-EG05-EG06-EG07</t>
  </si>
  <si>
    <t>doaa.aboelhadid@gmail.com</t>
  </si>
  <si>
    <t>01090759683</t>
  </si>
  <si>
    <t>sherin.mohamed.hafez@gmail.com</t>
  </si>
  <si>
    <t>01017179234</t>
  </si>
  <si>
    <t>EG03-EG04-EG05-EG06</t>
  </si>
  <si>
    <t>eh718010@gmail.com</t>
  </si>
  <si>
    <t>01011118294</t>
  </si>
  <si>
    <t>ms3455672@gmail.com</t>
  </si>
  <si>
    <t>01068974535</t>
  </si>
  <si>
    <t>nourhanemad92@gmail.com</t>
  </si>
  <si>
    <t>01007704272</t>
  </si>
  <si>
    <t>rihamaql@gmail.com</t>
  </si>
  <si>
    <t>sarahadel25@gmail.com</t>
  </si>
  <si>
    <t>01221284747</t>
  </si>
  <si>
    <t>ettmanmostafa@gmail.com</t>
  </si>
  <si>
    <t>01002002430</t>
  </si>
  <si>
    <t>narimanelshaer29@gmail.com</t>
  </si>
  <si>
    <t>01068481234</t>
  </si>
  <si>
    <t>EG04-EG05</t>
  </si>
  <si>
    <t>yasmin.t.zaki@gmail.com</t>
  </si>
  <si>
    <t>EG04-EG05-EG06-7-8</t>
  </si>
  <si>
    <t>amrmowafy2025@gmail.com</t>
  </si>
  <si>
    <t>01004917420</t>
  </si>
  <si>
    <t>nadasiam055@gmail.com</t>
  </si>
  <si>
    <t>01025277618</t>
  </si>
  <si>
    <t xml:space="preserve">EG04-EG05-EG06 </t>
  </si>
  <si>
    <t>nagwaneweir@gmail.com</t>
  </si>
  <si>
    <t>01000321191</t>
  </si>
  <si>
    <t>peter.hanna.said@gmail.com</t>
  </si>
  <si>
    <t>01023587845</t>
  </si>
  <si>
    <t>eyadsayed2016@gmail.com</t>
  </si>
  <si>
    <t>01225926326</t>
  </si>
  <si>
    <t>samarhtt88@gmail.com</t>
  </si>
  <si>
    <t>EG04-EG05-EG06-7</t>
  </si>
  <si>
    <t>basma.fouad@yahoo.com</t>
  </si>
  <si>
    <t>01099743661</t>
  </si>
  <si>
    <t>monakoka010@gmail.com</t>
  </si>
  <si>
    <t>01141513173</t>
  </si>
  <si>
    <t>mr.samiribrahim@yahoo.com</t>
  </si>
  <si>
    <t>01200100441</t>
  </si>
  <si>
    <t>nohaibrahim1310@gmail.com</t>
  </si>
  <si>
    <t>ibrahimabdelaliem591@gmail.com</t>
  </si>
  <si>
    <t>01013720278</t>
  </si>
  <si>
    <t>mrs.sahar.savvy@gmail.com</t>
  </si>
  <si>
    <t>EG04-EG05-EG06-EG07-EG08-EG09-10-11</t>
  </si>
  <si>
    <t>omer_mohamed2009@yahoo.com</t>
  </si>
  <si>
    <t>00201017573880</t>
  </si>
  <si>
    <t>doaaemadeldin6@gmail.com</t>
  </si>
  <si>
    <t>01099093013</t>
  </si>
  <si>
    <t>ymy201010@gmail.com</t>
  </si>
  <si>
    <t>nahla.y2013@gmail.com</t>
  </si>
  <si>
    <t>01015128248</t>
  </si>
  <si>
    <t>EG04-EG05-EG06-EG07-EG08-EG09-EG10-EG11-EG12</t>
  </si>
  <si>
    <t>princemido@hotmail.com</t>
  </si>
  <si>
    <t>moaazghady@gmail.com</t>
  </si>
  <si>
    <t>nermeenhasan35@gmail.com</t>
  </si>
  <si>
    <t>petermedhat25@gmail.com</t>
  </si>
  <si>
    <t>01282584743</t>
  </si>
  <si>
    <t>mr.walidali79@gmail.com</t>
  </si>
  <si>
    <t>2288</t>
  </si>
  <si>
    <t>hatem2235h@gmail.com</t>
  </si>
  <si>
    <t>01030944131</t>
  </si>
  <si>
    <t>2270</t>
  </si>
  <si>
    <t>rahmahamoda59@gmail.com</t>
  </si>
  <si>
    <t>01011416685</t>
  </si>
  <si>
    <t>amr731844@gmail.com</t>
  </si>
  <si>
    <t>01094839978</t>
  </si>
  <si>
    <t>pro.islamhmam@gmail.com</t>
  </si>
  <si>
    <t>01550512026</t>
  </si>
  <si>
    <t>ahmedgoda712@gmail.com</t>
  </si>
  <si>
    <t>01212265381</t>
  </si>
  <si>
    <t>aya.emara96@gmail.com</t>
  </si>
  <si>
    <t>kirolosbotrosrizk@gmail.com</t>
  </si>
  <si>
    <t>01212650406</t>
  </si>
  <si>
    <t>may.elhamshary18@gmail.com</t>
  </si>
  <si>
    <t>01098180108</t>
  </si>
  <si>
    <t>hamdly634@gmail.com</t>
  </si>
  <si>
    <t>01157080971</t>
  </si>
  <si>
    <t>m.h.raffat@gmail.com</t>
  </si>
  <si>
    <t>nesahmed2@gmail.com</t>
  </si>
  <si>
    <t>01068231011</t>
  </si>
  <si>
    <t>emankhalil9688896@gmail.com</t>
  </si>
  <si>
    <t>01211232390</t>
  </si>
  <si>
    <t>sally.sayed@yahoo.com</t>
  </si>
  <si>
    <t>01226537936</t>
  </si>
  <si>
    <t>rania.fahmy222@gmail.com</t>
  </si>
  <si>
    <t>01101560506</t>
  </si>
  <si>
    <t>3mahoda@gmail.com</t>
  </si>
  <si>
    <t>1843</t>
  </si>
  <si>
    <t>salmaellaithy96@gmail.com</t>
  </si>
  <si>
    <t>01099069950</t>
  </si>
  <si>
    <t>1866</t>
  </si>
  <si>
    <t>hebaadel1795@gmail.com</t>
  </si>
  <si>
    <t>01159608979</t>
  </si>
  <si>
    <t>1958</t>
  </si>
  <si>
    <t>sararef3t90@gmail.com</t>
  </si>
  <si>
    <t>+201100848903</t>
  </si>
  <si>
    <t>2040</t>
  </si>
  <si>
    <t>emiliamony@gmail.com</t>
  </si>
  <si>
    <t>2049</t>
  </si>
  <si>
    <t>mohamedlokman055@gmail.com</t>
  </si>
  <si>
    <t>01006721017</t>
  </si>
  <si>
    <t>2240</t>
  </si>
  <si>
    <t>alshaimaag062@gmail.com</t>
  </si>
  <si>
    <t>01094815086</t>
  </si>
  <si>
    <t>2245</t>
  </si>
  <si>
    <t>samarhamdy793@gmail.com</t>
  </si>
  <si>
    <t>01204852813</t>
  </si>
  <si>
    <t>2248</t>
  </si>
  <si>
    <t>sa.othman8@gmail.com</t>
  </si>
  <si>
    <t>01022637927</t>
  </si>
  <si>
    <t>douaanaguib@gmail.com</t>
  </si>
  <si>
    <t>01000271867</t>
  </si>
  <si>
    <t>mrminamath1989@gmail.com</t>
  </si>
  <si>
    <t>01061512070</t>
  </si>
  <si>
    <t>raniamo712@gmail.com</t>
  </si>
  <si>
    <t>01157249432</t>
  </si>
  <si>
    <t>shemoelbindary52@gmail.com</t>
  </si>
  <si>
    <t>01090538802</t>
  </si>
  <si>
    <t>amrtarek.1100@yahoo.com</t>
  </si>
  <si>
    <t>01143727455</t>
  </si>
  <si>
    <t>essay.soo1996@gmail.com</t>
  </si>
  <si>
    <t>ogomaa57@gmail.com</t>
  </si>
  <si>
    <t>01002637904</t>
  </si>
  <si>
    <t>karema0saed@gmail.com</t>
  </si>
  <si>
    <t>mennar048@gmail.com</t>
  </si>
  <si>
    <t>nancyahmed9720@gmail.com</t>
  </si>
  <si>
    <t>01226903380</t>
  </si>
  <si>
    <t>math.department.eg@gmail.com</t>
  </si>
  <si>
    <t>01016652043</t>
  </si>
  <si>
    <t>asmaa.elnoubi@gmail.com</t>
  </si>
  <si>
    <t>01270115158</t>
  </si>
  <si>
    <t>EG03-EG04-EG05</t>
  </si>
  <si>
    <t>habibaadel1922@gmail.com</t>
  </si>
  <si>
    <t>01201027560</t>
  </si>
  <si>
    <t>martinaasad5@gmail.com</t>
  </si>
  <si>
    <t>+201281678241</t>
  </si>
  <si>
    <t>hebatullahhesham47@gmail.com</t>
  </si>
  <si>
    <t>nasrahussein422@gmail.com</t>
  </si>
  <si>
    <t>amiratutmask@gmail.com</t>
  </si>
  <si>
    <t>01006331821</t>
  </si>
  <si>
    <t>gedahad1511@gmail.com</t>
  </si>
  <si>
    <t>asaadia881@gmail.com</t>
  </si>
  <si>
    <t>ayamegahed071@gmail.com</t>
  </si>
  <si>
    <t>01066056096</t>
  </si>
  <si>
    <t>ahmedtawfek2002@gmail.com</t>
  </si>
  <si>
    <t>01098960940</t>
  </si>
  <si>
    <t>1004</t>
  </si>
  <si>
    <t>zeina.elsheikh@nagwa.com</t>
  </si>
  <si>
    <t>01097890222</t>
  </si>
  <si>
    <t>1849</t>
  </si>
  <si>
    <t>noraalmiligy@gmail.com</t>
  </si>
  <si>
    <t>1907</t>
  </si>
  <si>
    <t>esraa.eid.95@gmail.com</t>
  </si>
  <si>
    <t>01009980720</t>
  </si>
  <si>
    <t>2013</t>
  </si>
  <si>
    <t>radwakadrey@gmail.com</t>
  </si>
  <si>
    <t>01228963698</t>
  </si>
  <si>
    <t>2144</t>
  </si>
  <si>
    <t>amanyelsayed808@gmail.com</t>
  </si>
  <si>
    <t>01008649576</t>
  </si>
  <si>
    <t>1383</t>
  </si>
  <si>
    <t>byasmins4288@gmail.com</t>
  </si>
  <si>
    <t>01004560430</t>
  </si>
  <si>
    <t>aliaafsultan105@gmail.com</t>
  </si>
  <si>
    <t>01040323439</t>
  </si>
  <si>
    <t>hanansobhy9997@gmail.com</t>
  </si>
  <si>
    <t>01068457100</t>
  </si>
  <si>
    <t>rana.tarek.met@gmail.com</t>
  </si>
  <si>
    <t>01142877853</t>
  </si>
  <si>
    <t>hebamohamed.bloom@gmail.com</t>
  </si>
  <si>
    <t>01094740302</t>
  </si>
  <si>
    <t>rana.hrly@gmail.com</t>
  </si>
  <si>
    <t>01210614318</t>
  </si>
  <si>
    <t>marwa1980red@hotmail.com</t>
  </si>
  <si>
    <t>01210055699</t>
  </si>
  <si>
    <t>amiraahmed231@gmail.com</t>
  </si>
  <si>
    <t>01155574478</t>
  </si>
  <si>
    <t>ms.yaramostafaa@gmail.com</t>
  </si>
  <si>
    <t>demianaatef28@gmail.com</t>
  </si>
  <si>
    <t>01204031792</t>
  </si>
  <si>
    <t>hadeer.ashraf14@hotmail.com</t>
  </si>
  <si>
    <t>01004044327</t>
  </si>
  <si>
    <t>youstina.waide123@gmail.com</t>
  </si>
  <si>
    <t>01273882464</t>
  </si>
  <si>
    <t>EG05-EG06</t>
  </si>
  <si>
    <t>emanseadawy22@gmail.com</t>
  </si>
  <si>
    <t>01080328965</t>
  </si>
  <si>
    <t>sarasabry32@yahoo.com</t>
  </si>
  <si>
    <t>+201024181225</t>
  </si>
  <si>
    <t>mennatullahmohamed23@gmail.com</t>
  </si>
  <si>
    <t>01203531607</t>
  </si>
  <si>
    <t>esraaramy50@gmail.com</t>
  </si>
  <si>
    <t>01032803981</t>
  </si>
  <si>
    <t>khadijaabdelrahman88@gmail.com</t>
  </si>
  <si>
    <t>EG04-EG05-EG06-EG10</t>
  </si>
  <si>
    <t>ddoniamansour@gmail.com</t>
  </si>
  <si>
    <t>emanmashaly999@gmail.com</t>
  </si>
  <si>
    <t>01099178001</t>
  </si>
  <si>
    <t>magdolinesamir@gmail.com</t>
  </si>
  <si>
    <t>01203034643</t>
  </si>
  <si>
    <t>ndyaldrgham@gmail.com</t>
  </si>
  <si>
    <t>inas.ibrahim.habib@gmail.com</t>
  </si>
  <si>
    <t>mariamdarbain06@gmail.com</t>
  </si>
  <si>
    <t>01095138842</t>
  </si>
  <si>
    <t>msayabayoumy@gmail.com</t>
  </si>
  <si>
    <t>01143323764</t>
  </si>
  <si>
    <t>1826</t>
  </si>
  <si>
    <t>mhala5855@gmail.com</t>
  </si>
  <si>
    <t>1885</t>
  </si>
  <si>
    <t>dodoelzohry22@gmail.com</t>
  </si>
  <si>
    <t>01090569530</t>
  </si>
  <si>
    <t>1920</t>
  </si>
  <si>
    <t>heba.mh29@gmail.com</t>
  </si>
  <si>
    <t>1986</t>
  </si>
  <si>
    <t>saranaguib005@gmail.com</t>
  </si>
  <si>
    <t>1985</t>
  </si>
  <si>
    <t>ms.zeinabelsagheer.paoh@gmail.com</t>
  </si>
  <si>
    <t>2070</t>
  </si>
  <si>
    <t>reemhassannassar209@gmail.com</t>
  </si>
  <si>
    <t>01118953299</t>
  </si>
  <si>
    <t>2066</t>
  </si>
  <si>
    <t>christinemourad6@gmail.com</t>
  </si>
  <si>
    <t>01202636991</t>
  </si>
  <si>
    <t>ma6515149@gmail.com</t>
  </si>
  <si>
    <t>01208476617</t>
  </si>
  <si>
    <t>2207</t>
  </si>
  <si>
    <t>nadaaosama1@gmail.com</t>
  </si>
  <si>
    <t>01208990138</t>
  </si>
  <si>
    <t>2182</t>
  </si>
  <si>
    <t>doaamarzouk992@gmail.com</t>
  </si>
  <si>
    <t>01002287489</t>
  </si>
  <si>
    <t>2219</t>
  </si>
  <si>
    <t>shimmaabdalrhman@gmail.com</t>
  </si>
  <si>
    <t>EG04-EG05-EG06-EG07-EG08</t>
  </si>
  <si>
    <t>asmmasalim22@gmail.com</t>
  </si>
  <si>
    <t>01033304652</t>
  </si>
  <si>
    <t>reham_2013@yahoo.com</t>
  </si>
  <si>
    <t>01152340498</t>
  </si>
  <si>
    <t>2221</t>
  </si>
  <si>
    <t>mis.rana811@gmail.com</t>
  </si>
  <si>
    <t>01211401694</t>
  </si>
  <si>
    <t>2247</t>
  </si>
  <si>
    <t>bushra0atif@gmail.com</t>
  </si>
  <si>
    <t>01125625432</t>
  </si>
  <si>
    <t>2230</t>
  </si>
  <si>
    <t>ei8933954@gmail.com</t>
  </si>
  <si>
    <t>01202150818</t>
  </si>
  <si>
    <t>hebaalisaber223@gmail.com</t>
  </si>
  <si>
    <t>fatma.rashad86@gmail.com</t>
  </si>
  <si>
    <t>01128890011</t>
  </si>
  <si>
    <t>randa.fouad.1811@gmail.com</t>
  </si>
  <si>
    <t>raniaemad91111@gmail.com</t>
  </si>
  <si>
    <t>enas.ali91@gmail.com</t>
  </si>
  <si>
    <t>01014651990</t>
  </si>
  <si>
    <t>EG07-EG08-EG09</t>
  </si>
  <si>
    <t>ahmedsalah991986@gmail.com</t>
  </si>
  <si>
    <t>01224705674</t>
  </si>
  <si>
    <t>mennaashraf863@gmail.com</t>
  </si>
  <si>
    <t>01222505132</t>
  </si>
  <si>
    <t>EG4-EG05-EG06</t>
  </si>
  <si>
    <t>mustaphahistory@gmail.com</t>
  </si>
  <si>
    <t>cute.pospos@gmail.com</t>
  </si>
  <si>
    <t>01142388120</t>
  </si>
  <si>
    <t>basmasaeed2714@gmail.com</t>
  </si>
  <si>
    <t>sarageo405060@gmail.com</t>
  </si>
  <si>
    <t>01125500358</t>
  </si>
  <si>
    <t>bassemalmasry80@gmail.com</t>
  </si>
  <si>
    <t>mrw263050@gmail.com</t>
  </si>
  <si>
    <t>01032048605</t>
  </si>
  <si>
    <t>aalaamahamed7@gmail.com</t>
  </si>
  <si>
    <t>01065974950</t>
  </si>
  <si>
    <t>1844</t>
  </si>
  <si>
    <t>zeinabslime1987@gmail.com</t>
  </si>
  <si>
    <t>01157488697</t>
  </si>
  <si>
    <t>1900</t>
  </si>
  <si>
    <t>mariamabdelkader292@gmail.com</t>
  </si>
  <si>
    <t>1956</t>
  </si>
  <si>
    <t>walaasaad17@gmail.com</t>
  </si>
  <si>
    <t>01120350201</t>
  </si>
  <si>
    <t>1960</t>
  </si>
  <si>
    <t>hadeersayeed68@gmail.com</t>
  </si>
  <si>
    <t>01028000334</t>
  </si>
  <si>
    <t>1997</t>
  </si>
  <si>
    <t>khookha.geushy@gmail.com</t>
  </si>
  <si>
    <t>01000285051</t>
  </si>
  <si>
    <t>2036</t>
  </si>
  <si>
    <t>saramelgendy@gmail.com</t>
  </si>
  <si>
    <t>01128004018</t>
  </si>
  <si>
    <t>2257</t>
  </si>
  <si>
    <t>mohamedyahya1921@gmail.com</t>
  </si>
  <si>
    <t>01013531223 - 01123214248</t>
  </si>
  <si>
    <t>‪nahedfathy192@gmail.com</t>
  </si>
  <si>
    <t>01025801482</t>
  </si>
  <si>
    <t>missdoaanagy@gmail.com</t>
  </si>
  <si>
    <t>01066558103</t>
  </si>
  <si>
    <t>yarahassan2027@gmail.com</t>
  </si>
  <si>
    <t>01014975043</t>
  </si>
  <si>
    <t>abdonet777@yahoo.com</t>
  </si>
  <si>
    <t>01069344824</t>
  </si>
  <si>
    <t>samarana2654@gmail.com</t>
  </si>
  <si>
    <t>01225233745</t>
  </si>
  <si>
    <t>EG4-EG5-EG6</t>
  </si>
  <si>
    <t>mahaelhamzay@gmail.com</t>
  </si>
  <si>
    <t>mb4940749@gmail.com</t>
  </si>
  <si>
    <t>01005056280</t>
  </si>
  <si>
    <t>2025jd04@gmail.com</t>
  </si>
  <si>
    <t>01288701449</t>
  </si>
  <si>
    <t>mostafagamalmetwally@gmail.com</t>
  </si>
  <si>
    <t>1897</t>
  </si>
  <si>
    <t>rahmasaeed600@gmail.com</t>
  </si>
  <si>
    <t>01140946934</t>
  </si>
  <si>
    <t>1968</t>
  </si>
  <si>
    <t>aalhamaqi@gmail.com</t>
  </si>
  <si>
    <t>01097689004</t>
  </si>
  <si>
    <t>1984</t>
  </si>
  <si>
    <t>raniashabanmohamed99@gmail.com</t>
  </si>
  <si>
    <t>2138</t>
  </si>
  <si>
    <t>sarahhesham7777@gmail.com</t>
  </si>
  <si>
    <t>01024197640</t>
  </si>
  <si>
    <t>2169</t>
  </si>
  <si>
    <t>mariamjohn2016@gmail.com</t>
  </si>
  <si>
    <t>01204817452</t>
  </si>
  <si>
    <t>noursadek219@gmail.com</t>
  </si>
  <si>
    <t>01200935348</t>
  </si>
  <si>
    <t>mostafa.raafat.mr@gmail.com</t>
  </si>
  <si>
    <t>01127246518</t>
  </si>
  <si>
    <t>sondosibrahimmohamed50@gmail.com</t>
  </si>
  <si>
    <t>01148230103</t>
  </si>
  <si>
    <t>emanhamdy9876@gmail.com</t>
  </si>
  <si>
    <t>01118049112</t>
  </si>
  <si>
    <t>maryamabogourab98@gmail.com</t>
  </si>
  <si>
    <t>01024705051</t>
  </si>
  <si>
    <t>shimaasayed7796@gmail.com</t>
  </si>
  <si>
    <t>01014038811</t>
  </si>
  <si>
    <t>carolineezak250@gmail.com</t>
  </si>
  <si>
    <t>01200451640</t>
  </si>
  <si>
    <t>ns5603341@gmail.com</t>
  </si>
  <si>
    <t>hasnaa.seen@gmail.com</t>
  </si>
  <si>
    <t>gehadmousa786@gmail.com</t>
  </si>
  <si>
    <t>01022451628</t>
  </si>
  <si>
    <t>asmaaa.elaimy@gmail.com</t>
  </si>
  <si>
    <t>01066612687</t>
  </si>
  <si>
    <t>145</t>
  </si>
  <si>
    <t>abdallah.moeenn@gmail.com</t>
  </si>
  <si>
    <t>737</t>
  </si>
  <si>
    <t>mohamed.eid@nagwa.com</t>
  </si>
  <si>
    <t>1869</t>
  </si>
  <si>
    <t>ibrahim.altrawey@gmail.com</t>
  </si>
  <si>
    <t>01228286453</t>
  </si>
  <si>
    <t>1714</t>
  </si>
  <si>
    <t>faten4.sayed@gmail.com</t>
  </si>
  <si>
    <t>1964</t>
  </si>
  <si>
    <t>m.moharam91@gmail.com</t>
  </si>
  <si>
    <t>01009005365</t>
  </si>
  <si>
    <t>2081</t>
  </si>
  <si>
    <t>apoapdo3000@gmail.com</t>
  </si>
  <si>
    <t>01119730825</t>
  </si>
  <si>
    <t>1137</t>
  </si>
  <si>
    <t>ahmedsalem6060@gmail.com</t>
  </si>
  <si>
    <t>01143409562</t>
  </si>
  <si>
    <t>2104</t>
  </si>
  <si>
    <t>ibrahimroshdy20202021@gmail.com</t>
  </si>
  <si>
    <t>01092350359</t>
  </si>
  <si>
    <t>2313</t>
  </si>
  <si>
    <t>afathy123654@gmail.com</t>
  </si>
  <si>
    <t>01150395089</t>
  </si>
  <si>
    <t>2307</t>
  </si>
  <si>
    <t>mahmoudkhamees2@gmail.com</t>
  </si>
  <si>
    <t>01016063128</t>
  </si>
  <si>
    <t>2319</t>
  </si>
  <si>
    <t>saraharaby90@gmail.com</t>
  </si>
  <si>
    <t>01118843325</t>
  </si>
  <si>
    <t>islamsba98@gmail.com</t>
  </si>
  <si>
    <t>01018015076</t>
  </si>
  <si>
    <t>EG03-EG04-EG05-EG06-EG07-EG08-EG09</t>
  </si>
  <si>
    <t>ebsmoab@gmail.com</t>
  </si>
  <si>
    <t>01123330493</t>
  </si>
  <si>
    <t>fatma25nady@gmail.com</t>
  </si>
  <si>
    <t>01028758529</t>
  </si>
  <si>
    <t>EG03-EG04-EG05-EG06-EG07</t>
  </si>
  <si>
    <t>meramera192333@gmail.com</t>
  </si>
  <si>
    <t>01123054991</t>
  </si>
  <si>
    <t>enahany4@gmail.com</t>
  </si>
  <si>
    <t>01096788156</t>
  </si>
  <si>
    <t>amrgamalhamdi@gmail.com</t>
  </si>
  <si>
    <t>01060743606</t>
  </si>
  <si>
    <t>adelhalfawytea@gmail.com</t>
  </si>
  <si>
    <t>01026332686</t>
  </si>
  <si>
    <t>hossam.kandel70@gmail.com</t>
  </si>
  <si>
    <t>01227304602</t>
  </si>
  <si>
    <t>rababelhenawey@gmail.com</t>
  </si>
  <si>
    <t>saadbehery13@gmail.com</t>
  </si>
  <si>
    <t>reham.3adel@hotmail.com</t>
  </si>
  <si>
    <t>01114564985</t>
  </si>
  <si>
    <t>nadiaabdalbast@outlook.com</t>
  </si>
  <si>
    <t>01027624883</t>
  </si>
  <si>
    <t>fatmaalzhraa704@gmail.com</t>
  </si>
  <si>
    <t>01011497610</t>
  </si>
  <si>
    <t>doniaalaaeldeen13@gmail.com</t>
  </si>
  <si>
    <t>01127447490</t>
  </si>
  <si>
    <t>hanaaelamir7@gmail.com</t>
  </si>
  <si>
    <t>01003088300</t>
  </si>
  <si>
    <t>amalomara78@gmail.com</t>
  </si>
  <si>
    <t>01278856104</t>
  </si>
  <si>
    <t>nehadsalahalsakka@gmail.com</t>
  </si>
  <si>
    <t>01067349853</t>
  </si>
  <si>
    <t>asmaa.hashim88@gmail.com</t>
  </si>
  <si>
    <t>01098052277</t>
  </si>
  <si>
    <t>modeayamode@gmail.com</t>
  </si>
  <si>
    <t>randaelbedaya02@gmail.com</t>
  </si>
  <si>
    <t>aymanbesso81@gmail.com</t>
  </si>
  <si>
    <t>naglaaradwan99@gmail.com</t>
  </si>
  <si>
    <t>2296</t>
  </si>
  <si>
    <t>hazemabdulrahman99@gmail.com</t>
  </si>
  <si>
    <t>01126374221</t>
  </si>
  <si>
    <t>2271</t>
  </si>
  <si>
    <t>smahmoudnagaty@gmail.com</t>
  </si>
  <si>
    <t>01125927483</t>
  </si>
  <si>
    <t>1911</t>
  </si>
  <si>
    <t>jess.hisham@gmail.com</t>
  </si>
  <si>
    <t>01000347446</t>
  </si>
  <si>
    <t>1942</t>
  </si>
  <si>
    <t>hossamhs2@gmail.com</t>
  </si>
  <si>
    <t>01140444210</t>
  </si>
  <si>
    <t>etimadwasef.hurg@gmail.com</t>
  </si>
  <si>
    <t>01206008424</t>
  </si>
  <si>
    <t>EG07-EG08-EG09-EG10-EG11</t>
  </si>
  <si>
    <t>magdi.younis@yahoo.com</t>
  </si>
  <si>
    <t>emanyassen175@gmail.com</t>
  </si>
  <si>
    <t>01124999968</t>
  </si>
  <si>
    <t>greenocean1221@gmail.com</t>
  </si>
  <si>
    <t>01004480246</t>
  </si>
  <si>
    <t>EG04-EG05-EG06-EG07-EG08-EG09-EG10</t>
  </si>
  <si>
    <t>abderrahman.adel1994@gmail.com</t>
  </si>
  <si>
    <t>01023436456 - 01121192433</t>
  </si>
  <si>
    <t>samyalhadad1971@gmail.com</t>
  </si>
  <si>
    <t>0127 6656531</t>
  </si>
  <si>
    <t>abdollahbakry84@gmail.com</t>
  </si>
  <si>
    <t>01280483249</t>
  </si>
  <si>
    <t>EG07-EG08-EG09-EG10-EG11-EG12</t>
  </si>
  <si>
    <t>rzsa33@gmail.com</t>
  </si>
  <si>
    <t>01228046146</t>
  </si>
  <si>
    <t>EG07-EG08-EG09-EG10</t>
  </si>
  <si>
    <t>aabdelwanis10@gmail.com</t>
  </si>
  <si>
    <t>01277938694</t>
  </si>
  <si>
    <t>mm.hh7238@gmail.com</t>
  </si>
  <si>
    <t>01098964450</t>
  </si>
  <si>
    <t>abouelhassan777@gmail.com</t>
  </si>
  <si>
    <t>01143319486</t>
  </si>
  <si>
    <t>ali.tantawy10@icloud.com</t>
  </si>
  <si>
    <t>01069571410</t>
  </si>
  <si>
    <t>dr.english007@gmail.com</t>
  </si>
  <si>
    <t>emanalaahassan@gmail.com</t>
  </si>
  <si>
    <t>01092570623</t>
  </si>
  <si>
    <t>nohaabdelrahman840@gmail.com</t>
  </si>
  <si>
    <t>EG07-EG08</t>
  </si>
  <si>
    <t>catherinezaki90@gmail.com</t>
  </si>
  <si>
    <t>michel.emad17@gmail.com</t>
  </si>
  <si>
    <t xml:space="preserve">EG07-EG08-EG09 </t>
  </si>
  <si>
    <t>abdelaalhalawa@gmail.com</t>
  </si>
  <si>
    <t>01227050389</t>
  </si>
  <si>
    <t>hebagamal121@gmail.com</t>
  </si>
  <si>
    <t>suzanabdelfattah997@gmail.com</t>
  </si>
  <si>
    <t>amirayounes800@gmail.com</t>
  </si>
  <si>
    <t>7kheir@gmail.com</t>
  </si>
  <si>
    <t>01040261145</t>
  </si>
  <si>
    <t>1776</t>
  </si>
  <si>
    <t>seniormaths25@gmail.com</t>
  </si>
  <si>
    <t>01129242524</t>
  </si>
  <si>
    <t>1847</t>
  </si>
  <si>
    <t>mathteacher37age@gmail.com</t>
  </si>
  <si>
    <t>01068212833</t>
  </si>
  <si>
    <t>1848</t>
  </si>
  <si>
    <t>ahmad.azaba@yahoo.com</t>
  </si>
  <si>
    <t>01154891562</t>
  </si>
  <si>
    <t>1901</t>
  </si>
  <si>
    <t>mr.eslamelsyed@gmail.com</t>
  </si>
  <si>
    <t>01004928895</t>
  </si>
  <si>
    <t>1959</t>
  </si>
  <si>
    <t>maged0bebawy@gmail.com</t>
  </si>
  <si>
    <t>01271303012</t>
  </si>
  <si>
    <t>2052</t>
  </si>
  <si>
    <t>galalmohamed33@gmail.com</t>
  </si>
  <si>
    <t>+201069423949</t>
  </si>
  <si>
    <t>a0112020620@gmail.com</t>
  </si>
  <si>
    <t>01224567255</t>
  </si>
  <si>
    <t>hodaaly3008@gmail.com</t>
  </si>
  <si>
    <t>01208548997</t>
  </si>
  <si>
    <t>marwa.kamal.core@gmail.com</t>
  </si>
  <si>
    <t>01112024700</t>
  </si>
  <si>
    <t>arakha119@gmail.com</t>
  </si>
  <si>
    <t>01062336833 - 01229867543</t>
  </si>
  <si>
    <t>shaymaagaber.sg@gmail.com</t>
  </si>
  <si>
    <t>mohamed.fahmy0190@gmail.com</t>
  </si>
  <si>
    <t>01110995621</t>
  </si>
  <si>
    <t>rabiea1222@gmail.com</t>
  </si>
  <si>
    <t>01095228365</t>
  </si>
  <si>
    <t>hossammath@yahoo.com</t>
  </si>
  <si>
    <t>01006233576</t>
  </si>
  <si>
    <t>galalgalal185@gmail.com</t>
  </si>
  <si>
    <t>01006486535</t>
  </si>
  <si>
    <t>mrsherifsalah85@gmail.com</t>
  </si>
  <si>
    <t>01020165124</t>
  </si>
  <si>
    <t>sally.khalledsamy@outlook.com</t>
  </si>
  <si>
    <t>01149979990</t>
  </si>
  <si>
    <t>dr.eslam.h.i@gmail.com</t>
  </si>
  <si>
    <t>01002501821</t>
  </si>
  <si>
    <t>EG04-EG06-EG07-EG08-EG09</t>
  </si>
  <si>
    <t>a.abdallah.depd@gmail.com</t>
  </si>
  <si>
    <t>01118300659 - 01225781819</t>
  </si>
  <si>
    <t>nouranlotfy63@gmail.com</t>
  </si>
  <si>
    <t>01001625777</t>
  </si>
  <si>
    <t>rehamaly.76@gmail.com</t>
  </si>
  <si>
    <t>01206255208</t>
  </si>
  <si>
    <t>elsaiid99@live.com</t>
  </si>
  <si>
    <t>01126789926</t>
  </si>
  <si>
    <t>sherifzaiton218@gmail.com</t>
  </si>
  <si>
    <t>1788</t>
  </si>
  <si>
    <t>andrewtharwatfikry@gmail.com</t>
  </si>
  <si>
    <t>01205947696</t>
  </si>
  <si>
    <t>1851</t>
  </si>
  <si>
    <t>zahraasawy@gmail.com</t>
  </si>
  <si>
    <t>01146935411</t>
  </si>
  <si>
    <t>1930</t>
  </si>
  <si>
    <t>EG06-EG07-EG08-EG09-EG10</t>
  </si>
  <si>
    <t>veroniamamdouh332@gmail.com</t>
  </si>
  <si>
    <t>01285314528</t>
  </si>
  <si>
    <t>2042</t>
  </si>
  <si>
    <t>meneimpharma@gmail.com</t>
  </si>
  <si>
    <t>01225606274</t>
  </si>
  <si>
    <t>2098</t>
  </si>
  <si>
    <t>theresanaguib84@gmail.com</t>
  </si>
  <si>
    <t>01272245620</t>
  </si>
  <si>
    <t>2174</t>
  </si>
  <si>
    <t>yumna_elnennah@yahoo.com</t>
  </si>
  <si>
    <t>01013423508</t>
  </si>
  <si>
    <t>2213</t>
  </si>
  <si>
    <t>enabil24@gmail.com</t>
  </si>
  <si>
    <t>01204477722</t>
  </si>
  <si>
    <t>2282</t>
  </si>
  <si>
    <t>ayaserry@hotmail.com</t>
  </si>
  <si>
    <t>01033449440</t>
  </si>
  <si>
    <t>2281</t>
  </si>
  <si>
    <t>mhmodasem@yahoo.com</t>
  </si>
  <si>
    <t>01555039810</t>
  </si>
  <si>
    <t>sohilayousry160@gmail.com</t>
  </si>
  <si>
    <t>01147701242</t>
  </si>
  <si>
    <t>albertibrahim30@gmail.com</t>
  </si>
  <si>
    <t>01276626044</t>
  </si>
  <si>
    <t>johnmalakzaki@gmail.com</t>
  </si>
  <si>
    <t>01021748033</t>
  </si>
  <si>
    <t>ahmeddeif79@gmail.com</t>
  </si>
  <si>
    <t>01552762209</t>
  </si>
  <si>
    <t>shimaamaged436@gmail.com</t>
  </si>
  <si>
    <t>01271024461</t>
  </si>
  <si>
    <t>nm1238991@gmail.com</t>
  </si>
  <si>
    <t>01069534013</t>
  </si>
  <si>
    <t>melfar836@gmail.com</t>
  </si>
  <si>
    <t>+201289807074</t>
  </si>
  <si>
    <t>eng.nasrsaleh@gmail.com</t>
  </si>
  <si>
    <t>01008960199</t>
  </si>
  <si>
    <t>hebahamza662202@gmail.com</t>
  </si>
  <si>
    <t>sci.epistimi@gmail.com</t>
  </si>
  <si>
    <t>soheirmamdouh4190@gmail.com</t>
  </si>
  <si>
    <t>mennamohamed89166@gmail.com</t>
  </si>
  <si>
    <t>rowida.fekri.3325@gmail.com</t>
  </si>
  <si>
    <t>1859</t>
  </si>
  <si>
    <t>toka.karim22@gmail.com</t>
  </si>
  <si>
    <t>01011609935</t>
  </si>
  <si>
    <t>1861</t>
  </si>
  <si>
    <t>alaahesham492@gmail.com</t>
  </si>
  <si>
    <t>01204537345</t>
  </si>
  <si>
    <t>1873</t>
  </si>
  <si>
    <t>rehabtawfik8@gmail.com</t>
  </si>
  <si>
    <t>1883</t>
  </si>
  <si>
    <t>lailaelsayed3@gmail.com</t>
  </si>
  <si>
    <t>1921</t>
  </si>
  <si>
    <t>islamhozayen1@gmail.com</t>
  </si>
  <si>
    <t>01000302485</t>
  </si>
  <si>
    <t>1988</t>
  </si>
  <si>
    <t>memawaly578@gmail.com</t>
  </si>
  <si>
    <t>01030282653</t>
  </si>
  <si>
    <t>2045</t>
  </si>
  <si>
    <t>ahmedabdelshaheed88@gmail.com</t>
  </si>
  <si>
    <t>01009361878</t>
  </si>
  <si>
    <t>2083</t>
  </si>
  <si>
    <t>mahmoud.mohameed26@gmail.com</t>
  </si>
  <si>
    <t>01006764019</t>
  </si>
  <si>
    <t>2084</t>
  </si>
  <si>
    <t>naderwagdy666@gmail.com</t>
  </si>
  <si>
    <t>01280490085</t>
  </si>
  <si>
    <t>2181</t>
  </si>
  <si>
    <t>muhannad.m.m.khalil@gmail.com</t>
  </si>
  <si>
    <t>01114420263</t>
  </si>
  <si>
    <t>2192</t>
  </si>
  <si>
    <t>mohamedmagdi8000@gmail.com</t>
  </si>
  <si>
    <t>01119389015</t>
  </si>
  <si>
    <t>2183</t>
  </si>
  <si>
    <t>EG04-EG05-EG06-EG07-EG08-EG09-EG10-EG11</t>
  </si>
  <si>
    <t>marumoh44@gmail.com</t>
  </si>
  <si>
    <t>01550859370</t>
  </si>
  <si>
    <t>elseadim@gmail.com</t>
  </si>
  <si>
    <t>01032561184</t>
  </si>
  <si>
    <t>2197</t>
  </si>
  <si>
    <t>hossamnourahmed@gmail.com</t>
  </si>
  <si>
    <t>01141205561</t>
  </si>
  <si>
    <t>2218</t>
  </si>
  <si>
    <t>EG07-EG08-EG9-EG10-EG11</t>
  </si>
  <si>
    <t>fatmadahab55@gmail.com</t>
  </si>
  <si>
    <t>01147619592</t>
  </si>
  <si>
    <t>1734</t>
  </si>
  <si>
    <t>mohamed291284@gmail.com</t>
  </si>
  <si>
    <t>tarektoty101@gmail.com</t>
  </si>
  <si>
    <t>01145921925 - 01557287290</t>
  </si>
  <si>
    <t>medo48902@gmail.com</t>
  </si>
  <si>
    <t>01117021822</t>
  </si>
  <si>
    <t>elsaker79@hotmail.com</t>
  </si>
  <si>
    <t>mohamedfawzyabdelrady@gmail.com</t>
  </si>
  <si>
    <t>01033733035</t>
  </si>
  <si>
    <t>2250</t>
  </si>
  <si>
    <t>ahmeeddsayedd@gmail.com</t>
  </si>
  <si>
    <t>01115362496</t>
  </si>
  <si>
    <t>abdelrahmanfathi003@gmail.com</t>
  </si>
  <si>
    <t>01028192743</t>
  </si>
  <si>
    <t>bsamy3661@gmail.com</t>
  </si>
  <si>
    <t>01022651019</t>
  </si>
  <si>
    <t>EG08-EG09</t>
  </si>
  <si>
    <t>nehadyousry1984@gmail.com</t>
  </si>
  <si>
    <t>01221944623</t>
  </si>
  <si>
    <t>mr_ahmedhosni@yahoo.com</t>
  </si>
  <si>
    <t>01000120625</t>
  </si>
  <si>
    <t>abdallah.mahran124@gmail.com</t>
  </si>
  <si>
    <t>01004189352</t>
  </si>
  <si>
    <t>mohamadatheer1@gmail.com</t>
  </si>
  <si>
    <t>01282290201</t>
  </si>
  <si>
    <t>ahmedfalokas99@gmail.com</t>
  </si>
  <si>
    <t>01125530074</t>
  </si>
  <si>
    <t>me3350047@gmail.com</t>
  </si>
  <si>
    <t>mohamedsaid6622@gmail.com</t>
  </si>
  <si>
    <t>michael.emil306@gmail.com</t>
  </si>
  <si>
    <t>1899</t>
  </si>
  <si>
    <t>i.aboserie@gmail.com</t>
  </si>
  <si>
    <t>01226531038</t>
  </si>
  <si>
    <t>1944</t>
  </si>
  <si>
    <t>aly121981@gmail.com</t>
  </si>
  <si>
    <t>01026870040</t>
  </si>
  <si>
    <t>1957</t>
  </si>
  <si>
    <t>morsykhaledmorsy@outlook.com</t>
  </si>
  <si>
    <t>01555050003</t>
  </si>
  <si>
    <t>1966</t>
  </si>
  <si>
    <t>emanfayezkhalil@gmail.com</t>
  </si>
  <si>
    <t>01220761144</t>
  </si>
  <si>
    <t>1998</t>
  </si>
  <si>
    <t>maigamalhassan@gmail.com</t>
  </si>
  <si>
    <t>01095502036</t>
  </si>
  <si>
    <t>2039</t>
  </si>
  <si>
    <t>remonseha009@gmail.com</t>
  </si>
  <si>
    <t>01010341068</t>
  </si>
  <si>
    <t>2261</t>
  </si>
  <si>
    <t>jo4391170@gmail.com</t>
  </si>
  <si>
    <t>EG10-EG11-EG12</t>
  </si>
  <si>
    <t>mr.mostafayousef77@gmail.com</t>
  </si>
  <si>
    <t>01007377906</t>
  </si>
  <si>
    <t>shawky.m1749501@gmail.com</t>
  </si>
  <si>
    <t>01228870591</t>
  </si>
  <si>
    <t>ibrahimmorgan24@gmail.com</t>
  </si>
  <si>
    <t>01062805362</t>
  </si>
  <si>
    <t>mohmednbih2019@gmail.com</t>
  </si>
  <si>
    <t>01003911095</t>
  </si>
  <si>
    <t>saedmansut@gmail.com</t>
  </si>
  <si>
    <t>01018846462</t>
  </si>
  <si>
    <t>jihadgag@gmail.com</t>
  </si>
  <si>
    <t>weyso2030@gmail.com</t>
  </si>
  <si>
    <t>1243</t>
  </si>
  <si>
    <t>EG04-EG05-EG06-G7-جيولوجيا EG12</t>
  </si>
  <si>
    <t>mahmoud.aboelmagd@nagwa.com</t>
  </si>
  <si>
    <t>1898</t>
  </si>
  <si>
    <t>saraabualm2121@gmail.com</t>
  </si>
  <si>
    <t>1916</t>
  </si>
  <si>
    <t>ahmedabdelrazakmail@gmail.com</t>
  </si>
  <si>
    <t>01144483106</t>
  </si>
  <si>
    <t>1982</t>
  </si>
  <si>
    <t>shereenhelmy710@gmail.com</t>
  </si>
  <si>
    <t>2001</t>
  </si>
  <si>
    <t>kamelreda7815@gmail.com</t>
  </si>
  <si>
    <t>01009142422</t>
  </si>
  <si>
    <t>2012</t>
  </si>
  <si>
    <t>sorormerona@gmail.com</t>
  </si>
  <si>
    <t>01222986055</t>
  </si>
  <si>
    <t>2029</t>
  </si>
  <si>
    <t>cristinagerges44@gmail.com</t>
  </si>
  <si>
    <t>01229505808</t>
  </si>
  <si>
    <t>2173</t>
  </si>
  <si>
    <t>daliaaraby810@gmail.com</t>
  </si>
  <si>
    <t>01027661151</t>
  </si>
  <si>
    <t>2234</t>
  </si>
  <si>
    <t>mostafa.hero0001@gmail.com</t>
  </si>
  <si>
    <t>2249</t>
  </si>
  <si>
    <t>tamermfadel@gmail.com</t>
  </si>
  <si>
    <t>01220629701</t>
  </si>
  <si>
    <t>doaasawaby4@gmail.com</t>
  </si>
  <si>
    <t>01092504801</t>
  </si>
  <si>
    <t>llnaglaall@gmail.com</t>
  </si>
  <si>
    <t>01140851516</t>
  </si>
  <si>
    <t>dinaadel9623@gmail.com</t>
  </si>
  <si>
    <t>nourasultan97@gmail.com</t>
  </si>
  <si>
    <t>01025577259</t>
  </si>
  <si>
    <t>ayman3li077@gmail.com</t>
  </si>
  <si>
    <t>am4100@fayoum.edu.eg</t>
  </si>
  <si>
    <t>01098477286</t>
  </si>
  <si>
    <t>abdullahelkahlawy@gmail.com</t>
  </si>
  <si>
    <t>01227491678</t>
  </si>
  <si>
    <t>anazoma201088@gmail.com</t>
  </si>
  <si>
    <t>dr.asemalaraby@gmail.com</t>
  </si>
  <si>
    <t>01551479788</t>
  </si>
  <si>
    <t>ghadasalah990@gmail.com</t>
  </si>
  <si>
    <t>mrsdinaadel@gmail.com</t>
  </si>
  <si>
    <t>nahedelgebaly12345@gmail.com</t>
  </si>
  <si>
    <t>nourabdelrahman335@gmail.com</t>
  </si>
  <si>
    <t>01140943384</t>
  </si>
  <si>
    <t>tenderrose148@gmail.com</t>
  </si>
  <si>
    <t>marwa.mohammed2016@gmail.com</t>
  </si>
  <si>
    <t>totareda172@gmail.com</t>
  </si>
  <si>
    <t>110</t>
  </si>
  <si>
    <t>rabeeelshaer1@gmail.com</t>
  </si>
  <si>
    <t>1127</t>
  </si>
  <si>
    <t>hussein.mostafa@nagwa.com</t>
  </si>
  <si>
    <t>1277</t>
  </si>
  <si>
    <t>modares2525@gmail.com</t>
  </si>
  <si>
    <t>2035</t>
  </si>
  <si>
    <t>shirefagor166@gmail.com</t>
  </si>
  <si>
    <t>01223742383</t>
  </si>
  <si>
    <t>2082</t>
  </si>
  <si>
    <t>mosadalmakhrat@gmail.com</t>
  </si>
  <si>
    <t>01226434618</t>
  </si>
  <si>
    <t>2136</t>
  </si>
  <si>
    <t>EG08-EG09-EG10-EG11-EG12</t>
  </si>
  <si>
    <t>islamzayan2333@gmail.com</t>
  </si>
  <si>
    <t>01012793634</t>
  </si>
  <si>
    <t>2176</t>
  </si>
  <si>
    <t>kdarwish436@gmail.com</t>
  </si>
  <si>
    <t>01148072407</t>
  </si>
  <si>
    <t>2175</t>
  </si>
  <si>
    <t>salem.oikaa@gmail.com</t>
  </si>
  <si>
    <t>01127797061 - 01000550304</t>
  </si>
  <si>
    <t>2320</t>
  </si>
  <si>
    <t>mabrookelbanna4@gmail.com</t>
  </si>
  <si>
    <t>01096212675</t>
  </si>
  <si>
    <t>elmeligybassam@gmail.com</t>
  </si>
  <si>
    <t>01090961459</t>
  </si>
  <si>
    <t>muhamed.2866893@gmail.com</t>
  </si>
  <si>
    <t>01009253528</t>
  </si>
  <si>
    <t>afthy6959@gmail.com</t>
  </si>
  <si>
    <t>01010649710</t>
  </si>
  <si>
    <t>asmaaelabsawy2@gmail.com</t>
  </si>
  <si>
    <t>01004001141</t>
  </si>
  <si>
    <t>EG06-EG07-EG08-EG09</t>
  </si>
  <si>
    <t>ahmedsayed171730@gmail.com</t>
  </si>
  <si>
    <t>01017173087</t>
  </si>
  <si>
    <t>mh7350093@gmail.com</t>
  </si>
  <si>
    <t>01226341167</t>
  </si>
  <si>
    <t>hossam.assaf80@gmail.com</t>
  </si>
  <si>
    <t>01000415486</t>
  </si>
  <si>
    <t>mohamedbasis4@gmail.com</t>
  </si>
  <si>
    <t>01227115532 - 01555325577</t>
  </si>
  <si>
    <t>ashrf.d20011@yahoo.com</t>
  </si>
  <si>
    <t>01140350043</t>
  </si>
  <si>
    <t>ahmedolwy1973@gmail.com</t>
  </si>
  <si>
    <t>01099194027</t>
  </si>
  <si>
    <t>EG09-EG10-EG11</t>
  </si>
  <si>
    <t>memomaksoood@gmail.com</t>
  </si>
  <si>
    <t>01272280157</t>
  </si>
  <si>
    <t>safogo73@gmail.com</t>
  </si>
  <si>
    <t>01006339089</t>
  </si>
  <si>
    <t>abdelhadyghzz@yahoo.com</t>
  </si>
  <si>
    <t>medoarabichotmail@gmail.com</t>
  </si>
  <si>
    <t>01061778524</t>
  </si>
  <si>
    <t>mragab2@gmail.com</t>
  </si>
  <si>
    <t>01111180258</t>
  </si>
  <si>
    <t>akhiry443@gmail.com</t>
  </si>
  <si>
    <t>mr.gamal.salama@gmail.com</t>
  </si>
  <si>
    <t>01119103599</t>
  </si>
  <si>
    <t>moazkhalid37@gmail.com</t>
  </si>
  <si>
    <t>01030350227</t>
  </si>
  <si>
    <t>doa.ly0852@gmail.com</t>
  </si>
  <si>
    <t>0021066128934/0021556107320</t>
  </si>
  <si>
    <t>ammar.osama0127@gmail.com</t>
  </si>
  <si>
    <t>ashrafsabry310@gmail.com</t>
  </si>
  <si>
    <t>tarekolaimi@gmail.com</t>
  </si>
  <si>
    <t>01229982012</t>
  </si>
  <si>
    <t>mabdelghany503@gmail.com</t>
  </si>
  <si>
    <t>1087</t>
  </si>
  <si>
    <t>EG10-EG11-G12</t>
  </si>
  <si>
    <t>shady.donia@nagwa.com</t>
  </si>
  <si>
    <t>1490</t>
  </si>
  <si>
    <t>EG10-EG11</t>
  </si>
  <si>
    <t>malak.maliwy@gmail.com</t>
  </si>
  <si>
    <t>1867</t>
  </si>
  <si>
    <t>bishoywadea.7@gmail.com</t>
  </si>
  <si>
    <t>01220405245</t>
  </si>
  <si>
    <t>2023</t>
  </si>
  <si>
    <t>hosamabdelhay90@gmail.com</t>
  </si>
  <si>
    <t>01003137129</t>
  </si>
  <si>
    <t>2236</t>
  </si>
  <si>
    <t>ahmedsmry12@gmail.com</t>
  </si>
  <si>
    <t>01118803888</t>
  </si>
  <si>
    <t>2243</t>
  </si>
  <si>
    <t>amalhegazy1628@gmail.com</t>
  </si>
  <si>
    <t>01142006904</t>
  </si>
  <si>
    <t>dr.samar.youseff@gmail.com</t>
  </si>
  <si>
    <t>01227193179</t>
  </si>
  <si>
    <t>arsanyaziz@gmail.com</t>
  </si>
  <si>
    <t>01282842074</t>
  </si>
  <si>
    <t>ahmed98zaky@gmail.com</t>
  </si>
  <si>
    <t>01100707485</t>
  </si>
  <si>
    <t>2054</t>
  </si>
  <si>
    <t>mhd.elgharabawi@gmail.com</t>
  </si>
  <si>
    <t>01030556439 - 01146640967</t>
  </si>
  <si>
    <t>2014</t>
  </si>
  <si>
    <t>safaa68gamal@gmail.com</t>
  </si>
  <si>
    <t>2200</t>
  </si>
  <si>
    <t>G11-G12</t>
  </si>
  <si>
    <t>abdelrhman.elsayed96@gmail.com</t>
  </si>
  <si>
    <t>01009944752</t>
  </si>
  <si>
    <t>EG11-EG12</t>
  </si>
  <si>
    <t>romanyscience00@gmail.com</t>
  </si>
  <si>
    <t>01282802415</t>
  </si>
  <si>
    <t>khaled.ghaly.acd@gmail.com</t>
  </si>
  <si>
    <t>1794</t>
  </si>
  <si>
    <t>hebaadel19952@gmail.com</t>
  </si>
  <si>
    <t>1827</t>
  </si>
  <si>
    <t>nohabasuni@yahoo.com</t>
  </si>
  <si>
    <t>01016605503</t>
  </si>
  <si>
    <t>georgemagdi.vis@gmail.com</t>
  </si>
  <si>
    <t>01030904466</t>
  </si>
  <si>
    <t>amrhussien14@gmail.com</t>
  </si>
  <si>
    <t>01095433048</t>
  </si>
  <si>
    <t>sherif_khair45@hotmail.com</t>
  </si>
  <si>
    <t>01018483822</t>
  </si>
  <si>
    <t>hajoorhatem10@gmail.com</t>
  </si>
  <si>
    <t>01126234932</t>
  </si>
  <si>
    <t>hekmat.shabayekesl@gmail.com</t>
  </si>
  <si>
    <t>G10</t>
  </si>
  <si>
    <t>israahassansh97@gmail.com</t>
  </si>
  <si>
    <t>01228144187</t>
  </si>
  <si>
    <t>EG07-EG08-EG10</t>
  </si>
  <si>
    <t>ahmed.elbana91@gmail.com</t>
  </si>
  <si>
    <t>1779</t>
  </si>
  <si>
    <t>eng.amrkhalil2014@gmail.com</t>
  </si>
  <si>
    <t>1870</t>
  </si>
  <si>
    <t>dr.nashar1x@gmail.com</t>
  </si>
  <si>
    <t>1955</t>
  </si>
  <si>
    <t>mr.sayedsabry.ss10@gmail.com</t>
  </si>
  <si>
    <t>1954</t>
  </si>
  <si>
    <t>ahmedsakr1975@gmail.com</t>
  </si>
  <si>
    <t>01118411148</t>
  </si>
  <si>
    <t>1868</t>
  </si>
  <si>
    <t>ahmedsayed121292@gmail.com</t>
  </si>
  <si>
    <t>1864</t>
  </si>
  <si>
    <t>josephemil.jojo@gmail.com</t>
  </si>
  <si>
    <t>+201228157318</t>
  </si>
  <si>
    <t>1887</t>
  </si>
  <si>
    <t>mr.eslammamdohphysics@gmail.com</t>
  </si>
  <si>
    <t>01220501541 / 01006878086</t>
  </si>
  <si>
    <t>1969</t>
  </si>
  <si>
    <t>rehab.a.alsaidi@gmail.com</t>
  </si>
  <si>
    <t>01062441609</t>
  </si>
  <si>
    <t>2017</t>
  </si>
  <si>
    <t>wailpoet76@gmail.com</t>
  </si>
  <si>
    <t>+201004104024</t>
  </si>
  <si>
    <t>2195</t>
  </si>
  <si>
    <t>alhassan.physics@gmail.com</t>
  </si>
  <si>
    <t>01275338309</t>
  </si>
  <si>
    <t>sitroful350@gmail.com</t>
  </si>
  <si>
    <t>01204178960</t>
  </si>
  <si>
    <t>geo.georgeedris@gmail.com</t>
  </si>
  <si>
    <t>01289730426</t>
  </si>
  <si>
    <t>1777</t>
  </si>
  <si>
    <t>sama.elberashy@gmail.com</t>
  </si>
  <si>
    <t>1918</t>
  </si>
  <si>
    <t>ahmedhamada07@gmail.com</t>
  </si>
  <si>
    <t>1927</t>
  </si>
  <si>
    <t>ragab313@gmail.com</t>
  </si>
  <si>
    <t>01550767106</t>
  </si>
  <si>
    <t>1970</t>
  </si>
  <si>
    <t>abeerabdelhalim153@gmail.com</t>
  </si>
  <si>
    <t>2152</t>
  </si>
  <si>
    <t>muhmdhanii@gmail.com</t>
  </si>
  <si>
    <t>01555776125</t>
  </si>
  <si>
    <t>mahmouedalsayh5@gmail.com</t>
  </si>
  <si>
    <t>01003104577</t>
  </si>
  <si>
    <t>Science: EG04-EG05-EG06
العلوم: EG07-EG08-EG09-
الأحياء: G11-G12</t>
  </si>
  <si>
    <t>doddaheart2003@gmail.com</t>
  </si>
  <si>
    <t>0111105994</t>
  </si>
  <si>
    <t>1763</t>
  </si>
  <si>
    <t>ismailm1989@gmail.com</t>
  </si>
  <si>
    <t>1265</t>
  </si>
  <si>
    <t>ahmed.abdellatif@nagwa.com</t>
  </si>
  <si>
    <t>1762</t>
  </si>
  <si>
    <t>ahmedhassan99967@gmail.com</t>
  </si>
  <si>
    <t>1786</t>
  </si>
  <si>
    <t>gehadbadr89@gmail.com</t>
  </si>
  <si>
    <t>01090297182</t>
  </si>
  <si>
    <t>ahmedhym99.ah@gmail.com</t>
  </si>
  <si>
    <t>01286412331</t>
  </si>
  <si>
    <t>2060</t>
  </si>
  <si>
    <t>hatem01144465866@gmail.com</t>
  </si>
  <si>
    <t>01005244058/01144465866</t>
  </si>
  <si>
    <t>2209</t>
  </si>
  <si>
    <t>tahaabdalrazek97@gmail.com</t>
  </si>
  <si>
    <t>01150011597</t>
  </si>
  <si>
    <t>2201</t>
  </si>
  <si>
    <t>jockey.jojo87@gmail.com</t>
  </si>
  <si>
    <t>01225423098</t>
  </si>
  <si>
    <t>2087</t>
  </si>
  <si>
    <t>bassemibrahim8899@gmail.com</t>
  </si>
  <si>
    <t>01004916918</t>
  </si>
  <si>
    <t>1778</t>
  </si>
  <si>
    <t>tareksleem606@gmail.com</t>
  </si>
  <si>
    <t>1787</t>
  </si>
  <si>
    <t>abomahmoudsoultan@gmail.com</t>
  </si>
  <si>
    <t>00201153335900</t>
  </si>
  <si>
    <t>1853</t>
  </si>
  <si>
    <t>elzehiry96@gmail.com</t>
  </si>
  <si>
    <t>1860</t>
  </si>
  <si>
    <t>sarahelfeqy757@gmail.com</t>
  </si>
  <si>
    <t>01025935755</t>
  </si>
  <si>
    <t>1904</t>
  </si>
  <si>
    <t>hadyelshaer8@gmail.com</t>
  </si>
  <si>
    <t>01067571417</t>
  </si>
  <si>
    <t>1905</t>
  </si>
  <si>
    <t>ahmedawad695@gmail.com</t>
  </si>
  <si>
    <t>01012040409</t>
  </si>
  <si>
    <t>2068</t>
  </si>
  <si>
    <t>mogeograpgic@gmail.com</t>
  </si>
  <si>
    <t>2193</t>
  </si>
  <si>
    <t>ramadanelkader@gmail.com</t>
  </si>
  <si>
    <t>01005716822</t>
  </si>
  <si>
    <t>paologeorge369@gmail.com</t>
  </si>
  <si>
    <t>01225258456</t>
  </si>
  <si>
    <t>888</t>
  </si>
  <si>
    <t>ahmed.hatem@nagwa.com</t>
  </si>
  <si>
    <t>575</t>
  </si>
  <si>
    <t>mohammed.elsayed.ramadan@nagwa.com</t>
  </si>
  <si>
    <t>1775</t>
  </si>
  <si>
    <t>ahmedatef386@gmail.com</t>
  </si>
  <si>
    <t>1845</t>
  </si>
  <si>
    <t>yostos.mina@gmail.com</t>
  </si>
  <si>
    <t>01220683047</t>
  </si>
  <si>
    <t>1890</t>
  </si>
  <si>
    <t>mrghies85@gmail.com</t>
  </si>
  <si>
    <t>01007657654</t>
  </si>
  <si>
    <t>1967</t>
  </si>
  <si>
    <t>ibrahimsaid1741977@gmail.com</t>
  </si>
  <si>
    <t>2085</t>
  </si>
  <si>
    <t>t.ahmedseif@yahoo.com</t>
  </si>
  <si>
    <t>01006792787</t>
  </si>
  <si>
    <t>tonyalbert433@gmail.com</t>
  </si>
  <si>
    <t>01220525771</t>
  </si>
  <si>
    <t>mr.amro.elukby@gmail.com</t>
  </si>
  <si>
    <t>01004106537</t>
  </si>
  <si>
    <t>1647</t>
  </si>
  <si>
    <t>eslam.mohamed@nagwa.com</t>
  </si>
  <si>
    <t>01097158020</t>
  </si>
  <si>
    <t>1766</t>
  </si>
  <si>
    <t>ramyfarouk9333@gmail.com</t>
  </si>
  <si>
    <t>01224288238</t>
  </si>
  <si>
    <t>1765</t>
  </si>
  <si>
    <t>aassllyyaa68@gmail.com</t>
  </si>
  <si>
    <t>1919</t>
  </si>
  <si>
    <t>sabermedhat9@gmail.com</t>
  </si>
  <si>
    <t>01006463329</t>
  </si>
  <si>
    <t>1965</t>
  </si>
  <si>
    <t>delbahay@gmail.com</t>
  </si>
  <si>
    <t>01099696140</t>
  </si>
  <si>
    <t>1987</t>
  </si>
  <si>
    <t>alkiser.ashraf@gmail.com</t>
  </si>
  <si>
    <t>01144603025</t>
  </si>
  <si>
    <t>2086</t>
  </si>
  <si>
    <t>bassiouny3311@gmail.com</t>
  </si>
  <si>
    <t>+201147654033</t>
  </si>
  <si>
    <t>2206</t>
  </si>
  <si>
    <t>mr.romany82@gmail.com</t>
  </si>
  <si>
    <t>01225653656</t>
  </si>
  <si>
    <t>2194</t>
  </si>
  <si>
    <t>amanybasuni160184@gmail.com</t>
  </si>
  <si>
    <t>01116571264</t>
  </si>
  <si>
    <t>1760</t>
  </si>
  <si>
    <t>mansourphy@gmail.com</t>
  </si>
  <si>
    <t>1892</t>
  </si>
  <si>
    <t>elshahaly.ahmed.2.96@gmail.com</t>
  </si>
  <si>
    <t>01275541280</t>
  </si>
  <si>
    <t>2002</t>
  </si>
  <si>
    <t>mosa0122428710970@gmail.com</t>
  </si>
  <si>
    <t>01224287109</t>
  </si>
  <si>
    <t>2170</t>
  </si>
  <si>
    <t>eslamemad1311383@gmail.com</t>
  </si>
  <si>
    <t>01124845066</t>
  </si>
  <si>
    <t>ma404017@gmail.com</t>
  </si>
  <si>
    <t>01003233810</t>
  </si>
  <si>
    <t>984255@sharkia1.moe.edu.eg</t>
  </si>
  <si>
    <t>01283142438</t>
  </si>
  <si>
    <t>2024</t>
  </si>
  <si>
    <t>wesamalshenawy36@gmail.com</t>
  </si>
  <si>
    <t>2015</t>
  </si>
  <si>
    <t>nezarseliem@gmail.com</t>
  </si>
  <si>
    <t>01281280294</t>
  </si>
  <si>
    <t>2059</t>
  </si>
  <si>
    <t>doaasaber.chem@gmail.com</t>
  </si>
  <si>
    <t>01211523112</t>
  </si>
  <si>
    <t>1812</t>
  </si>
  <si>
    <t>alamir62@yahoo.com</t>
  </si>
  <si>
    <t>20 1001082530</t>
  </si>
  <si>
    <t>2019</t>
  </si>
  <si>
    <t>mhmmd55501@gmail.com</t>
  </si>
  <si>
    <t>01093988834</t>
  </si>
  <si>
    <t>2063</t>
  </si>
  <si>
    <t>yasour2007@yahoo.com</t>
  </si>
  <si>
    <t>01553440630</t>
  </si>
  <si>
    <t>2080</t>
  </si>
  <si>
    <t>ahmedsoliman200040@yahoo.com</t>
  </si>
  <si>
    <t>01007569392</t>
  </si>
  <si>
    <t>EG09-EG10-EG11-EG12</t>
  </si>
  <si>
    <t>samakamudy@gmail.com</t>
  </si>
  <si>
    <t>01289058758</t>
  </si>
  <si>
    <t>ayman.khatab@stemsharkya.moe.edu.eg</t>
  </si>
  <si>
    <t>01096610286</t>
  </si>
  <si>
    <t>ahmedelshemy100@gmail.com</t>
  </si>
  <si>
    <t>01097153806</t>
  </si>
  <si>
    <t>has.alrefaey@gmail.com</t>
  </si>
  <si>
    <t>01007303558</t>
  </si>
  <si>
    <t>youssef.ibrahem20@gmail.com</t>
  </si>
  <si>
    <t>01110454612</t>
  </si>
  <si>
    <t>ahmedarafa294@gmail.com</t>
  </si>
  <si>
    <t>mrahmedragab057@gmail.com</t>
  </si>
  <si>
    <t>1816</t>
  </si>
  <si>
    <t>rsalama4569@gmail.com</t>
  </si>
  <si>
    <t>mrahmedsamer30@gmail.com</t>
  </si>
  <si>
    <t>01060665053</t>
  </si>
  <si>
    <t>dr.sallyibrahem70@gmail.com</t>
  </si>
  <si>
    <t>01009604394</t>
  </si>
  <si>
    <t>2034</t>
  </si>
  <si>
    <t>viplol85@gmail.com</t>
  </si>
  <si>
    <t>2071</t>
  </si>
  <si>
    <t>dream201037@gmail.com</t>
  </si>
  <si>
    <t>01550085874</t>
  </si>
  <si>
    <t>korashy.1411@gmail.com</t>
  </si>
  <si>
    <t>01126633295</t>
  </si>
  <si>
    <t>2199</t>
  </si>
  <si>
    <t>ebrahim2721976@gmail.com</t>
  </si>
  <si>
    <t>1975</t>
  </si>
  <si>
    <t>rnosier.72@gmail.com</t>
  </si>
  <si>
    <t>01004540715</t>
  </si>
  <si>
    <t>1330</t>
  </si>
  <si>
    <t>s-mazenhafez@zewailcity.edu.eg</t>
  </si>
  <si>
    <t>2135</t>
  </si>
  <si>
    <t>zakisaeedfrs@gmail.com</t>
  </si>
  <si>
    <t>01202812574</t>
  </si>
  <si>
    <t>1846</t>
  </si>
  <si>
    <t>1993</t>
  </si>
  <si>
    <t>amany.nicola6@gmail.com</t>
  </si>
  <si>
    <t>01222711176</t>
  </si>
  <si>
    <t>1909</t>
  </si>
  <si>
    <t>fady.gobrail@gmail.com</t>
  </si>
  <si>
    <t>035400651</t>
  </si>
  <si>
    <t>1083</t>
  </si>
  <si>
    <t>2062</t>
  </si>
  <si>
    <t>marwa_mostafa_@hotmail.com</t>
  </si>
  <si>
    <t>01003732776</t>
  </si>
  <si>
    <t>1841</t>
  </si>
  <si>
    <t>She won't be with us in the 2nd term.</t>
  </si>
  <si>
    <t>2006</t>
  </si>
  <si>
    <t>bichoiadel@gmail.com</t>
  </si>
  <si>
    <t>01283973691</t>
  </si>
  <si>
    <t>1798</t>
  </si>
  <si>
    <t>magdaharidy96@gmail.com</t>
  </si>
  <si>
    <t>01011902047</t>
  </si>
  <si>
    <t>2120</t>
  </si>
  <si>
    <t>2134</t>
  </si>
  <si>
    <t>abdo.gemy5@gmail.com</t>
  </si>
  <si>
    <t>01126147349</t>
  </si>
  <si>
    <t>1962</t>
  </si>
  <si>
    <t>nojayehia2009@gmail.com</t>
  </si>
  <si>
    <t>2137</t>
  </si>
  <si>
    <t>nouragadou2022@gmail.com</t>
  </si>
  <si>
    <t>1924</t>
  </si>
  <si>
    <t>mohamed.b.dahab@hotmail.com</t>
  </si>
  <si>
    <t>01285237127</t>
  </si>
  <si>
    <t>1922</t>
  </si>
  <si>
    <t>1865</t>
  </si>
  <si>
    <t>daliahussein999@gmail.com</t>
  </si>
  <si>
    <t>2145</t>
  </si>
  <si>
    <t>laprofe1307@gmail.com</t>
  </si>
  <si>
    <t>01066912056</t>
  </si>
  <si>
    <t>1979</t>
  </si>
  <si>
    <t xml:space="preserve">اعتذرت عن استكمال فصول السنة لمروره بظرف صحي، وستستقيل
</t>
  </si>
  <si>
    <t>2156</t>
  </si>
  <si>
    <t>radwa1511@gmail.com</t>
  </si>
  <si>
    <t>01118060999</t>
  </si>
  <si>
    <t>1858</t>
  </si>
  <si>
    <t>bosyt40@gmail.com</t>
  </si>
  <si>
    <t>01142417157</t>
  </si>
  <si>
    <t>1534</t>
  </si>
  <si>
    <t>essam.omar@nagwa.com</t>
  </si>
  <si>
    <t>2025</t>
  </si>
  <si>
    <t>rouby_zico@yahoo.com</t>
  </si>
  <si>
    <t>01100909748</t>
  </si>
  <si>
    <t>1994</t>
  </si>
  <si>
    <t>jakleenattalla99@gmail.com</t>
  </si>
  <si>
    <t>+201275832257</t>
  </si>
  <si>
    <t>1839</t>
  </si>
  <si>
    <t>amany.allam7@gmail.com</t>
  </si>
  <si>
    <t>1758</t>
  </si>
  <si>
    <t>mero.mro9@gmail.com</t>
  </si>
  <si>
    <t>2297</t>
  </si>
  <si>
    <t>khaldfareed@gmail.com</t>
  </si>
  <si>
    <t>01026383650</t>
  </si>
  <si>
    <t>2020</t>
  </si>
  <si>
    <t>اعتذرت عن استكمال العام الدراسي معنا ويبدو أنها ستستقيل</t>
  </si>
  <si>
    <t>sarakamalrezk@gmail.com</t>
  </si>
  <si>
    <t xml:space="preserve">0122 695 8654 </t>
  </si>
  <si>
    <t>2211</t>
  </si>
  <si>
    <t>2069</t>
  </si>
  <si>
    <t>tokahassan5@gmail.com</t>
  </si>
  <si>
    <t>01012286588</t>
  </si>
  <si>
    <t>1862</t>
  </si>
  <si>
    <t>gamal.amer86@hotmail.com</t>
  </si>
  <si>
    <t>1817</t>
  </si>
  <si>
    <t>melbasel101@gmail.com</t>
  </si>
  <si>
    <t>1759</t>
  </si>
  <si>
    <t>2160</t>
  </si>
  <si>
    <t>ranaantar33@gmail.com</t>
  </si>
  <si>
    <t>01128544922</t>
  </si>
  <si>
    <t>2018</t>
  </si>
  <si>
    <t>anna.maria.261997@gmail.com</t>
  </si>
  <si>
    <t>01202381996</t>
  </si>
  <si>
    <t>2185</t>
  </si>
  <si>
    <t>1789</t>
  </si>
  <si>
    <t>اعتذر عن فصول المراجعة وفصول الترم الثاني لضغط العمل، وسيستقيل.
EG07-EG08-EG09-EG10-EG11-EG12</t>
  </si>
  <si>
    <t>1245</t>
  </si>
  <si>
    <t>abeer.fouad@nagwa.com</t>
  </si>
  <si>
    <t>2041</t>
  </si>
  <si>
    <t>G11</t>
  </si>
  <si>
    <t>omarkhaled7772016@gmail.com</t>
  </si>
  <si>
    <t>01119231204</t>
  </si>
  <si>
    <t>2164</t>
  </si>
  <si>
    <t>maromina1986@gmail.com</t>
  </si>
  <si>
    <t>01282662428</t>
  </si>
  <si>
    <t>2196</t>
  </si>
  <si>
    <t>samehmaged304@gmail.com</t>
  </si>
  <si>
    <t>01281097754</t>
  </si>
  <si>
    <t>2067</t>
  </si>
  <si>
    <t>1913</t>
  </si>
  <si>
    <t>1888</t>
  </si>
  <si>
    <t>G12</t>
  </si>
  <si>
    <t>2314</t>
  </si>
  <si>
    <t>ahmedmansourmansour761@gmail.com</t>
  </si>
  <si>
    <t>01025906312</t>
  </si>
  <si>
    <t>1910</t>
  </si>
  <si>
    <t>لم يقبل نظام المحاسبة الجديد والتسجيلات فقرر الاستقالة، فيرجى التواصل معه وتنفيذ إجراءات إنهاء التعاقد وتسليم العهدة</t>
  </si>
  <si>
    <t>ayman.m.selim@gmail.com</t>
  </si>
  <si>
    <t>01025907492</t>
  </si>
  <si>
    <t>1974</t>
  </si>
  <si>
    <t>salma.essam.saad@gmail.com</t>
  </si>
  <si>
    <t>01141184357</t>
  </si>
  <si>
    <t>1757</t>
  </si>
  <si>
    <t>2007</t>
  </si>
  <si>
    <t>أبلغت عن عدم رضاها عن التعديلات الجديدة من حيث التسجيل وحساب المدرس، وستستقيل</t>
  </si>
  <si>
    <t>1857</t>
  </si>
  <si>
    <t>443</t>
  </si>
  <si>
    <t>amr.khattab@nagwa.com</t>
  </si>
  <si>
    <t>nourhan.hashad@nagwa.com</t>
  </si>
  <si>
    <t>smah46158@gmail.com</t>
  </si>
  <si>
    <t>nancy_88312@hotmail.com</t>
  </si>
  <si>
    <t>01004166127</t>
  </si>
  <si>
    <t>yousramohamed1984@gmail.com</t>
  </si>
  <si>
    <t>01007474664</t>
  </si>
  <si>
    <t>Philosophy EG10-EG11-EG12
 Psychology EG11-EG12</t>
  </si>
  <si>
    <t>hosni_edu@msn.com</t>
  </si>
  <si>
    <t>01143344200</t>
  </si>
  <si>
    <t>2279</t>
  </si>
  <si>
    <t>samanor2010@gmail.com</t>
  </si>
  <si>
    <t>2033</t>
  </si>
  <si>
    <t>ayadaod2017@gmail.com</t>
  </si>
  <si>
    <t>1471</t>
  </si>
  <si>
    <t>aliaa.makkawy@nagwa.com</t>
  </si>
  <si>
    <t>amiraaliphy@gmail.com</t>
  </si>
  <si>
    <t>01016171473</t>
  </si>
  <si>
    <t>moelsawy251@gmail.com</t>
  </si>
  <si>
    <t>toka.shokran@gmail.com</t>
  </si>
  <si>
    <t>01111163114</t>
  </si>
  <si>
    <t>انتهت بالفعل إجراءات إنهاء التعاقد</t>
  </si>
  <si>
    <t>mohamedr7713253@gmail.com</t>
  </si>
  <si>
    <t>01007713253</t>
  </si>
  <si>
    <t>mirna_tareksalah97@yahoo.com</t>
  </si>
  <si>
    <t>01225300158</t>
  </si>
  <si>
    <t>remonamoon@gmail.com</t>
  </si>
  <si>
    <t>01003647713</t>
  </si>
  <si>
    <t>islam.m.darweesh@gmail.com</t>
  </si>
  <si>
    <t>01153839716</t>
  </si>
  <si>
    <t>No ID</t>
  </si>
  <si>
    <t>nrmeensaeed28191@gmail.com</t>
  </si>
  <si>
    <t>01065167912</t>
  </si>
  <si>
    <t>rabdo6492@gmail.com</t>
  </si>
  <si>
    <t>nehalzaher@gmail.com</t>
  </si>
  <si>
    <t>rehamsultan718@gmail.com</t>
  </si>
  <si>
    <t>01099408611</t>
  </si>
  <si>
    <t>لم يعجبها نظام الدفع والتسجيلات وقالت إنها لا تريد أن تقدم وقتها في "حاجة غير مجدية" واستقالت بالفعل</t>
  </si>
  <si>
    <t>saleh8015@gmail.com</t>
  </si>
  <si>
    <t>01122606455</t>
  </si>
  <si>
    <t>EG04</t>
  </si>
  <si>
    <t>EG04-EG05-EG06-G7</t>
  </si>
  <si>
    <t>maighalia54@gmail.com</t>
  </si>
  <si>
    <t>01122888386</t>
  </si>
  <si>
    <t>mohamed.ahmed.kamal@nagwa.com</t>
  </si>
  <si>
    <t>01001120294</t>
  </si>
  <si>
    <t>shemsad94@gmail.com</t>
  </si>
  <si>
    <t>01000478016</t>
  </si>
  <si>
    <t>shaimaa.shawshaw@gmail.com</t>
  </si>
  <si>
    <t>01061516190</t>
  </si>
  <si>
    <t>manarnabil88@gmail.com</t>
  </si>
  <si>
    <t>rihameltawil91@gmail.com</t>
  </si>
  <si>
    <t>amira.galal60@yahoo.com</t>
  </si>
  <si>
    <t>01013983718</t>
  </si>
  <si>
    <t>zidanhanan106@gmail.com</t>
  </si>
  <si>
    <t>01000832547</t>
  </si>
  <si>
    <t>ranaelbadry753@gmail.com</t>
  </si>
  <si>
    <t>01090632568</t>
  </si>
  <si>
    <t>abdo11ashraf99@gmail.com</t>
  </si>
  <si>
    <t>01025827201</t>
  </si>
  <si>
    <t>yasmiensaied90@gmail.com</t>
  </si>
  <si>
    <t>hany.hawas175@gmail.com</t>
  </si>
  <si>
    <t>jasminaahmed60@gmail.com</t>
  </si>
  <si>
    <t>nsanad90@gmail.com</t>
  </si>
  <si>
    <t>hakem2006@gmail.com</t>
  </si>
  <si>
    <t>dodo.lougy2014@gmail.com</t>
  </si>
  <si>
    <t>okhalim2022@gmail.com</t>
  </si>
  <si>
    <t>01024105035</t>
  </si>
  <si>
    <t>egymath2020@gmail.com</t>
  </si>
  <si>
    <t>01550007664</t>
  </si>
  <si>
    <t>dalianabil145@gmail.com</t>
  </si>
  <si>
    <t>poissons29.2@gmail.com</t>
  </si>
  <si>
    <t>gamerahmedg@gmail.com</t>
  </si>
  <si>
    <t>mwnyalghzaly@gmail.com</t>
  </si>
  <si>
    <t>01121870666</t>
  </si>
  <si>
    <t>mrfthsyn962@gmail.com</t>
  </si>
  <si>
    <t>abeervet81@gmail.com</t>
  </si>
  <si>
    <t>nayeramahmoed@gmail.com</t>
  </si>
  <si>
    <t>hebakamal1991@gmail.com</t>
  </si>
  <si>
    <t>01129502289</t>
  </si>
  <si>
    <t>nadawaleed1155@gmail.com</t>
  </si>
  <si>
    <t>01024516454</t>
  </si>
  <si>
    <t>EG02-EG03-EG04-EG05-EG06</t>
  </si>
  <si>
    <t>nourhan866@yahoo.com</t>
  </si>
  <si>
    <t>01208185748</t>
  </si>
  <si>
    <t>mbdalbast990@gmail.com</t>
  </si>
  <si>
    <t>01025284144</t>
  </si>
  <si>
    <t>aya.alaa85@yahoo.com</t>
  </si>
  <si>
    <t>01159348705</t>
  </si>
  <si>
    <t>kristeensamir361@gmail.com</t>
  </si>
  <si>
    <t>gorgy7martina@gmail.com</t>
  </si>
  <si>
    <t>hadeermuhamad3@gmail.com</t>
  </si>
  <si>
    <t>01270016684.    -     03 3563898</t>
  </si>
  <si>
    <t>marwacambridge66@gmail.com</t>
  </si>
  <si>
    <t>nourananwar47@gmail.com</t>
  </si>
  <si>
    <t>loreesnashaat@gmail.com</t>
  </si>
  <si>
    <t>01223512495</t>
  </si>
  <si>
    <t>sarahamdy.hamza2015@gmail.com</t>
  </si>
  <si>
    <t>maihassan1234567@gmail.com</t>
  </si>
  <si>
    <t>nayeraismailm@gmail.com</t>
  </si>
  <si>
    <t>01022608292</t>
  </si>
  <si>
    <t>mohsenqandel03@gmail.com</t>
  </si>
  <si>
    <t>mohammed.eid.gad@gmail.com</t>
  </si>
  <si>
    <t>01027610533</t>
  </si>
  <si>
    <t>israaibrahim182@gmail.com</t>
  </si>
  <si>
    <t>mahmoud.abdo@nagwa.com</t>
  </si>
  <si>
    <t>2289</t>
  </si>
  <si>
    <t>aabdalgamal@gmail.com</t>
  </si>
  <si>
    <t>01033208400</t>
  </si>
  <si>
    <t>esraamorsy78@gmail.com</t>
  </si>
  <si>
    <t>ahmedashourayyad@gmail.com</t>
  </si>
  <si>
    <t>monicanaeim85@gmail.com</t>
  </si>
  <si>
    <t>zienabkhaled10@gmail.com</t>
  </si>
  <si>
    <t>EG1-EG2-EG3</t>
  </si>
  <si>
    <t>marianmaher01094762364@gmail.com</t>
  </si>
  <si>
    <t>1212</t>
  </si>
  <si>
    <t>1863</t>
  </si>
  <si>
    <t>1943</t>
  </si>
  <si>
    <t>تخلف كثيرا عن الالتحاق بفصوله من البداية ولن نعتمد عليه ثانية
EG08-EG09-EG10-EG11-EG12</t>
  </si>
  <si>
    <t>ahmedsaladin10@gmail.com</t>
  </si>
  <si>
    <t>01141745377</t>
  </si>
  <si>
    <t>1971</t>
  </si>
  <si>
    <t>mrbadrawy333@gmail.com</t>
  </si>
  <si>
    <t>01152735223</t>
  </si>
  <si>
    <t>mg306@hotmail.com</t>
  </si>
  <si>
    <t>1972</t>
  </si>
  <si>
    <t>2037</t>
  </si>
  <si>
    <t>2259</t>
  </si>
  <si>
    <t>2208</t>
  </si>
  <si>
    <t>2214</t>
  </si>
  <si>
    <t>2239</t>
  </si>
  <si>
    <t>mohammedtawfik1974@gmail.com</t>
  </si>
  <si>
    <t>nesmasultan933@gmail.com</t>
  </si>
  <si>
    <t>safaazidan44@gmail.com</t>
  </si>
  <si>
    <t>Mariawahib600@gmail.com</t>
  </si>
  <si>
    <t>khairykamal63@gmail.com</t>
  </si>
  <si>
    <t>mohamedhussain5078@gmail.com</t>
  </si>
  <si>
    <t>01095569461</t>
  </si>
  <si>
    <t>miss.shirengamal@yahoo.com</t>
  </si>
  <si>
    <t>01276234136</t>
  </si>
  <si>
    <t>EG10</t>
  </si>
  <si>
    <t>faragreezk123@gmail.com</t>
  </si>
  <si>
    <t>01064174270</t>
  </si>
  <si>
    <t>EG4-EG5-EG6-EG7-EG8</t>
  </si>
  <si>
    <t>sabitalbatal@gmail.com</t>
  </si>
  <si>
    <t>bishoymagdy82@gmail.com</t>
  </si>
  <si>
    <t>01226557050</t>
  </si>
  <si>
    <t>wegawega1989@gmail.com</t>
  </si>
  <si>
    <t>abdallah20111995@gmail.com</t>
  </si>
  <si>
    <t>mostafaradwa190@gmail.com</t>
  </si>
  <si>
    <t>01280110379</t>
  </si>
  <si>
    <t>dadel7052@gmail.com</t>
  </si>
  <si>
    <t>01095076094</t>
  </si>
  <si>
    <t>gad17197@gmail.com</t>
  </si>
  <si>
    <t>01005619745</t>
  </si>
  <si>
    <t>novasameh1@gmail.com</t>
  </si>
  <si>
    <t>01122260857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</si>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</sst>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Arial"/>
      <scheme val="minor"/>
    </font>
    <font>
      <sz val="10"/>
      <color theme="1"/>
      <name val="Tajawal"/>
    </font>
    <font>
      <b/>
      <sz val="11"/>
      <color theme="1"/>
      <name val="Tajawal"/>
    </font>
    <font>
      <sz val="11"/>
      <color theme="1"/>
      <name val="Tajaw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603"/>
  <sheetViews>
    <sheetView tabSelected="1" topLeftCell="B1" workbookViewId="0">
      <pane ySplit="1" topLeftCell="A2" activePane="bottomLeft" state="frozen"/>
      <selection pane="bottomLeft" activeCell="H1" sqref="H1"/>
    </sheetView>
  </sheetViews>
  <sheetFormatPr defaultColWidth="12.5703125" defaultRowHeight="15.75" customHeight="1"/>
  <cols>
    <col min="1" max="1" width="23.140625" customWidth="1"/>
    <col min="7" max="7" width="38.28515625" customWidth="1"/>
    <col min="8" max="8" width="21.1406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2321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9</v>
      </c>
      <c r="B2" s="1">
        <v>137198142829</v>
      </c>
      <c r="C2" s="1" t="s">
        <v>10</v>
      </c>
      <c r="D2" s="1" t="s">
        <v>11</v>
      </c>
      <c r="E2" s="1" t="s">
        <v>12</v>
      </c>
      <c r="F2" s="2">
        <f ca="1">VLOOKUP(A2,Sheet2!C:D,2,0)</f>
        <v>1840</v>
      </c>
      <c r="G2" s="2" t="str">
        <f ca="1">VLOOKUP(A2,Sheet2!C:E,3,0)</f>
        <v>EG04-EG05-EG06</v>
      </c>
      <c r="H2" s="2" t="str">
        <f ca="1">VLOOKUP(A2,Sheet2!A:F,6,0)</f>
        <v>imaneabada@gmail.com</v>
      </c>
      <c r="I2" s="2" t="str">
        <f ca="1">VLOOKUP(A2,Sheet2!C:G,5,0)</f>
        <v>01005729272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13</v>
      </c>
      <c r="B3" s="1">
        <v>193156013197</v>
      </c>
      <c r="C3" s="1" t="s">
        <v>10</v>
      </c>
      <c r="D3" s="1" t="s">
        <v>11</v>
      </c>
      <c r="E3" s="1" t="s">
        <v>14</v>
      </c>
      <c r="F3" s="4" t="str">
        <f ca="1">VLOOKUP(A3,Sheet2!C:D,2,0)</f>
        <v>2172</v>
      </c>
      <c r="G3" s="2" t="str">
        <f ca="1">VLOOKUP(A3,Sheet2!C:E,3,0)</f>
        <v>EG01-EG02-EG03</v>
      </c>
      <c r="H3" s="2" t="str">
        <f ca="1">VLOOKUP(A3,Sheet2!A:F,6,0)</f>
        <v>the.peace20006@gmail.com</v>
      </c>
      <c r="I3" s="2" t="str">
        <f ca="1">VLOOKUP(A3,Sheet2!C:G,5,0)</f>
        <v>01067579926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15</v>
      </c>
      <c r="B4" s="1">
        <v>838198456425</v>
      </c>
      <c r="C4" s="1" t="s">
        <v>10</v>
      </c>
      <c r="D4" s="1" t="s">
        <v>11</v>
      </c>
      <c r="E4" s="1" t="s">
        <v>14</v>
      </c>
      <c r="F4" s="4" t="str">
        <f ca="1">VLOOKUP(A4,Sheet2!C:D,2,0)</f>
        <v>2171</v>
      </c>
      <c r="G4" s="2" t="str">
        <f ca="1">VLOOKUP(A4,Sheet2!C:E,3,0)</f>
        <v>EG01-EG02-EG03</v>
      </c>
      <c r="H4" s="2" t="str">
        <f ca="1">VLOOKUP(A4,Sheet2!A:F,6,0)</f>
        <v>rehab533@gmail.com</v>
      </c>
      <c r="I4" s="2" t="str">
        <f ca="1">VLOOKUP(A4,Sheet2!C:G,5,0)</f>
        <v>01019577994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">
        <v>16</v>
      </c>
      <c r="B5" s="1">
        <v>209148542918</v>
      </c>
      <c r="C5" s="1" t="s">
        <v>10</v>
      </c>
      <c r="D5" s="1" t="s">
        <v>11</v>
      </c>
      <c r="E5" s="1" t="s">
        <v>14</v>
      </c>
      <c r="F5" s="4" t="str">
        <f ca="1">VLOOKUP(A5,Sheet2!C:D,2,0)</f>
        <v>2191</v>
      </c>
      <c r="G5" s="2" t="str">
        <f ca="1">VLOOKUP(A5,Sheet2!C:E,3,0)</f>
        <v>EG01-EG02-EG03-EG04-EG05</v>
      </c>
      <c r="H5" s="2" t="str">
        <f ca="1">VLOOKUP(A5,Sheet2!A:F,6,0)</f>
        <v>norenosman11@yahoo.com</v>
      </c>
      <c r="I5" s="2" t="str">
        <f ca="1">VLOOKUP(A5,Sheet2!C:G,5,0)</f>
        <v>01285292060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17</v>
      </c>
      <c r="B6" s="1">
        <v>105150134960</v>
      </c>
      <c r="C6" s="1" t="s">
        <v>10</v>
      </c>
      <c r="D6" s="1" t="s">
        <v>11</v>
      </c>
      <c r="E6" s="1" t="s">
        <v>14</v>
      </c>
      <c r="F6" s="4">
        <f ca="1">VLOOKUP(A6,Sheet2!C:D,2,0)</f>
        <v>2212</v>
      </c>
      <c r="G6" s="2" t="str">
        <f ca="1">VLOOKUP(A6,Sheet2!C:E,3,0)</f>
        <v>EG01-EG02-EG03</v>
      </c>
      <c r="H6" s="2" t="str">
        <f ca="1">VLOOKUP(A6,Sheet2!A:F,6,0)</f>
        <v>nadalisaid46@gmail.com</v>
      </c>
      <c r="I6" s="2" t="str">
        <f ca="1">VLOOKUP(A6,Sheet2!C:G,5,0)</f>
        <v>01273190435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18</v>
      </c>
      <c r="B7" s="1">
        <v>189108478931</v>
      </c>
      <c r="C7" s="1" t="s">
        <v>10</v>
      </c>
      <c r="D7" s="1" t="s">
        <v>11</v>
      </c>
      <c r="E7" s="1" t="s">
        <v>14</v>
      </c>
      <c r="F7" s="2">
        <f ca="1">VLOOKUP(A7,Sheet2!C:D,2,0)</f>
        <v>2443</v>
      </c>
      <c r="G7" s="2" t="str">
        <f ca="1">VLOOKUP(A7,Sheet2!C:E,3,0)</f>
        <v>EG01-EG02-EG03</v>
      </c>
      <c r="H7" s="2" t="str">
        <f ca="1">VLOOKUP(A7,Sheet2!A:F,6,0)</f>
        <v>jodyy2007@gmail.com</v>
      </c>
      <c r="I7" s="2" t="str">
        <f ca="1">VLOOKUP(A7,Sheet2!C:G,5,0)</f>
        <v>01091927577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19</v>
      </c>
      <c r="B8" s="1">
        <v>919170561064</v>
      </c>
      <c r="C8" s="1" t="s">
        <v>10</v>
      </c>
      <c r="D8" s="1" t="s">
        <v>11</v>
      </c>
      <c r="E8" s="1" t="s">
        <v>14</v>
      </c>
      <c r="F8" s="2">
        <f ca="1">VLOOKUP(A8,Sheet2!C:D,2,0)</f>
        <v>2561</v>
      </c>
      <c r="G8" s="2" t="str">
        <f ca="1">VLOOKUP(A8,Sheet2!C:E,3,0)</f>
        <v>EG01-EG02-EG03</v>
      </c>
      <c r="H8" s="2" t="str">
        <f ca="1">VLOOKUP(A8,Sheet2!A:F,6,0)</f>
        <v>ywael044@gmail.com</v>
      </c>
      <c r="I8" s="2" t="str">
        <f ca="1">VLOOKUP(A8,Sheet2!C:G,5,0)</f>
        <v>01271833101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 t="s">
        <v>20</v>
      </c>
      <c r="B9" s="1">
        <v>623157516497</v>
      </c>
      <c r="C9" s="1" t="s">
        <v>10</v>
      </c>
      <c r="D9" s="1" t="s">
        <v>11</v>
      </c>
      <c r="E9" s="1" t="s">
        <v>14</v>
      </c>
      <c r="F9" s="2">
        <f ca="1">VLOOKUP(A9,Sheet2!C:D,2,0)</f>
        <v>2580</v>
      </c>
      <c r="G9" s="2" t="str">
        <f ca="1">VLOOKUP(A9,Sheet2!C:E,3,0)</f>
        <v>EG01-EG02-EG03</v>
      </c>
      <c r="H9" s="2" t="str">
        <f ca="1">VLOOKUP(A9,Sheet2!A:F,6,0)</f>
        <v>elhosseinyasmaa@gmail.com</v>
      </c>
      <c r="I9" s="2" t="str">
        <f ca="1">VLOOKUP(A9,Sheet2!C:G,5,0)</f>
        <v>01006995563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21</v>
      </c>
      <c r="B10" s="1">
        <v>634163474745</v>
      </c>
      <c r="C10" s="1" t="s">
        <v>10</v>
      </c>
      <c r="D10" s="1" t="s">
        <v>11</v>
      </c>
      <c r="E10" s="1" t="s">
        <v>14</v>
      </c>
      <c r="F10" s="2">
        <f ca="1">VLOOKUP(A10,Sheet2!C:D,2,0)</f>
        <v>2722</v>
      </c>
      <c r="G10" s="2" t="str">
        <f ca="1">VLOOKUP(A10,Sheet2!C:E,3,0)</f>
        <v>EG01-EG02-EG03-EG04-EG05-EG06</v>
      </c>
      <c r="H10" s="2" t="str">
        <f ca="1">VLOOKUP(A10,Sheet2!A:F,6,0)</f>
        <v>doaamostafaalis@gmail.com</v>
      </c>
      <c r="I10" s="2" t="str">
        <f ca="1">VLOOKUP(A10,Sheet2!C:G,5,0)</f>
        <v>01012291825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 t="s">
        <v>22</v>
      </c>
      <c r="B11" s="1">
        <v>194190610534</v>
      </c>
      <c r="C11" s="1" t="s">
        <v>10</v>
      </c>
      <c r="D11" s="1" t="s">
        <v>11</v>
      </c>
      <c r="E11" s="1" t="s">
        <v>12</v>
      </c>
      <c r="F11" s="2">
        <f ca="1">VLOOKUP(A11,Sheet2!C:D,2,0)</f>
        <v>2757</v>
      </c>
      <c r="G11" s="2" t="str">
        <f ca="1">VLOOKUP(A11,Sheet2!C:E,3,0)</f>
        <v>EG01-EG02-EG03-EG04</v>
      </c>
      <c r="H11" s="2" t="str">
        <f ca="1">VLOOKUP(A11,Sheet2!A:F,6,0)</f>
        <v>moneyedward37@gmail.com</v>
      </c>
      <c r="I11" s="2" t="str">
        <f ca="1">VLOOKUP(A11,Sheet2!C:G,5,0)</f>
        <v>01277626560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 t="s">
        <v>23</v>
      </c>
      <c r="B12" s="1">
        <v>148126371346</v>
      </c>
      <c r="C12" s="1" t="s">
        <v>10</v>
      </c>
      <c r="D12" s="1" t="s">
        <v>11</v>
      </c>
      <c r="E12" s="1" t="s">
        <v>12</v>
      </c>
      <c r="F12" s="2">
        <f ca="1">VLOOKUP(A12,Sheet2!C:D,2,0)</f>
        <v>2745</v>
      </c>
      <c r="G12" s="2" t="str">
        <f ca="1">VLOOKUP(A12,Sheet2!C:E,3,0)</f>
        <v>EG01-EG02-EG03</v>
      </c>
      <c r="H12" s="2" t="str">
        <f ca="1">VLOOKUP(A12,Sheet2!A:F,6,0)</f>
        <v>doniafarouk2811@gmail.com</v>
      </c>
      <c r="I12" s="2" t="str">
        <f ca="1">VLOOKUP(A12,Sheet2!C:G,5,0)</f>
        <v>01201302647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 t="s">
        <v>24</v>
      </c>
      <c r="B13" s="1">
        <v>530189784630</v>
      </c>
      <c r="C13" s="1" t="s">
        <v>10</v>
      </c>
      <c r="D13" s="1" t="s">
        <v>25</v>
      </c>
      <c r="E13" s="1" t="s">
        <v>14</v>
      </c>
      <c r="F13" s="4" t="str">
        <f ca="1">VLOOKUP(A13,Sheet2!C:D,2,0)</f>
        <v>2003</v>
      </c>
      <c r="G13" s="2" t="str">
        <f ca="1">VLOOKUP(A13,Sheet2!C:E,3,0)</f>
        <v>EG01-EG02-EG03-EG04-EG05</v>
      </c>
      <c r="H13" s="2" t="str">
        <f ca="1">VLOOKUP(A13,Sheet2!A:F,6,0)</f>
        <v>erineyatef@gmail.com</v>
      </c>
      <c r="I13" s="2" t="str">
        <f ca="1">VLOOKUP(A13,Sheet2!C:G,5,0)</f>
        <v>01211816220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 t="s">
        <v>26</v>
      </c>
      <c r="B14" s="1">
        <v>603187625747</v>
      </c>
      <c r="C14" s="1" t="s">
        <v>10</v>
      </c>
      <c r="D14" s="1" t="s">
        <v>25</v>
      </c>
      <c r="E14" s="1" t="s">
        <v>14</v>
      </c>
      <c r="F14" s="4" t="str">
        <f ca="1">VLOOKUP(A14,Sheet2!C:D,2,0)</f>
        <v>2103</v>
      </c>
      <c r="G14" s="2">
        <f ca="1">VLOOKUP(A14,Sheet2!C:E,3,0)</f>
        <v>0</v>
      </c>
      <c r="H14" s="2" t="str">
        <f ca="1">VLOOKUP(A14,Sheet2!A:F,6,0)</f>
        <v>heba.abdelhameed99@gmail.com</v>
      </c>
      <c r="I14" s="2" t="str">
        <f ca="1">VLOOKUP(A14,Sheet2!C:G,5,0)</f>
        <v>01126571109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27</v>
      </c>
      <c r="B15" s="1">
        <v>865121843486</v>
      </c>
      <c r="C15" s="1" t="s">
        <v>10</v>
      </c>
      <c r="D15" s="1" t="s">
        <v>25</v>
      </c>
      <c r="E15" s="1" t="s">
        <v>14</v>
      </c>
      <c r="F15" s="4" t="str">
        <f ca="1">VLOOKUP(A15,Sheet2!C:D,2,0)</f>
        <v>2244</v>
      </c>
      <c r="G15" s="2">
        <f ca="1">VLOOKUP(A15,Sheet2!C:E,3,0)</f>
        <v>0</v>
      </c>
      <c r="H15" s="2" t="str">
        <f ca="1">VLOOKUP(A15,Sheet2!A:F,6,0)</f>
        <v>mahahimony@gmail.com</v>
      </c>
      <c r="I15" s="2" t="str">
        <f ca="1">VLOOKUP(A15,Sheet2!C:G,5,0)</f>
        <v>01156615561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 t="s">
        <v>28</v>
      </c>
      <c r="B16" s="1">
        <v>758108752769</v>
      </c>
      <c r="C16" s="1" t="s">
        <v>10</v>
      </c>
      <c r="D16" s="1" t="s">
        <v>25</v>
      </c>
      <c r="E16" s="1" t="s">
        <v>14</v>
      </c>
      <c r="F16" s="2">
        <f ca="1">VLOOKUP(A16,Sheet2!C:D,2,0)</f>
        <v>2337</v>
      </c>
      <c r="G16" s="2">
        <f ca="1">VLOOKUP(A16,Sheet2!C:E,3,0)</f>
        <v>0</v>
      </c>
      <c r="H16" s="2" t="str">
        <f ca="1">VLOOKUP(A16,Sheet2!A:F,6,0)</f>
        <v>merahesham2000@gmail.com</v>
      </c>
      <c r="I16" s="2" t="str">
        <f ca="1">VLOOKUP(A16,Sheet2!C:G,5,0)</f>
        <v>01027391210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 t="s">
        <v>29</v>
      </c>
      <c r="B17" s="1">
        <v>426167021594</v>
      </c>
      <c r="C17" s="1" t="s">
        <v>10</v>
      </c>
      <c r="D17" s="1" t="s">
        <v>25</v>
      </c>
      <c r="E17" s="1" t="s">
        <v>14</v>
      </c>
      <c r="F17" s="2">
        <f ca="1">VLOOKUP(A17,Sheet2!C:D,2,0)</f>
        <v>2519</v>
      </c>
      <c r="G17" s="2" t="str">
        <f ca="1">VLOOKUP(A17,Sheet2!C:E,3,0)</f>
        <v xml:space="preserve">EG01-EG02-EG03-EG04 </v>
      </c>
      <c r="H17" s="2" t="str">
        <f ca="1">VLOOKUP(A17,Sheet2!A:F,6,0)</f>
        <v>nouranyl64@gmail.com</v>
      </c>
      <c r="I17" s="2" t="str">
        <f ca="1">VLOOKUP(A17,Sheet2!C:G,5,0)</f>
        <v>01010594459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 t="s">
        <v>30</v>
      </c>
      <c r="B18" s="1">
        <v>915139613231</v>
      </c>
      <c r="C18" s="1" t="s">
        <v>10</v>
      </c>
      <c r="D18" s="1" t="s">
        <v>25</v>
      </c>
      <c r="E18" s="1" t="s">
        <v>12</v>
      </c>
      <c r="F18" s="2">
        <f ca="1">VLOOKUP(A18,Sheet2!C:D,2,0)</f>
        <v>2422</v>
      </c>
      <c r="G18" s="2" t="str">
        <f ca="1">VLOOKUP(A18,Sheet2!C:E,3,0)</f>
        <v>EG01-EG02-EG03-EG04-EG05-EG06-EG07</v>
      </c>
      <c r="H18" s="2" t="str">
        <f ca="1">VLOOKUP(A18,Sheet2!A:F,6,0)</f>
        <v>esraalaa25@gmail.com</v>
      </c>
      <c r="I18" s="2" t="str">
        <f ca="1">VLOOKUP(A18,Sheet2!C:G,5,0)</f>
        <v>01091311114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 t="s">
        <v>31</v>
      </c>
      <c r="B19" s="1">
        <v>598135839671</v>
      </c>
      <c r="C19" s="1" t="s">
        <v>10</v>
      </c>
      <c r="D19" s="1" t="s">
        <v>25</v>
      </c>
      <c r="E19" s="1" t="s">
        <v>14</v>
      </c>
      <c r="F19" s="2">
        <f ca="1">VLOOKUP(A19,Sheet2!C:D,2,0)</f>
        <v>2493</v>
      </c>
      <c r="G19" s="2" t="str">
        <f ca="1">VLOOKUP(A19,Sheet2!C:E,3,0)</f>
        <v>EG01-EG02-EG03-EG04-EG05</v>
      </c>
      <c r="H19" s="2" t="str">
        <f ca="1">VLOOKUP(A19,Sheet2!A:F,6,0)</f>
        <v>aueed.eteachers@gmail.com</v>
      </c>
      <c r="I19" s="2" t="str">
        <f ca="1">VLOOKUP(A19,Sheet2!C:G,5,0)</f>
        <v>01270819064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 t="s">
        <v>32</v>
      </c>
      <c r="B20" s="1">
        <v>695139708380</v>
      </c>
      <c r="C20" s="1" t="s">
        <v>10</v>
      </c>
      <c r="D20" s="1" t="s">
        <v>25</v>
      </c>
      <c r="E20" s="1" t="s">
        <v>14</v>
      </c>
      <c r="F20" s="2">
        <f ca="1">VLOOKUP(A20,Sheet2!C:D,2,0)</f>
        <v>2614</v>
      </c>
      <c r="G20" s="2" t="str">
        <f ca="1">VLOOKUP(A20,Sheet2!C:E,3,0)</f>
        <v>EG01-EG02-EG03-EG04-EG05</v>
      </c>
      <c r="H20" s="2" t="str">
        <f ca="1">VLOOKUP(A20,Sheet2!A:F,6,0)</f>
        <v>nadasherif1007@gmail.com</v>
      </c>
      <c r="I20" s="2">
        <f ca="1">VLOOKUP(A20,Sheet2!C:G,5,0)</f>
        <v>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 t="s">
        <v>33</v>
      </c>
      <c r="B21" s="1">
        <v>967160462696</v>
      </c>
      <c r="C21" s="1" t="s">
        <v>10</v>
      </c>
      <c r="D21" s="1" t="s">
        <v>25</v>
      </c>
      <c r="E21" s="1" t="s">
        <v>14</v>
      </c>
      <c r="F21" s="2">
        <f ca="1">VLOOKUP(A21,Sheet2!C:D,2,0)</f>
        <v>2643</v>
      </c>
      <c r="G21" s="2" t="str">
        <f ca="1">VLOOKUP(A21,Sheet2!C:E,3,0)</f>
        <v>EG01-EG02</v>
      </c>
      <c r="H21" s="2" t="str">
        <f ca="1">VLOOKUP(A21,Sheet2!A:F,6,0)</f>
        <v>somahamza27@gmail.com</v>
      </c>
      <c r="I21" s="2">
        <f ca="1">VLOOKUP(A21,Sheet2!C:G,5,0)</f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" t="s">
        <v>34</v>
      </c>
      <c r="B22" s="1">
        <v>135178965350</v>
      </c>
      <c r="C22" s="1" t="s">
        <v>10</v>
      </c>
      <c r="D22" s="1" t="s">
        <v>25</v>
      </c>
      <c r="E22" s="1" t="s">
        <v>35</v>
      </c>
      <c r="F22" s="2">
        <f ca="1">VLOOKUP(A22,Sheet2!C:D,2,0)</f>
        <v>2642</v>
      </c>
      <c r="G22" s="2" t="str">
        <f ca="1">VLOOKUP(A22,Sheet2!C:E,3,0)</f>
        <v>EG01-EG02</v>
      </c>
      <c r="H22" s="2" t="str">
        <f ca="1">VLOOKUP(A22,Sheet2!A:F,6,0)</f>
        <v>shahendaabdulaziz98@gmail.com</v>
      </c>
      <c r="I22" s="2" t="str">
        <f ca="1">VLOOKUP(A22,Sheet2!C:G,5,0)</f>
        <v>01004298923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 t="s">
        <v>36</v>
      </c>
      <c r="B23" s="1">
        <v>930131871381</v>
      </c>
      <c r="C23" s="1" t="s">
        <v>10</v>
      </c>
      <c r="D23" s="1" t="s">
        <v>25</v>
      </c>
      <c r="E23" s="1" t="s">
        <v>14</v>
      </c>
      <c r="F23" s="2">
        <f ca="1">VLOOKUP(A23,Sheet2!C:D,2,0)</f>
        <v>2715</v>
      </c>
      <c r="G23" s="2" t="str">
        <f ca="1">VLOOKUP(A23,Sheet2!C:E,3,0)</f>
        <v>EG01-EG02-EG03-EG04-5</v>
      </c>
      <c r="H23" s="2" t="str">
        <f ca="1">VLOOKUP(A23,Sheet2!A:F,6,0)</f>
        <v>mrsgehan94@gmail.com</v>
      </c>
      <c r="I23" s="2">
        <f ca="1">VLOOKUP(A23,Sheet2!C:G,5,0)</f>
        <v>1013586544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" t="s">
        <v>37</v>
      </c>
      <c r="B24" s="1">
        <v>208148393089</v>
      </c>
      <c r="C24" s="1" t="s">
        <v>10</v>
      </c>
      <c r="D24" s="1" t="s">
        <v>25</v>
      </c>
      <c r="E24" s="1" t="s">
        <v>14</v>
      </c>
      <c r="F24" s="2">
        <f ca="1">VLOOKUP(A24,Sheet2!C:D,2,0)</f>
        <v>2695</v>
      </c>
      <c r="G24" s="2" t="str">
        <f ca="1">VLOOKUP(A24,Sheet2!C:E,3,0)</f>
        <v>EG01-EG02</v>
      </c>
      <c r="H24" s="2" t="str">
        <f ca="1">VLOOKUP(A24,Sheet2!A:F,6,0)</f>
        <v>reham.haridy17@gmail.com</v>
      </c>
      <c r="I24" s="2" t="str">
        <f ca="1">VLOOKUP(A24,Sheet2!C:G,5,0)</f>
        <v>01126620688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3" t="s">
        <v>38</v>
      </c>
      <c r="B25" s="1">
        <v>406159296081</v>
      </c>
      <c r="C25" s="1" t="s">
        <v>10</v>
      </c>
      <c r="D25" s="1" t="s">
        <v>25</v>
      </c>
      <c r="E25" s="1" t="s">
        <v>14</v>
      </c>
      <c r="F25" s="2">
        <f ca="1">VLOOKUP(A25,Sheet2!C:D,2,0)</f>
        <v>2730</v>
      </c>
      <c r="G25" s="2" t="str">
        <f ca="1">VLOOKUP(A25,Sheet2!C:E,3,0)</f>
        <v>EG01-EG02-EG03-EG04</v>
      </c>
      <c r="H25" s="2" t="str">
        <f ca="1">VLOOKUP(A25,Sheet2!A:F,6,0)</f>
        <v>nadaaly58@gmail.com</v>
      </c>
      <c r="I25" s="2" t="str">
        <f ca="1">VLOOKUP(A25,Sheet2!C:G,5,0)</f>
        <v>01275735695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 t="s">
        <v>39</v>
      </c>
      <c r="B26" s="1">
        <v>586170564150</v>
      </c>
      <c r="C26" s="1" t="s">
        <v>10</v>
      </c>
      <c r="D26" s="1" t="s">
        <v>25</v>
      </c>
      <c r="E26" s="1" t="s">
        <v>14</v>
      </c>
      <c r="F26" s="2">
        <f ca="1">VLOOKUP(A26,Sheet2!C:D,2,0)</f>
        <v>2629</v>
      </c>
      <c r="G26" s="2" t="str">
        <f ca="1">VLOOKUP(A26,Sheet2!C:E,3,0)</f>
        <v>EG01-EG02-EG03-EG04</v>
      </c>
      <c r="H26" s="2" t="str">
        <f ca="1">VLOOKUP(A26,Sheet2!A:F,6,0)</f>
        <v>marinaemad4922@gmail.com</v>
      </c>
      <c r="I26" s="2" t="str">
        <f ca="1">VLOOKUP(A26,Sheet2!C:G,5,0)</f>
        <v>01210882072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" t="s">
        <v>40</v>
      </c>
      <c r="B27" s="1">
        <v>450190591429</v>
      </c>
      <c r="C27" s="1" t="s">
        <v>10</v>
      </c>
      <c r="D27" s="1" t="s">
        <v>25</v>
      </c>
      <c r="E27" s="1" t="s">
        <v>14</v>
      </c>
      <c r="F27" s="2">
        <f ca="1">VLOOKUP(A27,Sheet2!C:D,2,0)</f>
        <v>2781</v>
      </c>
      <c r="G27" s="2" t="str">
        <f ca="1">VLOOKUP(A27,Sheet2!C:E,3,0)</f>
        <v>EG01-EG02-EG03-EG04</v>
      </c>
      <c r="H27" s="2" t="str">
        <f ca="1">VLOOKUP(A27,Sheet2!A:F,6,0)</f>
        <v>ashrfmaryam557@gmail.com</v>
      </c>
      <c r="I27" s="2">
        <f ca="1">VLOOKUP(A27,Sheet2!C:G,5,0)</f>
        <v>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" t="s">
        <v>41</v>
      </c>
      <c r="B28" s="1">
        <v>618168909236</v>
      </c>
      <c r="C28" s="1" t="s">
        <v>10</v>
      </c>
      <c r="D28" s="1" t="s">
        <v>25</v>
      </c>
      <c r="E28" s="1" t="s">
        <v>14</v>
      </c>
      <c r="F28" s="2">
        <f ca="1">VLOOKUP(A28,Sheet2!C:D,2,0)</f>
        <v>2784</v>
      </c>
      <c r="G28" s="2" t="str">
        <f ca="1">VLOOKUP(A28,Sheet2!C:E,3,0)</f>
        <v>EG01-EG02-EG03-EG04-EG05-EG06</v>
      </c>
      <c r="H28" s="2" t="str">
        <f ca="1">VLOOKUP(A28,Sheet2!A:F,6,0)</f>
        <v>galaleman21@yahoo.com</v>
      </c>
      <c r="I28" s="2" t="str">
        <f ca="1">VLOOKUP(A28,Sheet2!C:G,5,0)</f>
        <v>01276133970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 t="s">
        <v>42</v>
      </c>
      <c r="B29" s="1">
        <v>729171317072</v>
      </c>
      <c r="C29" s="1" t="s">
        <v>10</v>
      </c>
      <c r="D29" s="1" t="s">
        <v>25</v>
      </c>
      <c r="E29" s="1" t="s">
        <v>14</v>
      </c>
      <c r="F29" s="2">
        <f ca="1">VLOOKUP(A29,Sheet2!C:D,2,0)</f>
        <v>2771</v>
      </c>
      <c r="G29" s="2" t="str">
        <f ca="1">VLOOKUP(A29,Sheet2!C:E,3,0)</f>
        <v>EG01-EG02-EG03-EG04-EG05-EG06</v>
      </c>
      <c r="H29" s="2" t="str">
        <f ca="1">VLOOKUP(A29,Sheet2!A:F,6,0)</f>
        <v>nohalotfy33@gmail.com</v>
      </c>
      <c r="I29" s="2" t="str">
        <f ca="1">VLOOKUP(A29,Sheet2!C:G,5,0)</f>
        <v>01271850094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3" t="s">
        <v>43</v>
      </c>
      <c r="B30" s="1">
        <v>898178084762</v>
      </c>
      <c r="C30" s="1" t="s">
        <v>10</v>
      </c>
      <c r="D30" s="1" t="s">
        <v>25</v>
      </c>
      <c r="E30" s="1" t="s">
        <v>12</v>
      </c>
      <c r="F30" s="2">
        <f ca="1">VLOOKUP(A30,Sheet2!C:D,2,0)</f>
        <v>2783</v>
      </c>
      <c r="G30" s="2" t="str">
        <f ca="1">VLOOKUP(A30,Sheet2!C:E,3,0)</f>
        <v>EG01-EG02-EG03-EG04-EG05-EG06</v>
      </c>
      <c r="H30" s="2" t="str">
        <f ca="1">VLOOKUP(A30,Sheet2!A:F,6,0)</f>
        <v>safaadel499@gmail.com</v>
      </c>
      <c r="I30" s="2">
        <f ca="1">VLOOKUP(A30,Sheet2!C:G,5,0)</f>
        <v>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3" t="s">
        <v>44</v>
      </c>
      <c r="B31" s="1">
        <v>193161234392</v>
      </c>
      <c r="C31" s="1" t="s">
        <v>10</v>
      </c>
      <c r="D31" s="1" t="s">
        <v>25</v>
      </c>
      <c r="E31" s="1" t="s">
        <v>35</v>
      </c>
      <c r="F31" s="2">
        <f ca="1">VLOOKUP(A31,Sheet2!C:D,2,0)</f>
        <v>2779</v>
      </c>
      <c r="G31" s="2" t="str">
        <f ca="1">VLOOKUP(A31,Sheet2!C:E,3,0)</f>
        <v>EG01-EG02-EG03</v>
      </c>
      <c r="H31" s="2" t="str">
        <f ca="1">VLOOKUP(A31,Sheet2!A:F,6,0)</f>
        <v>nosamohamed000@gmail.com</v>
      </c>
      <c r="I31" s="2">
        <f ca="1">VLOOKUP(A31,Sheet2!C:G,5,0)</f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3" t="s">
        <v>45</v>
      </c>
      <c r="B32" s="1">
        <v>439182479634</v>
      </c>
      <c r="C32" s="1" t="s">
        <v>10</v>
      </c>
      <c r="D32" s="1" t="s">
        <v>25</v>
      </c>
      <c r="E32" s="1" t="s">
        <v>14</v>
      </c>
      <c r="F32" s="2">
        <f ca="1">VLOOKUP(A32,Sheet2!C:D,2,0)</f>
        <v>2807</v>
      </c>
      <c r="G32" s="2" t="str">
        <f ca="1">VLOOKUP(A32,Sheet2!C:E,3,0)</f>
        <v>EG01-EG02-EG03-EG04</v>
      </c>
      <c r="H32" s="2" t="str">
        <f ca="1">VLOOKUP(A32,Sheet2!A:F,6,0)</f>
        <v>shahendamohammad3@gmail.com</v>
      </c>
      <c r="I32" s="2" t="str">
        <f ca="1">VLOOKUP(A32,Sheet2!C:G,5,0)</f>
        <v>01223315390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3" t="s">
        <v>46</v>
      </c>
      <c r="B33" s="1">
        <v>363152838573</v>
      </c>
      <c r="C33" s="1" t="s">
        <v>10</v>
      </c>
      <c r="D33" s="1" t="s">
        <v>47</v>
      </c>
      <c r="E33" s="1" t="s">
        <v>14</v>
      </c>
      <c r="F33" s="4" t="str">
        <f ca="1">VLOOKUP(A33,Sheet2!C:D,2,0)</f>
        <v>2310</v>
      </c>
      <c r="G33" s="2">
        <f ca="1">VLOOKUP(A33,Sheet2!C:E,3,0)</f>
        <v>0</v>
      </c>
      <c r="H33" s="2" t="str">
        <f ca="1">VLOOKUP(A33,Sheet2!A:F,6,0)</f>
        <v>asmaaashraf.aa@gmail.com</v>
      </c>
      <c r="I33" s="2" t="str">
        <f ca="1">VLOOKUP(A33,Sheet2!C:G,5,0)</f>
        <v>01015511375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3" t="s">
        <v>48</v>
      </c>
      <c r="B34" s="1">
        <v>628128564178</v>
      </c>
      <c r="C34" s="1" t="s">
        <v>10</v>
      </c>
      <c r="D34" s="1" t="s">
        <v>47</v>
      </c>
      <c r="E34" s="1" t="s">
        <v>14</v>
      </c>
      <c r="F34" s="4" t="str">
        <f ca="1">VLOOKUP(A34,Sheet2!C:D,2,0)</f>
        <v>2290</v>
      </c>
      <c r="G34" s="2">
        <f ca="1">VLOOKUP(A34,Sheet2!C:E,3,0)</f>
        <v>0</v>
      </c>
      <c r="H34" s="2" t="str">
        <f ca="1">VLOOKUP(A34,Sheet2!A:F,6,0)</f>
        <v>ayasobhy2014@gmail.com</v>
      </c>
      <c r="I34" s="2" t="str">
        <f ca="1">VLOOKUP(A34,Sheet2!C:G,5,0)</f>
        <v>01096896433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3" t="s">
        <v>49</v>
      </c>
      <c r="B35" s="1">
        <v>832181306187</v>
      </c>
      <c r="C35" s="1" t="s">
        <v>10</v>
      </c>
      <c r="D35" s="1" t="s">
        <v>47</v>
      </c>
      <c r="E35" s="1" t="s">
        <v>12</v>
      </c>
      <c r="F35" s="2">
        <f ca="1">VLOOKUP(A35,Sheet2!C:D,2,0)</f>
        <v>2436</v>
      </c>
      <c r="G35" s="2" t="str">
        <f ca="1">VLOOKUP(A35,Sheet2!C:E,3,0)</f>
        <v>EG01-EG02-EG03-EG04-EG05-EG06</v>
      </c>
      <c r="H35" s="2" t="str">
        <f ca="1">VLOOKUP(A35,Sheet2!A:F,6,0)</f>
        <v>nourhan.hany.amer.1992@gmail.com</v>
      </c>
      <c r="I35" s="2" t="str">
        <f ca="1">VLOOKUP(A35,Sheet2!C:G,5,0)</f>
        <v>01023766623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3" t="s">
        <v>50</v>
      </c>
      <c r="B36" s="1">
        <v>617181867475</v>
      </c>
      <c r="C36" s="1" t="s">
        <v>10</v>
      </c>
      <c r="D36" s="1" t="s">
        <v>47</v>
      </c>
      <c r="E36" s="1" t="s">
        <v>14</v>
      </c>
      <c r="F36" s="2">
        <f ca="1">VLOOKUP(A36,Sheet2!C:D,2,0)</f>
        <v>2428</v>
      </c>
      <c r="G36" s="2" t="str">
        <f ca="1">VLOOKUP(A36,Sheet2!C:E,3,0)</f>
        <v>EG01-EG02-EG03-EG04-EG05-EG06</v>
      </c>
      <c r="H36" s="2" t="str">
        <f ca="1">VLOOKUP(A36,Sheet2!A:F,6,0)</f>
        <v>ayafathy1020@gmail.com</v>
      </c>
      <c r="I36" s="2" t="str">
        <f ca="1">VLOOKUP(A36,Sheet2!C:G,5,0)</f>
        <v>01025755518//01507075518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3" t="s">
        <v>51</v>
      </c>
      <c r="B37" s="1">
        <v>957197456092</v>
      </c>
      <c r="C37" s="1" t="s">
        <v>10</v>
      </c>
      <c r="D37" s="1" t="s">
        <v>47</v>
      </c>
      <c r="E37" s="1" t="s">
        <v>14</v>
      </c>
      <c r="F37" s="2">
        <f ca="1">VLOOKUP(A37,Sheet2!C:D,2,0)</f>
        <v>2427</v>
      </c>
      <c r="G37" s="2" t="str">
        <f ca="1">VLOOKUP(A37,Sheet2!C:E,3,0)</f>
        <v>EG01-EG02-EG03</v>
      </c>
      <c r="H37" s="2" t="str">
        <f ca="1">VLOOKUP(A37,Sheet2!A:F,6,0)</f>
        <v>nourhanyasser1999184@gmail.com</v>
      </c>
      <c r="I37" s="2" t="str">
        <f ca="1">VLOOKUP(A37,Sheet2!C:G,5,0)</f>
        <v>01110620513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3" t="s">
        <v>52</v>
      </c>
      <c r="B38" s="1">
        <v>896191427156</v>
      </c>
      <c r="C38" s="1" t="s">
        <v>10</v>
      </c>
      <c r="D38" s="1" t="s">
        <v>47</v>
      </c>
      <c r="E38" s="1" t="s">
        <v>14</v>
      </c>
      <c r="F38" s="2">
        <f ca="1">VLOOKUP(A38,Sheet2!C:D,2,0)</f>
        <v>2440</v>
      </c>
      <c r="G38" s="2" t="str">
        <f ca="1">VLOOKUP(A38,Sheet2!C:E,3,0)</f>
        <v>EG01-EG02-EG03</v>
      </c>
      <c r="H38" s="2" t="str">
        <f ca="1">VLOOKUP(A38,Sheet2!A:F,6,0)</f>
        <v>emanali8134@gmail.com</v>
      </c>
      <c r="I38" s="2" t="str">
        <f ca="1">VLOOKUP(A38,Sheet2!C:G,5,0)</f>
        <v>01282166883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3" t="s">
        <v>53</v>
      </c>
      <c r="B39" s="1">
        <v>304149687570</v>
      </c>
      <c r="C39" s="1" t="s">
        <v>10</v>
      </c>
      <c r="D39" s="1" t="s">
        <v>47</v>
      </c>
      <c r="E39" s="1" t="s">
        <v>14</v>
      </c>
      <c r="F39" s="2">
        <f ca="1">VLOOKUP(A39,Sheet2!C:D,2,0)</f>
        <v>2454</v>
      </c>
      <c r="G39" s="2" t="str">
        <f ca="1">VLOOKUP(A39,Sheet2!C:E,3,0)</f>
        <v>EG01-EG02-EG03</v>
      </c>
      <c r="H39" s="2" t="str">
        <f ca="1">VLOOKUP(A39,Sheet2!A:F,6,0)</f>
        <v>aya963539@gmail.com</v>
      </c>
      <c r="I39" s="2" t="str">
        <f ca="1">VLOOKUP(A39,Sheet2!C:G,5,0)</f>
        <v>01064460758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3" t="s">
        <v>54</v>
      </c>
      <c r="B40" s="1">
        <v>590135797239</v>
      </c>
      <c r="C40" s="1" t="s">
        <v>10</v>
      </c>
      <c r="D40" s="1" t="s">
        <v>47</v>
      </c>
      <c r="E40" s="1" t="s">
        <v>14</v>
      </c>
      <c r="F40" s="2">
        <f ca="1">VLOOKUP(A40,Sheet2!C:D,2,0)</f>
        <v>2447</v>
      </c>
      <c r="G40" s="2" t="str">
        <f ca="1">VLOOKUP(A40,Sheet2!C:E,3,0)</f>
        <v>EG01-EG02-EG03-EG04-EG05</v>
      </c>
      <c r="H40" s="2" t="str">
        <f ca="1">VLOOKUP(A40,Sheet2!A:F,6,0)</f>
        <v>dinaradwan109@gmail.com</v>
      </c>
      <c r="I40" s="2" t="str">
        <f ca="1">VLOOKUP(A40,Sheet2!C:G,5,0)</f>
        <v>01144211463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3" t="s">
        <v>55</v>
      </c>
      <c r="B41" s="1">
        <v>142195036319</v>
      </c>
      <c r="C41" s="1" t="s">
        <v>10</v>
      </c>
      <c r="D41" s="1" t="s">
        <v>47</v>
      </c>
      <c r="E41" s="1" t="s">
        <v>14</v>
      </c>
      <c r="F41" s="2">
        <f ca="1">VLOOKUP(A41,Sheet2!C:D,2,0)</f>
        <v>2445</v>
      </c>
      <c r="G41" s="2" t="str">
        <f ca="1">VLOOKUP(A41,Sheet2!C:E,3,0)</f>
        <v>EG01-EG02-EG03-EG04-EG05-EG06</v>
      </c>
      <c r="H41" s="2" t="str">
        <f ca="1">VLOOKUP(A41,Sheet2!A:F,6,0)</f>
        <v>somaiamohmed2050@gmail.com</v>
      </c>
      <c r="I41" s="2" t="str">
        <f ca="1">VLOOKUP(A41,Sheet2!C:G,5,0)</f>
        <v>01096034557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3" t="s">
        <v>56</v>
      </c>
      <c r="B42" s="1">
        <v>927186502806</v>
      </c>
      <c r="C42" s="1" t="s">
        <v>10</v>
      </c>
      <c r="D42" s="1" t="s">
        <v>47</v>
      </c>
      <c r="E42" s="1" t="s">
        <v>14</v>
      </c>
      <c r="F42" s="2">
        <f ca="1">VLOOKUP(A42,Sheet2!C:D,2,0)</f>
        <v>2596</v>
      </c>
      <c r="G42" s="2" t="str">
        <f ca="1">VLOOKUP(A42,Sheet2!C:E,3,0)</f>
        <v>EG01-EG02-EG03-EG04-EG05</v>
      </c>
      <c r="H42" s="2" t="str">
        <f ca="1">VLOOKUP(A42,Sheet2!A:F,6,0)</f>
        <v>nourhan.fdel5@gmail.com</v>
      </c>
      <c r="I42" s="2" t="str">
        <f ca="1">VLOOKUP(A42,Sheet2!C:G,5,0)</f>
        <v>01091234112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3" t="s">
        <v>57</v>
      </c>
      <c r="B43" s="1">
        <v>498123203923</v>
      </c>
      <c r="C43" s="1" t="s">
        <v>10</v>
      </c>
      <c r="D43" s="1" t="s">
        <v>47</v>
      </c>
      <c r="E43" s="1" t="s">
        <v>14</v>
      </c>
      <c r="F43" s="2">
        <f ca="1">VLOOKUP(A43,Sheet2!C:D,2,0)</f>
        <v>2055</v>
      </c>
      <c r="G43" s="2" t="str">
        <f ca="1">VLOOKUP(A43,Sheet2!C:E,3,0)</f>
        <v>EG01-EG02-EG03</v>
      </c>
      <c r="H43" s="2" t="str">
        <f ca="1">VLOOKUP(A43,Sheet2!A:F,6,0)</f>
        <v>mariamelgohary8@gmail.com</v>
      </c>
      <c r="I43" s="2">
        <f ca="1">VLOOKUP(A43,Sheet2!C:G,5,0)</f>
        <v>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3" t="s">
        <v>58</v>
      </c>
      <c r="B44" s="1">
        <v>206164640790</v>
      </c>
      <c r="C44" s="1" t="s">
        <v>10</v>
      </c>
      <c r="D44" s="1" t="s">
        <v>47</v>
      </c>
      <c r="E44" s="1" t="s">
        <v>14</v>
      </c>
      <c r="F44" s="2">
        <f ca="1">VLOOKUP(A44,Sheet2!C:D,2,0)</f>
        <v>2623</v>
      </c>
      <c r="G44" s="2" t="str">
        <f ca="1">VLOOKUP(A44,Sheet2!C:E,3,0)</f>
        <v>EG01-EG02-EG03-EG04-EG05-EG06</v>
      </c>
      <c r="H44" s="2" t="str">
        <f ca="1">VLOOKUP(A44,Sheet2!A:F,6,0)</f>
        <v>yasmin.ihab.abdelwahed@hotmail.com</v>
      </c>
      <c r="I44" s="2">
        <f ca="1">VLOOKUP(A44,Sheet2!C:G,5,0)</f>
        <v>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3" t="s">
        <v>59</v>
      </c>
      <c r="B45" s="1">
        <v>852141603272</v>
      </c>
      <c r="C45" s="1" t="s">
        <v>10</v>
      </c>
      <c r="D45" s="3" t="s">
        <v>60</v>
      </c>
      <c r="E45" s="1" t="s">
        <v>14</v>
      </c>
      <c r="F45" s="4" t="str">
        <f ca="1">VLOOKUP(A45,Sheet2!C:D,2,0)</f>
        <v>2179</v>
      </c>
      <c r="G45" s="2" t="str">
        <f ca="1">VLOOKUP(A45,Sheet2!C:E,3,0)</f>
        <v>EG01-EG02</v>
      </c>
      <c r="H45" s="2" t="str">
        <f ca="1">VLOOKUP(A45,Sheet2!A:F,6,0)</f>
        <v>shaimaa.nabil2410@gmail.com</v>
      </c>
      <c r="I45" s="2" t="str">
        <f ca="1">VLOOKUP(A45,Sheet2!C:G,5,0)</f>
        <v>01013159595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3" t="s">
        <v>61</v>
      </c>
      <c r="B46" s="1">
        <v>387193739376</v>
      </c>
      <c r="C46" s="1" t="s">
        <v>10</v>
      </c>
      <c r="D46" s="3" t="s">
        <v>60</v>
      </c>
      <c r="E46" s="1" t="s">
        <v>14</v>
      </c>
      <c r="F46" s="4" t="str">
        <f ca="1">VLOOKUP(A46,Sheet2!C:D,2,0)</f>
        <v>2246</v>
      </c>
      <c r="G46" s="2" t="str">
        <f ca="1">VLOOKUP(A46,Sheet2!C:E,3,0)</f>
        <v>EG01-EG02-EG03-EG04-EG05-EG06-</v>
      </c>
      <c r="H46" s="2" t="str">
        <f ca="1">VLOOKUP(A46,Sheet2!A:F,6,0)</f>
        <v>yoyotamer2345@gmail.com</v>
      </c>
      <c r="I46" s="2" t="str">
        <f ca="1">VLOOKUP(A46,Sheet2!C:G,5,0)</f>
        <v>01114556924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3" t="s">
        <v>62</v>
      </c>
      <c r="B47" s="1">
        <v>162170576960</v>
      </c>
      <c r="C47" s="1" t="s">
        <v>10</v>
      </c>
      <c r="D47" s="3" t="s">
        <v>63</v>
      </c>
      <c r="E47" s="1" t="s">
        <v>14</v>
      </c>
      <c r="F47" s="4" t="str">
        <f ca="1">VLOOKUP(A47,Sheet2!C:D,2,0)</f>
        <v>2215</v>
      </c>
      <c r="G47" s="2">
        <f ca="1">VLOOKUP(A47,Sheet2!C:E,3,0)</f>
        <v>0</v>
      </c>
      <c r="H47" s="2" t="str">
        <f ca="1">VLOOKUP(A47,Sheet2!A:F,6,0)</f>
        <v>nermeensabry992@gmail.com</v>
      </c>
      <c r="I47" s="2" t="str">
        <f ca="1">VLOOKUP(A47,Sheet2!C:G,5,0)</f>
        <v>01284529778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3" t="s">
        <v>64</v>
      </c>
      <c r="B48" s="1">
        <v>797175802139</v>
      </c>
      <c r="C48" s="1" t="s">
        <v>10</v>
      </c>
      <c r="D48" s="3" t="s">
        <v>63</v>
      </c>
      <c r="E48" s="1" t="s">
        <v>14</v>
      </c>
      <c r="F48" s="4" t="str">
        <f ca="1">VLOOKUP(A48,Sheet2!C:D,2,0)</f>
        <v>2266</v>
      </c>
      <c r="G48" s="2">
        <f ca="1">VLOOKUP(A48,Sheet2!C:E,3,0)</f>
        <v>0</v>
      </c>
      <c r="H48" s="2" t="str">
        <f ca="1">VLOOKUP(A48,Sheet2!A:F,6,0)</f>
        <v>marmar.elmahdy@gmail.com</v>
      </c>
      <c r="I48" s="2" t="str">
        <f ca="1">VLOOKUP(A48,Sheet2!C:G,5,0)</f>
        <v>01061732805-01289867044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3" t="s">
        <v>65</v>
      </c>
      <c r="B49" s="1">
        <v>374143640395</v>
      </c>
      <c r="C49" s="1" t="s">
        <v>10</v>
      </c>
      <c r="D49" s="3" t="s">
        <v>63</v>
      </c>
      <c r="E49" s="1" t="s">
        <v>14</v>
      </c>
      <c r="F49" s="2">
        <f ca="1">VLOOKUP(A49,Sheet2!C:D,2,0)</f>
        <v>2473</v>
      </c>
      <c r="G49" s="2" t="str">
        <f ca="1">VLOOKUP(A49,Sheet2!C:E,3,0)</f>
        <v>EG01-EG02-EG03-EG04-EG05-EG06</v>
      </c>
      <c r="H49" s="2" t="str">
        <f ca="1">VLOOKUP(A49,Sheet2!A:F,6,0)</f>
        <v>fatmalabib041@gmail.com</v>
      </c>
      <c r="I49" s="2" t="str">
        <f ca="1">VLOOKUP(A49,Sheet2!C:G,5,0)</f>
        <v>01019758284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3" t="s">
        <v>66</v>
      </c>
      <c r="B50" s="1">
        <v>318195473726</v>
      </c>
      <c r="C50" s="1" t="s">
        <v>10</v>
      </c>
      <c r="D50" s="3" t="s">
        <v>63</v>
      </c>
      <c r="E50" s="1" t="s">
        <v>12</v>
      </c>
      <c r="F50" s="2">
        <f ca="1">VLOOKUP(A50,Sheet2!C:D,2,0)</f>
        <v>2072</v>
      </c>
      <c r="G50" s="2" t="str">
        <f ca="1">VLOOKUP(A50,Sheet2!C:E,3,0)</f>
        <v>EG01-EG02-EG03</v>
      </c>
      <c r="H50" s="2" t="str">
        <f ca="1">VLOOKUP(A50,Sheet2!A:F,6,0)</f>
        <v>hussienhelmy54@gmail.com</v>
      </c>
      <c r="I50" s="2" t="str">
        <f ca="1">VLOOKUP(A50,Sheet2!C:G,5,0)</f>
        <v>01222364937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3" t="s">
        <v>67</v>
      </c>
      <c r="B51" s="1">
        <v>310146136271</v>
      </c>
      <c r="C51" s="1" t="s">
        <v>10</v>
      </c>
      <c r="D51" s="3" t="s">
        <v>63</v>
      </c>
      <c r="E51" s="1" t="s">
        <v>12</v>
      </c>
      <c r="F51" s="2">
        <f ca="1">VLOOKUP(A51,Sheet2!C:D,2,0)</f>
        <v>2702</v>
      </c>
      <c r="G51" s="2" t="str">
        <f ca="1">VLOOKUP(A51,Sheet2!C:E,3,0)</f>
        <v>EG01-EG02-EG03-EG04-EG05-EG06</v>
      </c>
      <c r="H51" s="2" t="str">
        <f ca="1">VLOOKUP(A51,Sheet2!A:F,6,0)</f>
        <v>nahlayousry6@gmail.com</v>
      </c>
      <c r="I51" s="2">
        <f ca="1">VLOOKUP(A51,Sheet2!C:G,5,0)</f>
        <v>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3" t="s">
        <v>68</v>
      </c>
      <c r="B52" s="1">
        <v>376107598539</v>
      </c>
      <c r="C52" s="1" t="s">
        <v>10</v>
      </c>
      <c r="D52" s="3" t="s">
        <v>69</v>
      </c>
      <c r="E52" s="1" t="s">
        <v>14</v>
      </c>
      <c r="F52" s="4" t="str">
        <f ca="1">VLOOKUP(A52,Sheet2!C:D,2,0)</f>
        <v>2092</v>
      </c>
      <c r="G52" s="2" t="str">
        <f ca="1">VLOOKUP(A52,Sheet2!C:E,3,0)</f>
        <v>EG01-EG02-EG03-EG04-EG05-EG06</v>
      </c>
      <c r="H52" s="2" t="str">
        <f ca="1">VLOOKUP(A52,Sheet2!A:F,6,0)</f>
        <v>ibrahimelzayan@gmail.com</v>
      </c>
      <c r="I52" s="2" t="str">
        <f ca="1">VLOOKUP(A52,Sheet2!C:G,5,0)</f>
        <v>01141139184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3" t="s">
        <v>70</v>
      </c>
      <c r="B53" s="1">
        <v>538160861310</v>
      </c>
      <c r="C53" s="1" t="s">
        <v>10</v>
      </c>
      <c r="D53" s="3" t="s">
        <v>69</v>
      </c>
      <c r="E53" s="1" t="s">
        <v>14</v>
      </c>
      <c r="F53" s="4" t="str">
        <f ca="1">VLOOKUP(A53,Sheet2!C:D,2,0)</f>
        <v>2178</v>
      </c>
      <c r="G53" s="2" t="str">
        <f ca="1">VLOOKUP(A53,Sheet2!C:E,3,0)</f>
        <v>EG01-EG02-EG03</v>
      </c>
      <c r="H53" s="2" t="str">
        <f ca="1">VLOOKUP(A53,Sheet2!A:F,6,0)</f>
        <v>sara.mohmed409@gmail.com</v>
      </c>
      <c r="I53" s="2" t="str">
        <f ca="1">VLOOKUP(A53,Sheet2!C:G,5,0)</f>
        <v>01155026319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3" t="s">
        <v>71</v>
      </c>
      <c r="B54" s="1">
        <v>486125208283</v>
      </c>
      <c r="C54" s="1" t="s">
        <v>10</v>
      </c>
      <c r="D54" s="3" t="s">
        <v>69</v>
      </c>
      <c r="E54" s="1" t="s">
        <v>14</v>
      </c>
      <c r="F54" s="4" t="str">
        <f ca="1">VLOOKUP(A54,Sheet2!C:D,2,0)</f>
        <v>2273</v>
      </c>
      <c r="G54" s="2" t="str">
        <f ca="1">VLOOKUP(A54,Sheet2!C:E,3,0)</f>
        <v>EG01-EG02-EG03-EG04-EG05-EG06</v>
      </c>
      <c r="H54" s="2" t="str">
        <f ca="1">VLOOKUP(A54,Sheet2!A:F,6,0)</f>
        <v>emanshaker81@gmail.com</v>
      </c>
      <c r="I54" s="2" t="str">
        <f ca="1">VLOOKUP(A54,Sheet2!C:G,5,0)</f>
        <v>0201114924955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3" t="s">
        <v>72</v>
      </c>
      <c r="B55" s="1">
        <v>689140818514</v>
      </c>
      <c r="C55" s="1" t="s">
        <v>10</v>
      </c>
      <c r="D55" s="3" t="s">
        <v>69</v>
      </c>
      <c r="E55" s="1" t="s">
        <v>14</v>
      </c>
      <c r="F55" s="4" t="str">
        <f ca="1">VLOOKUP(A55,Sheet2!C:D,2,0)</f>
        <v>2278</v>
      </c>
      <c r="G55" s="2" t="str">
        <f ca="1">VLOOKUP(A55,Sheet2!C:E,3,0)</f>
        <v>EG01-EG02-EG03-EG04-EG05-EG06</v>
      </c>
      <c r="H55" s="2" t="str">
        <f ca="1">VLOOKUP(A55,Sheet2!A:F,6,0)</f>
        <v>douaazika@gmail.com</v>
      </c>
      <c r="I55" s="2">
        <f ca="1">VLOOKUP(A55,Sheet2!C:G,5,0)</f>
        <v>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3" t="s">
        <v>73</v>
      </c>
      <c r="B56" s="1">
        <v>948108182631</v>
      </c>
      <c r="C56" s="1" t="s">
        <v>10</v>
      </c>
      <c r="D56" s="3" t="s">
        <v>69</v>
      </c>
      <c r="E56" s="1" t="s">
        <v>14</v>
      </c>
      <c r="F56" s="4" t="str">
        <f ca="1">VLOOKUP(A56,Sheet2!C:D,2,0)</f>
        <v>2321</v>
      </c>
      <c r="G56" s="2" t="str">
        <f ca="1">VLOOKUP(A56,Sheet2!C:E,3,0)</f>
        <v>سنعتمد عليها في الترم الثاني
EG01-EG02-EG03</v>
      </c>
      <c r="H56" s="2" t="str">
        <f ca="1">VLOOKUP(A56,Sheet2!A:F,6,0)</f>
        <v>myasmine116@gmail.com</v>
      </c>
      <c r="I56" s="2" t="str">
        <f ca="1">VLOOKUP(A56,Sheet2!C:G,5,0)</f>
        <v>01015633019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3" t="s">
        <v>74</v>
      </c>
      <c r="B57" s="1">
        <v>215195154738</v>
      </c>
      <c r="C57" s="1" t="s">
        <v>10</v>
      </c>
      <c r="D57" s="3" t="s">
        <v>69</v>
      </c>
      <c r="E57" s="1" t="s">
        <v>14</v>
      </c>
      <c r="F57" s="2">
        <f ca="1">VLOOKUP(A57,Sheet2!C:D,2,0)</f>
        <v>2441</v>
      </c>
      <c r="G57" s="2" t="str">
        <f ca="1">VLOOKUP(A57,Sheet2!C:E,3,0)</f>
        <v>EG01-EG02-EG03</v>
      </c>
      <c r="H57" s="2" t="str">
        <f ca="1">VLOOKUP(A57,Sheet2!A:F,6,0)</f>
        <v>enjymokhtar.219@gmail.com</v>
      </c>
      <c r="I57" s="2" t="str">
        <f ca="1">VLOOKUP(A57,Sheet2!C:G,5,0)</f>
        <v>01201521125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3" t="s">
        <v>75</v>
      </c>
      <c r="B58" s="1">
        <v>257176871480</v>
      </c>
      <c r="C58" s="1" t="s">
        <v>10</v>
      </c>
      <c r="D58" s="3" t="s">
        <v>69</v>
      </c>
      <c r="E58" s="1" t="s">
        <v>14</v>
      </c>
      <c r="F58" s="2">
        <f ca="1">VLOOKUP(A58,Sheet2!C:D,2,0)</f>
        <v>2461</v>
      </c>
      <c r="G58" s="2" t="str">
        <f ca="1">VLOOKUP(A58,Sheet2!C:E,3,0)</f>
        <v>EG01-EG02-EG03</v>
      </c>
      <c r="H58" s="2" t="str">
        <f ca="1">VLOOKUP(A58,Sheet2!A:F,6,0)</f>
        <v>shimaakamal553@gmail.com</v>
      </c>
      <c r="I58" s="2" t="str">
        <f ca="1">VLOOKUP(A58,Sheet2!C:G,5,0)</f>
        <v>01157711782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3" t="s">
        <v>76</v>
      </c>
      <c r="B59" s="1">
        <v>183129070275</v>
      </c>
      <c r="C59" s="1" t="s">
        <v>10</v>
      </c>
      <c r="D59" s="3" t="s">
        <v>69</v>
      </c>
      <c r="E59" s="1" t="s">
        <v>14</v>
      </c>
      <c r="F59" s="2">
        <f ca="1">VLOOKUP(A59,Sheet2!C:D,2,0)</f>
        <v>2458</v>
      </c>
      <c r="G59" s="2" t="str">
        <f ca="1">VLOOKUP(A59,Sheet2!C:E,3,0)</f>
        <v>EG01-EG02-EG03</v>
      </c>
      <c r="H59" s="2" t="str">
        <f ca="1">VLOOKUP(A59,Sheet2!A:F,6,0)</f>
        <v>asmaakasem25@hotmail.com</v>
      </c>
      <c r="I59" s="2" t="str">
        <f ca="1">VLOOKUP(A59,Sheet2!C:G,5,0)</f>
        <v>01100109067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3" t="s">
        <v>77</v>
      </c>
      <c r="B60" s="1">
        <v>573149872824</v>
      </c>
      <c r="C60" s="1" t="s">
        <v>10</v>
      </c>
      <c r="D60" s="3" t="s">
        <v>69</v>
      </c>
      <c r="E60" s="1" t="s">
        <v>14</v>
      </c>
      <c r="F60" s="2">
        <f ca="1">VLOOKUP(A60,Sheet2!C:D,2,0)</f>
        <v>2491</v>
      </c>
      <c r="G60" s="2" t="str">
        <f ca="1">VLOOKUP(A60,Sheet2!C:E,3,0)</f>
        <v>EG01-EG02-EG03</v>
      </c>
      <c r="H60" s="2" t="str">
        <f ca="1">VLOOKUP(A60,Sheet2!A:F,6,0)</f>
        <v>shimaahussain2@gmail.com</v>
      </c>
      <c r="I60" s="2" t="str">
        <f ca="1">VLOOKUP(A60,Sheet2!C:G,5,0)</f>
        <v>01016634509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3" t="s">
        <v>78</v>
      </c>
      <c r="B61" s="1">
        <v>974169434219</v>
      </c>
      <c r="C61" s="1" t="s">
        <v>10</v>
      </c>
      <c r="D61" s="3" t="s">
        <v>69</v>
      </c>
      <c r="E61" s="1" t="s">
        <v>12</v>
      </c>
      <c r="F61" s="2">
        <f ca="1">VLOOKUP(A61,Sheet2!C:D,2,0)</f>
        <v>2448</v>
      </c>
      <c r="G61" s="2" t="str">
        <f ca="1">VLOOKUP(A61,Sheet2!C:E,3,0)</f>
        <v>EG01-EG02-EG03</v>
      </c>
      <c r="H61" s="2" t="str">
        <f ca="1">VLOOKUP(A61,Sheet2!A:F,6,0)</f>
        <v>manalabdelnaby10@gmail.com</v>
      </c>
      <c r="I61" s="2">
        <f ca="1">VLOOKUP(A61,Sheet2!C:G,5,0)</f>
        <v>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3" t="s">
        <v>79</v>
      </c>
      <c r="B62" s="1">
        <v>574161321575</v>
      </c>
      <c r="C62" s="1" t="s">
        <v>10</v>
      </c>
      <c r="D62" s="3" t="s">
        <v>69</v>
      </c>
      <c r="E62" s="1" t="s">
        <v>14</v>
      </c>
      <c r="F62" s="2">
        <f ca="1">VLOOKUP(A62,Sheet2!C:D,2,0)</f>
        <v>2581</v>
      </c>
      <c r="G62" s="2" t="str">
        <f ca="1">VLOOKUP(A62,Sheet2!C:E,3,0)</f>
        <v>EG01-EG02-EG03</v>
      </c>
      <c r="H62" s="2" t="str">
        <f ca="1">VLOOKUP(A62,Sheet2!A:F,6,0)</f>
        <v>shimosoliman4016@gmail.com</v>
      </c>
      <c r="I62" s="2">
        <f ca="1">VLOOKUP(A62,Sheet2!C:G,5,0)</f>
        <v>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3" t="s">
        <v>80</v>
      </c>
      <c r="B63" s="1">
        <v>879135754897</v>
      </c>
      <c r="C63" s="1" t="s">
        <v>10</v>
      </c>
      <c r="D63" s="3" t="s">
        <v>69</v>
      </c>
      <c r="E63" s="1" t="s">
        <v>14</v>
      </c>
      <c r="F63" s="2">
        <f ca="1">VLOOKUP(A63,Sheet2!C:D,2,0)</f>
        <v>2619</v>
      </c>
      <c r="G63" s="2" t="str">
        <f ca="1">VLOOKUP(A63,Sheet2!C:E,3,0)</f>
        <v>EG01-EG02-EG03</v>
      </c>
      <c r="H63" s="2" t="str">
        <f ca="1">VLOOKUP(A63,Sheet2!A:F,6,0)</f>
        <v>amanianas217@gmail.com</v>
      </c>
      <c r="I63" s="2" t="str">
        <f ca="1">VLOOKUP(A63,Sheet2!C:G,5,0)</f>
        <v>01001014795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3" t="s">
        <v>81</v>
      </c>
      <c r="B64" s="1">
        <v>865163793520</v>
      </c>
      <c r="C64" s="1" t="s">
        <v>10</v>
      </c>
      <c r="D64" s="3" t="s">
        <v>69</v>
      </c>
      <c r="E64" s="1" t="s">
        <v>14</v>
      </c>
      <c r="F64" s="2">
        <f ca="1">VLOOKUP(A64,Sheet2!C:D,2,0)</f>
        <v>2703</v>
      </c>
      <c r="G64" s="2" t="str">
        <f ca="1">VLOOKUP(A64,Sheet2!C:E,3,0)</f>
        <v>EG01-EG02-EG03-EG04</v>
      </c>
      <c r="H64" s="2" t="str">
        <f ca="1">VLOOKUP(A64,Sheet2!A:F,6,0)</f>
        <v>alaa.work91@gmail.com</v>
      </c>
      <c r="I64" s="2">
        <f ca="1">VLOOKUP(A64,Sheet2!C:G,5,0)</f>
        <v>1006108593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3" t="s">
        <v>82</v>
      </c>
      <c r="B65" s="1">
        <v>923168406232</v>
      </c>
      <c r="C65" s="1" t="s">
        <v>10</v>
      </c>
      <c r="D65" s="3" t="s">
        <v>69</v>
      </c>
      <c r="E65" s="1" t="s">
        <v>14</v>
      </c>
      <c r="F65" s="2">
        <f ca="1">VLOOKUP(A65,Sheet2!C:D,2,0)</f>
        <v>2735</v>
      </c>
      <c r="G65" s="2" t="str">
        <f ca="1">VLOOKUP(A65,Sheet2!C:E,3,0)</f>
        <v>EG01-EG02-EG03-EG04-EG05-EG06</v>
      </c>
      <c r="H65" s="2" t="str">
        <f ca="1">VLOOKUP(A65,Sheet2!A:F,6,0)</f>
        <v>sosajojo29@gmail.com</v>
      </c>
      <c r="I65" s="2" t="str">
        <f ca="1">VLOOKUP(A65,Sheet2!C:G,5,0)</f>
        <v>01211339318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3" t="s">
        <v>83</v>
      </c>
      <c r="B66" s="1">
        <v>762178172726</v>
      </c>
      <c r="C66" s="1" t="s">
        <v>10</v>
      </c>
      <c r="D66" s="3" t="s">
        <v>69</v>
      </c>
      <c r="E66" s="1" t="s">
        <v>14</v>
      </c>
      <c r="F66" s="2">
        <f ca="1">VLOOKUP(A66,Sheet2!C:D,2,0)</f>
        <v>2720</v>
      </c>
      <c r="G66" s="2" t="str">
        <f ca="1">VLOOKUP(A66,Sheet2!C:E,3,0)</f>
        <v>EG01-EG02-EG03-EG04-EG05-EG06</v>
      </c>
      <c r="H66" s="2" t="str">
        <f ca="1">VLOOKUP(A66,Sheet2!A:F,6,0)</f>
        <v>zeinabsamirsamir@gmail.com</v>
      </c>
      <c r="I66" s="2">
        <f ca="1">VLOOKUP(A66,Sheet2!C:G,5,0)</f>
        <v>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3" t="s">
        <v>84</v>
      </c>
      <c r="B67" s="1">
        <v>962134062378</v>
      </c>
      <c r="C67" s="1" t="s">
        <v>85</v>
      </c>
      <c r="D67" s="1" t="s">
        <v>25</v>
      </c>
      <c r="E67" s="1" t="s">
        <v>14</v>
      </c>
      <c r="F67" s="4" t="str">
        <f ca="1">VLOOKUP(A67,Sheet2!C:D,2,0)</f>
        <v>1963</v>
      </c>
      <c r="G67" s="2">
        <f ca="1">VLOOKUP(A67,Sheet2!C:E,3,0)</f>
        <v>0</v>
      </c>
      <c r="H67" s="2" t="str">
        <f ca="1">VLOOKUP(A67,Sheet2!A:F,6,0)</f>
        <v>amiraghth@gmail.com</v>
      </c>
      <c r="I67" s="2" t="str">
        <f ca="1">VLOOKUP(A67,Sheet2!C:G,5,0)</f>
        <v>01119682313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3" t="s">
        <v>86</v>
      </c>
      <c r="B68" s="1">
        <v>403165323978</v>
      </c>
      <c r="C68" s="1" t="s">
        <v>85</v>
      </c>
      <c r="D68" s="1" t="s">
        <v>25</v>
      </c>
      <c r="E68" s="1" t="s">
        <v>14</v>
      </c>
      <c r="F68" s="4" t="str">
        <f ca="1">VLOOKUP(A68,Sheet2!C:D,2,0)</f>
        <v>1990</v>
      </c>
      <c r="G68" s="2">
        <f ca="1">VLOOKUP(A68,Sheet2!C:E,3,0)</f>
        <v>0</v>
      </c>
      <c r="H68" s="2" t="str">
        <f ca="1">VLOOKUP(A68,Sheet2!A:F,6,0)</f>
        <v>tahaeldaowdy@gmail.com</v>
      </c>
      <c r="I68" s="2" t="str">
        <f ca="1">VLOOKUP(A68,Sheet2!C:G,5,0)</f>
        <v>+201119688644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3" t="s">
        <v>87</v>
      </c>
      <c r="B69" s="1">
        <v>162140810204</v>
      </c>
      <c r="C69" s="1" t="s">
        <v>85</v>
      </c>
      <c r="D69" s="1" t="s">
        <v>25</v>
      </c>
      <c r="E69" s="1" t="s">
        <v>14</v>
      </c>
      <c r="F69" s="4" t="str">
        <f ca="1">VLOOKUP(A69,Sheet2!C:D,2,0)</f>
        <v>2153</v>
      </c>
      <c r="G69" s="2">
        <f ca="1">VLOOKUP(A69,Sheet2!C:E,3,0)</f>
        <v>0</v>
      </c>
      <c r="H69" s="2" t="str">
        <f ca="1">VLOOKUP(A69,Sheet2!A:F,6,0)</f>
        <v>der7afer@gmail.com</v>
      </c>
      <c r="I69" s="2" t="str">
        <f ca="1">VLOOKUP(A69,Sheet2!C:G,5,0)</f>
        <v>01145433963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3" t="s">
        <v>88</v>
      </c>
      <c r="B70" s="1">
        <v>457195859749</v>
      </c>
      <c r="C70" s="1" t="s">
        <v>85</v>
      </c>
      <c r="D70" s="1" t="s">
        <v>25</v>
      </c>
      <c r="E70" s="1" t="s">
        <v>12</v>
      </c>
      <c r="F70" s="4">
        <f ca="1">VLOOKUP(A70,Sheet2!C:D,2,0)</f>
        <v>2311</v>
      </c>
      <c r="G70" s="2">
        <f ca="1">VLOOKUP(A70,Sheet2!C:E,3,0)</f>
        <v>0</v>
      </c>
      <c r="H70" s="2" t="str">
        <f ca="1">VLOOKUP(A70,Sheet2!A:F,6,0)</f>
        <v>eman.ismail89@gmail.com</v>
      </c>
      <c r="I70" s="2" t="str">
        <f ca="1">VLOOKUP(A70,Sheet2!C:G,5,0)</f>
        <v>01098433794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3" t="s">
        <v>89</v>
      </c>
      <c r="B71" s="1">
        <v>285101463697</v>
      </c>
      <c r="C71" s="1" t="s">
        <v>85</v>
      </c>
      <c r="D71" s="1" t="s">
        <v>25</v>
      </c>
      <c r="E71" s="1" t="s">
        <v>14</v>
      </c>
      <c r="F71" s="2">
        <f ca="1">VLOOKUP(A71,Sheet2!C:D,2,0)</f>
        <v>2357</v>
      </c>
      <c r="G71" s="2" t="str">
        <f ca="1">VLOOKUP(A71,Sheet2!C:E,3,0)</f>
        <v>EG04-EG05-EG06-EG07-EG08-EG09</v>
      </c>
      <c r="H71" s="2" t="str">
        <f ca="1">VLOOKUP(A71,Sheet2!A:F,6,0)</f>
        <v>elsayeddina@hotmail.com</v>
      </c>
      <c r="I71" s="2" t="str">
        <f ca="1">VLOOKUP(A71,Sheet2!C:G,5,0)</f>
        <v>01114432985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3" t="s">
        <v>90</v>
      </c>
      <c r="B72" s="1">
        <v>958105146807</v>
      </c>
      <c r="C72" s="1" t="s">
        <v>85</v>
      </c>
      <c r="D72" s="1" t="s">
        <v>25</v>
      </c>
      <c r="E72" s="1" t="s">
        <v>14</v>
      </c>
      <c r="F72" s="2">
        <f ca="1">VLOOKUP(A72,Sheet2!C:D,2,0)</f>
        <v>2401</v>
      </c>
      <c r="G72" s="2" t="str">
        <f ca="1">VLOOKUP(A72,Sheet2!C:E,3,0)</f>
        <v>EG4-EG5-EG6-EG7-EG8-EG9</v>
      </c>
      <c r="H72" s="2" t="str">
        <f ca="1">VLOOKUP(A72,Sheet2!A:F,6,0)</f>
        <v>raldeeb.hesham@gmail.com</v>
      </c>
      <c r="I72" s="2" t="str">
        <f ca="1">VLOOKUP(A72,Sheet2!C:G,5,0)</f>
        <v>01010014454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3" t="s">
        <v>91</v>
      </c>
      <c r="B73" s="1">
        <v>315145768378</v>
      </c>
      <c r="C73" s="1" t="s">
        <v>85</v>
      </c>
      <c r="D73" s="1" t="s">
        <v>25</v>
      </c>
      <c r="E73" s="1" t="s">
        <v>14</v>
      </c>
      <c r="F73" s="2">
        <f ca="1">VLOOKUP(A73,Sheet2!C:D,2,0)</f>
        <v>2421</v>
      </c>
      <c r="G73" s="2" t="str">
        <f ca="1">VLOOKUP(A73,Sheet2!C:E,3,0)</f>
        <v>EG4-EG5-EG6-EG7-EG8-EG9</v>
      </c>
      <c r="H73" s="2" t="str">
        <f ca="1">VLOOKUP(A73,Sheet2!A:F,6,0)</f>
        <v>maram.tareq1988@gmail.com</v>
      </c>
      <c r="I73" s="2" t="str">
        <f ca="1">VLOOKUP(A73,Sheet2!C:G,5,0)</f>
        <v>01550116087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3" t="s">
        <v>92</v>
      </c>
      <c r="B74" s="1">
        <v>234189763426</v>
      </c>
      <c r="C74" s="1" t="s">
        <v>85</v>
      </c>
      <c r="D74" s="1" t="s">
        <v>25</v>
      </c>
      <c r="E74" s="1" t="s">
        <v>14</v>
      </c>
      <c r="F74" s="2">
        <f ca="1">VLOOKUP(A74,Sheet2!C:D,2,0)</f>
        <v>2426</v>
      </c>
      <c r="G74" s="2" t="str">
        <f ca="1">VLOOKUP(A74,Sheet2!C:E,3,0)</f>
        <v>EG4-EG5-EG6-EG7-EG8-EG9</v>
      </c>
      <c r="H74" s="2" t="str">
        <f ca="1">VLOOKUP(A74,Sheet2!A:F,6,0)</f>
        <v>efouad774@gmail.com</v>
      </c>
      <c r="I74" s="2" t="str">
        <f ca="1">VLOOKUP(A74,Sheet2!C:G,5,0)</f>
        <v>01203102091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3" t="s">
        <v>93</v>
      </c>
      <c r="B75" s="1">
        <v>284156708018</v>
      </c>
      <c r="C75" s="1" t="s">
        <v>85</v>
      </c>
      <c r="D75" s="1" t="s">
        <v>25</v>
      </c>
      <c r="E75" s="1" t="s">
        <v>14</v>
      </c>
      <c r="F75" s="2">
        <f ca="1">VLOOKUP(A75,Sheet2!C:D,2,0)</f>
        <v>2439</v>
      </c>
      <c r="G75" s="2" t="str">
        <f ca="1">VLOOKUP(A75,Sheet2!C:E,3,0)</f>
        <v>EG04-EG05-EG06-EG07</v>
      </c>
      <c r="H75" s="2" t="str">
        <f ca="1">VLOOKUP(A75,Sheet2!A:F,6,0)</f>
        <v>doaa.aboelhadid@gmail.com</v>
      </c>
      <c r="I75" s="2" t="str">
        <f ca="1">VLOOKUP(A75,Sheet2!C:G,5,0)</f>
        <v>01090759683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3" t="s">
        <v>94</v>
      </c>
      <c r="B76" s="1">
        <v>574109525960</v>
      </c>
      <c r="C76" s="1" t="s">
        <v>85</v>
      </c>
      <c r="D76" s="1" t="s">
        <v>25</v>
      </c>
      <c r="E76" s="1" t="s">
        <v>12</v>
      </c>
      <c r="F76" s="2">
        <f ca="1">VLOOKUP(A76,Sheet2!C:D,2,0)</f>
        <v>2471</v>
      </c>
      <c r="G76" s="2" t="str">
        <f ca="1">VLOOKUP(A76,Sheet2!C:E,3,0)</f>
        <v>EG04-EG05-EG06-EG07-EG08-EG09</v>
      </c>
      <c r="H76" s="2" t="str">
        <f ca="1">VLOOKUP(A76,Sheet2!A:F,6,0)</f>
        <v>sherin.mohamed.hafez@gmail.com</v>
      </c>
      <c r="I76" s="2" t="str">
        <f ca="1">VLOOKUP(A76,Sheet2!C:G,5,0)</f>
        <v>01017179234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3" t="s">
        <v>95</v>
      </c>
      <c r="B77" s="1">
        <v>204103586289</v>
      </c>
      <c r="C77" s="1" t="s">
        <v>85</v>
      </c>
      <c r="D77" s="1" t="s">
        <v>25</v>
      </c>
      <c r="E77" s="1" t="s">
        <v>14</v>
      </c>
      <c r="F77" s="2">
        <f ca="1">VLOOKUP(A77,Sheet2!C:D,2,0)</f>
        <v>2550</v>
      </c>
      <c r="G77" s="2" t="str">
        <f ca="1">VLOOKUP(A77,Sheet2!C:E,3,0)</f>
        <v>EG03-EG04-EG05-EG06</v>
      </c>
      <c r="H77" s="2" t="str">
        <f ca="1">VLOOKUP(A77,Sheet2!A:F,6,0)</f>
        <v>eh718010@gmail.com</v>
      </c>
      <c r="I77" s="2" t="str">
        <f ca="1">VLOOKUP(A77,Sheet2!C:G,5,0)</f>
        <v>01011118294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3" t="s">
        <v>96</v>
      </c>
      <c r="B78" s="1">
        <v>203175727593</v>
      </c>
      <c r="C78" s="1" t="s">
        <v>85</v>
      </c>
      <c r="D78" s="1" t="s">
        <v>25</v>
      </c>
      <c r="E78" s="1" t="s">
        <v>14</v>
      </c>
      <c r="F78" s="2">
        <f ca="1">VLOOKUP(A78,Sheet2!C:D,2,0)</f>
        <v>2626</v>
      </c>
      <c r="G78" s="2" t="str">
        <f ca="1">VLOOKUP(A78,Sheet2!C:E,3,0)</f>
        <v>EG04-EG05-EG06</v>
      </c>
      <c r="H78" s="2" t="str">
        <f ca="1">VLOOKUP(A78,Sheet2!A:F,6,0)</f>
        <v>ms3455672@gmail.com</v>
      </c>
      <c r="I78" s="2" t="str">
        <f ca="1">VLOOKUP(A78,Sheet2!C:G,5,0)</f>
        <v>01068974535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3" t="s">
        <v>97</v>
      </c>
      <c r="B79" s="1">
        <v>276184302392</v>
      </c>
      <c r="C79" s="1" t="s">
        <v>85</v>
      </c>
      <c r="D79" s="1" t="s">
        <v>25</v>
      </c>
      <c r="E79" s="1" t="s">
        <v>14</v>
      </c>
      <c r="F79" s="2">
        <f ca="1">VLOOKUP(A79,Sheet2!C:D,2,0)</f>
        <v>2557</v>
      </c>
      <c r="G79" s="2" t="str">
        <f ca="1">VLOOKUP(A79,Sheet2!C:E,3,0)</f>
        <v>EG04-EG05-EG06</v>
      </c>
      <c r="H79" s="2" t="str">
        <f ca="1">VLOOKUP(A79,Sheet2!A:F,6,0)</f>
        <v>nourhanemad92@gmail.com</v>
      </c>
      <c r="I79" s="2" t="str">
        <f ca="1">VLOOKUP(A79,Sheet2!C:G,5,0)</f>
        <v>01007704272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3" t="s">
        <v>98</v>
      </c>
      <c r="B80" s="1">
        <v>165185273620</v>
      </c>
      <c r="C80" s="1" t="s">
        <v>85</v>
      </c>
      <c r="D80" s="1" t="s">
        <v>25</v>
      </c>
      <c r="E80" s="1" t="s">
        <v>14</v>
      </c>
      <c r="F80" s="2">
        <f ca="1">VLOOKUP(A80,Sheet2!C:D,2,0)</f>
        <v>2617</v>
      </c>
      <c r="G80" s="2" t="str">
        <f ca="1">VLOOKUP(A80,Sheet2!C:E,3,0)</f>
        <v>EG04-EG05-EG06-EG07-EG08-EG09</v>
      </c>
      <c r="H80" s="2" t="str">
        <f ca="1">VLOOKUP(A80,Sheet2!A:F,6,0)</f>
        <v>rihamaql@gmail.com</v>
      </c>
      <c r="I80" s="2">
        <f ca="1">VLOOKUP(A80,Sheet2!C:G,5,0)</f>
        <v>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3" t="s">
        <v>99</v>
      </c>
      <c r="B81" s="1">
        <v>494132147854</v>
      </c>
      <c r="C81" s="1" t="s">
        <v>85</v>
      </c>
      <c r="D81" s="1" t="s">
        <v>25</v>
      </c>
      <c r="E81" s="1" t="s">
        <v>14</v>
      </c>
      <c r="F81" s="2">
        <f ca="1">VLOOKUP(A81,Sheet2!C:D,2,0)</f>
        <v>2644</v>
      </c>
      <c r="G81" s="2" t="str">
        <f ca="1">VLOOKUP(A81,Sheet2!C:E,3,0)</f>
        <v>EG04-EG05-EG06-EG07-EG08-EG09</v>
      </c>
      <c r="H81" s="2" t="str">
        <f ca="1">VLOOKUP(A81,Sheet2!A:F,6,0)</f>
        <v>sarahadel25@gmail.com</v>
      </c>
      <c r="I81" s="2" t="str">
        <f ca="1">VLOOKUP(A81,Sheet2!C:G,5,0)</f>
        <v>01221284747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3" t="s">
        <v>100</v>
      </c>
      <c r="B82" s="1">
        <v>179182107469</v>
      </c>
      <c r="C82" s="1" t="s">
        <v>85</v>
      </c>
      <c r="D82" s="1" t="s">
        <v>25</v>
      </c>
      <c r="E82" s="1" t="s">
        <v>14</v>
      </c>
      <c r="F82" s="2">
        <f ca="1">VLOOKUP(A82,Sheet2!C:D,2,0)</f>
        <v>2676</v>
      </c>
      <c r="G82" s="2" t="str">
        <f ca="1">VLOOKUP(A82,Sheet2!C:E,3,0)</f>
        <v>EG04-EG05-EG06</v>
      </c>
      <c r="H82" s="2" t="str">
        <f ca="1">VLOOKUP(A82,Sheet2!A:F,6,0)</f>
        <v>ettmanmostafa@gmail.com</v>
      </c>
      <c r="I82" s="2" t="str">
        <f ca="1">VLOOKUP(A82,Sheet2!C:G,5,0)</f>
        <v>01002002430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3" t="s">
        <v>101</v>
      </c>
      <c r="B83" s="1">
        <v>390140483239</v>
      </c>
      <c r="C83" s="1" t="s">
        <v>85</v>
      </c>
      <c r="D83" s="1" t="s">
        <v>25</v>
      </c>
      <c r="E83" s="1" t="s">
        <v>14</v>
      </c>
      <c r="F83" s="2">
        <f ca="1">VLOOKUP(A83,Sheet2!C:D,2,0)</f>
        <v>2671</v>
      </c>
      <c r="G83" s="2" t="str">
        <f ca="1">VLOOKUP(A83,Sheet2!C:E,3,0)</f>
        <v>EG04-EG05-EG06</v>
      </c>
      <c r="H83" s="2" t="str">
        <f ca="1">VLOOKUP(A83,Sheet2!A:F,6,0)</f>
        <v>narimanelshaer29@gmail.com</v>
      </c>
      <c r="I83" s="2" t="str">
        <f ca="1">VLOOKUP(A83,Sheet2!C:G,5,0)</f>
        <v>01068481234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3" t="s">
        <v>102</v>
      </c>
      <c r="B84" s="1">
        <v>302164164286</v>
      </c>
      <c r="C84" s="1" t="s">
        <v>85</v>
      </c>
      <c r="D84" s="1" t="s">
        <v>25</v>
      </c>
      <c r="E84" s="1" t="s">
        <v>12</v>
      </c>
      <c r="F84" s="2">
        <f ca="1">VLOOKUP(A84,Sheet2!C:D,2,0)</f>
        <v>2685</v>
      </c>
      <c r="G84" s="2" t="str">
        <f ca="1">VLOOKUP(A84,Sheet2!C:E,3,0)</f>
        <v>EG04-EG05</v>
      </c>
      <c r="H84" s="2" t="str">
        <f ca="1">VLOOKUP(A84,Sheet2!A:F,6,0)</f>
        <v>yasmin.t.zaki@gmail.com</v>
      </c>
      <c r="I84" s="2">
        <f ca="1">VLOOKUP(A84,Sheet2!C:G,5,0)</f>
        <v>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3" t="s">
        <v>103</v>
      </c>
      <c r="B85" s="1">
        <v>102186959703</v>
      </c>
      <c r="C85" s="1" t="s">
        <v>85</v>
      </c>
      <c r="D85" s="1" t="s">
        <v>25</v>
      </c>
      <c r="E85" s="1" t="s">
        <v>12</v>
      </c>
      <c r="F85" s="2">
        <f ca="1">VLOOKUP(A85,Sheet2!C:D,2,0)</f>
        <v>2684</v>
      </c>
      <c r="G85" s="2" t="str">
        <f ca="1">VLOOKUP(A85,Sheet2!C:E,3,0)</f>
        <v>EG04-EG05-EG06-7-8</v>
      </c>
      <c r="H85" s="2" t="str">
        <f ca="1">VLOOKUP(A85,Sheet2!A:F,6,0)</f>
        <v>amrmowafy2025@gmail.com</v>
      </c>
      <c r="I85" s="2" t="str">
        <f ca="1">VLOOKUP(A85,Sheet2!C:G,5,0)</f>
        <v>01004917420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3" t="s">
        <v>104</v>
      </c>
      <c r="B86" s="1">
        <v>435167307015</v>
      </c>
      <c r="C86" s="1" t="s">
        <v>85</v>
      </c>
      <c r="D86" s="1" t="s">
        <v>25</v>
      </c>
      <c r="E86" s="1" t="s">
        <v>35</v>
      </c>
      <c r="F86" s="2">
        <f ca="1">VLOOKUP(A86,Sheet2!C:D,2,0)</f>
        <v>2723</v>
      </c>
      <c r="G86" s="2" t="str">
        <f ca="1">VLOOKUP(A86,Sheet2!C:E,3,0)</f>
        <v>EG04-EG05-EG06</v>
      </c>
      <c r="H86" s="2" t="str">
        <f ca="1">VLOOKUP(A86,Sheet2!A:F,6,0)</f>
        <v>nadasiam055@gmail.com</v>
      </c>
      <c r="I86" s="2" t="str">
        <f ca="1">VLOOKUP(A86,Sheet2!C:G,5,0)</f>
        <v>01025277618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3" t="s">
        <v>105</v>
      </c>
      <c r="B87" s="1">
        <v>219178041630</v>
      </c>
      <c r="C87" s="1" t="s">
        <v>85</v>
      </c>
      <c r="D87" s="1" t="s">
        <v>25</v>
      </c>
      <c r="E87" s="1" t="s">
        <v>12</v>
      </c>
      <c r="F87" s="2">
        <f ca="1">VLOOKUP(A87,Sheet2!C:D,2,0)</f>
        <v>2686</v>
      </c>
      <c r="G87" s="2" t="str">
        <f ca="1">VLOOKUP(A87,Sheet2!C:E,3,0)</f>
        <v xml:space="preserve">EG04-EG05-EG06 </v>
      </c>
      <c r="H87" s="2" t="str">
        <f ca="1">VLOOKUP(A87,Sheet2!A:F,6,0)</f>
        <v>nagwaneweir@gmail.com</v>
      </c>
      <c r="I87" s="2" t="str">
        <f ca="1">VLOOKUP(A87,Sheet2!C:G,5,0)</f>
        <v>01000321191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3" t="s">
        <v>106</v>
      </c>
      <c r="B88" s="1">
        <v>643120708265</v>
      </c>
      <c r="C88" s="1" t="s">
        <v>85</v>
      </c>
      <c r="D88" s="1" t="s">
        <v>25</v>
      </c>
      <c r="E88" s="1" t="s">
        <v>14</v>
      </c>
      <c r="F88" s="2">
        <f ca="1">VLOOKUP(A88,Sheet2!C:D,2,0)</f>
        <v>2698</v>
      </c>
      <c r="G88" s="2" t="str">
        <f ca="1">VLOOKUP(A88,Sheet2!C:E,3,0)</f>
        <v>EG04-EG05-EG06-EG07-EG08-EG09</v>
      </c>
      <c r="H88" s="2" t="str">
        <f ca="1">VLOOKUP(A88,Sheet2!A:F,6,0)</f>
        <v>peter.hanna.said@gmail.com</v>
      </c>
      <c r="I88" s="2" t="str">
        <f ca="1">VLOOKUP(A88,Sheet2!C:G,5,0)</f>
        <v>01023587845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3" t="s">
        <v>107</v>
      </c>
      <c r="B89" s="1">
        <v>424185416756</v>
      </c>
      <c r="C89" s="1" t="s">
        <v>85</v>
      </c>
      <c r="D89" s="1" t="s">
        <v>25</v>
      </c>
      <c r="E89" s="1" t="s">
        <v>12</v>
      </c>
      <c r="F89" s="2">
        <f ca="1">VLOOKUP(A89,Sheet2!C:D,2,0)</f>
        <v>2693</v>
      </c>
      <c r="G89" s="2" t="str">
        <f ca="1">VLOOKUP(A89,Sheet2!C:E,3,0)</f>
        <v>EG04-EG05-EG06</v>
      </c>
      <c r="H89" s="2" t="str">
        <f ca="1">VLOOKUP(A89,Sheet2!A:F,6,0)</f>
        <v>eyadsayed2016@gmail.com</v>
      </c>
      <c r="I89" s="2" t="str">
        <f ca="1">VLOOKUP(A89,Sheet2!C:G,5,0)</f>
        <v>01225926326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3" t="s">
        <v>108</v>
      </c>
      <c r="B90" s="1">
        <v>953168381683</v>
      </c>
      <c r="C90" s="1" t="s">
        <v>85</v>
      </c>
      <c r="D90" s="1" t="s">
        <v>25</v>
      </c>
      <c r="E90" s="1" t="s">
        <v>14</v>
      </c>
      <c r="F90" s="2">
        <f ca="1">VLOOKUP(A90,Sheet2!C:D,2,0)</f>
        <v>2667</v>
      </c>
      <c r="G90" s="2" t="str">
        <f ca="1">VLOOKUP(A90,Sheet2!C:E,3,0)</f>
        <v>EG04-EG05-EG06</v>
      </c>
      <c r="H90" s="2" t="str">
        <f ca="1">VLOOKUP(A90,Sheet2!A:F,6,0)</f>
        <v>samarhtt88@gmail.com</v>
      </c>
      <c r="I90" s="2">
        <f ca="1">VLOOKUP(A90,Sheet2!C:G,5,0)</f>
        <v>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3" t="s">
        <v>109</v>
      </c>
      <c r="B91" s="1">
        <v>548159074528</v>
      </c>
      <c r="C91" s="1" t="s">
        <v>85</v>
      </c>
      <c r="D91" s="1" t="s">
        <v>25</v>
      </c>
      <c r="E91" s="1" t="s">
        <v>14</v>
      </c>
      <c r="F91" s="2">
        <f ca="1">VLOOKUP(A91,Sheet2!C:D,2,0)</f>
        <v>2725</v>
      </c>
      <c r="G91" s="2" t="str">
        <f ca="1">VLOOKUP(A91,Sheet2!C:E,3,0)</f>
        <v>EG04-EG05-EG06-7</v>
      </c>
      <c r="H91" s="2" t="str">
        <f ca="1">VLOOKUP(A91,Sheet2!A:F,6,0)</f>
        <v>basma.fouad@yahoo.com</v>
      </c>
      <c r="I91" s="2" t="str">
        <f ca="1">VLOOKUP(A91,Sheet2!C:G,5,0)</f>
        <v>01099743661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3" t="s">
        <v>110</v>
      </c>
      <c r="B92" s="1">
        <v>759196045212</v>
      </c>
      <c r="C92" s="1" t="s">
        <v>85</v>
      </c>
      <c r="D92" s="1" t="s">
        <v>25</v>
      </c>
      <c r="E92" s="1" t="s">
        <v>14</v>
      </c>
      <c r="F92" s="2">
        <f ca="1">VLOOKUP(A92,Sheet2!C:D,2,0)</f>
        <v>2751</v>
      </c>
      <c r="G92" s="2" t="str">
        <f ca="1">VLOOKUP(A92,Sheet2!C:E,3,0)</f>
        <v>EG04-EG05-EG06</v>
      </c>
      <c r="H92" s="2" t="str">
        <f ca="1">VLOOKUP(A92,Sheet2!A:F,6,0)</f>
        <v>monakoka010@gmail.com</v>
      </c>
      <c r="I92" s="2" t="str">
        <f ca="1">VLOOKUP(A92,Sheet2!C:G,5,0)</f>
        <v>01141513173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3" t="s">
        <v>111</v>
      </c>
      <c r="B93" s="1">
        <v>680125089292</v>
      </c>
      <c r="C93" s="1" t="s">
        <v>85</v>
      </c>
      <c r="D93" s="1" t="s">
        <v>25</v>
      </c>
      <c r="E93" s="1" t="s">
        <v>14</v>
      </c>
      <c r="F93" s="2">
        <f ca="1">VLOOKUP(A93,Sheet2!C:D,2,0)</f>
        <v>2597</v>
      </c>
      <c r="G93" s="2" t="str">
        <f ca="1">VLOOKUP(A93,Sheet2!C:E,3,0)</f>
        <v>EG04-EG05-EG06-EG07-EG08-EG09</v>
      </c>
      <c r="H93" s="2" t="str">
        <f ca="1">VLOOKUP(A93,Sheet2!A:F,6,0)</f>
        <v>mr.samiribrahim@yahoo.com</v>
      </c>
      <c r="I93" s="2" t="str">
        <f ca="1">VLOOKUP(A93,Sheet2!C:G,5,0)</f>
        <v>01200100441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3" t="s">
        <v>112</v>
      </c>
      <c r="B94" s="1">
        <v>713154590107</v>
      </c>
      <c r="C94" s="1" t="s">
        <v>85</v>
      </c>
      <c r="D94" s="1" t="s">
        <v>25</v>
      </c>
      <c r="E94" s="1" t="s">
        <v>14</v>
      </c>
      <c r="F94" s="2">
        <f ca="1">VLOOKUP(A94,Sheet2!C:D,2,0)</f>
        <v>2691</v>
      </c>
      <c r="G94" s="2" t="str">
        <f ca="1">VLOOKUP(A94,Sheet2!C:E,3,0)</f>
        <v>EG04-EG05-EG06</v>
      </c>
      <c r="H94" s="2" t="str">
        <f ca="1">VLOOKUP(A94,Sheet2!A:F,6,0)</f>
        <v>nohaibrahim1310@gmail.com</v>
      </c>
      <c r="I94" s="2">
        <f ca="1">VLOOKUP(A94,Sheet2!C:G,5,0)</f>
        <v>1013522250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3" t="s">
        <v>113</v>
      </c>
      <c r="B95" s="1">
        <v>364193795818</v>
      </c>
      <c r="C95" s="1" t="s">
        <v>85</v>
      </c>
      <c r="D95" s="1" t="s">
        <v>25</v>
      </c>
      <c r="E95" s="1" t="s">
        <v>12</v>
      </c>
      <c r="F95" s="2">
        <f ca="1">VLOOKUP(A95,Sheet2!C:D,2,0)</f>
        <v>2717</v>
      </c>
      <c r="G95" s="2" t="str">
        <f ca="1">VLOOKUP(A95,Sheet2!C:E,3,0)</f>
        <v>EG04-EG05-EG06</v>
      </c>
      <c r="H95" s="2" t="str">
        <f ca="1">VLOOKUP(A95,Sheet2!A:F,6,0)</f>
        <v>ibrahimabdelaliem591@gmail.com</v>
      </c>
      <c r="I95" s="2" t="str">
        <f ca="1">VLOOKUP(A95,Sheet2!C:G,5,0)</f>
        <v>01013720278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3" t="s">
        <v>114</v>
      </c>
      <c r="B96" s="1">
        <v>108171586739</v>
      </c>
      <c r="C96" s="1" t="s">
        <v>85</v>
      </c>
      <c r="D96" s="1" t="s">
        <v>25</v>
      </c>
      <c r="E96" s="1" t="s">
        <v>14</v>
      </c>
      <c r="F96" s="2">
        <f ca="1">VLOOKUP(A96,Sheet2!C:D,2,0)</f>
        <v>2707</v>
      </c>
      <c r="G96" s="2" t="str">
        <f ca="1">VLOOKUP(A96,Sheet2!C:E,3,0)</f>
        <v>EG04-EG05-EG06</v>
      </c>
      <c r="H96" s="2" t="str">
        <f ca="1">VLOOKUP(A96,Sheet2!A:F,6,0)</f>
        <v>mrs.sahar.savvy@gmail.com</v>
      </c>
      <c r="I96" s="2">
        <f ca="1">VLOOKUP(A96,Sheet2!C:G,5,0)</f>
        <v>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3" t="s">
        <v>115</v>
      </c>
      <c r="B97" s="1">
        <v>625187252525</v>
      </c>
      <c r="C97" s="1" t="s">
        <v>85</v>
      </c>
      <c r="D97" s="1" t="s">
        <v>25</v>
      </c>
      <c r="E97" s="1" t="s">
        <v>12</v>
      </c>
      <c r="F97" s="2">
        <f ca="1">VLOOKUP(A97,Sheet2!C:D,2,0)</f>
        <v>2670</v>
      </c>
      <c r="G97" s="2" t="str">
        <f ca="1">VLOOKUP(A97,Sheet2!C:E,3,0)</f>
        <v>EG04-EG05-EG06-EG07-EG08-EG09-10-11</v>
      </c>
      <c r="H97" s="2" t="str">
        <f ca="1">VLOOKUP(A97,Sheet2!A:F,6,0)</f>
        <v>omer_mohamed2009@yahoo.com</v>
      </c>
      <c r="I97" s="2" t="str">
        <f ca="1">VLOOKUP(A97,Sheet2!C:G,5,0)</f>
        <v>00201017573880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3" t="s">
        <v>116</v>
      </c>
      <c r="B98" s="1">
        <v>409109172938</v>
      </c>
      <c r="C98" s="1" t="s">
        <v>85</v>
      </c>
      <c r="D98" s="1" t="s">
        <v>25</v>
      </c>
      <c r="E98" s="1" t="s">
        <v>12</v>
      </c>
      <c r="F98" s="2">
        <f ca="1">VLOOKUP(A98,Sheet2!C:D,2,0)</f>
        <v>2765</v>
      </c>
      <c r="G98" s="2" t="str">
        <f ca="1">VLOOKUP(A98,Sheet2!C:E,3,0)</f>
        <v>EG04-EG05-EG06-EG07-EG08-EG09</v>
      </c>
      <c r="H98" s="2" t="str">
        <f ca="1">VLOOKUP(A98,Sheet2!A:F,6,0)</f>
        <v>doaaemadeldin6@gmail.com</v>
      </c>
      <c r="I98" s="2" t="str">
        <f ca="1">VLOOKUP(A98,Sheet2!C:G,5,0)</f>
        <v>01099093013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3" t="s">
        <v>117</v>
      </c>
      <c r="B99" s="1">
        <v>356132167530</v>
      </c>
      <c r="C99" s="1" t="s">
        <v>85</v>
      </c>
      <c r="D99" s="1" t="s">
        <v>25</v>
      </c>
      <c r="E99" s="1" t="s">
        <v>12</v>
      </c>
      <c r="F99" s="2">
        <f ca="1">VLOOKUP(A99,Sheet2!C:D,2,0)</f>
        <v>2767</v>
      </c>
      <c r="G99" s="2" t="str">
        <f ca="1">VLOOKUP(A99,Sheet2!C:E,3,0)</f>
        <v>EG04-EG05-EG06-EG07-EG08-EG09</v>
      </c>
      <c r="H99" s="2" t="str">
        <f ca="1">VLOOKUP(A99,Sheet2!A:F,6,0)</f>
        <v>ymy201010@gmail.com</v>
      </c>
      <c r="I99" s="2">
        <f ca="1">VLOOKUP(A99,Sheet2!C:G,5,0)</f>
        <v>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3" t="s">
        <v>118</v>
      </c>
      <c r="B100" s="1">
        <v>186143210451</v>
      </c>
      <c r="C100" s="1" t="s">
        <v>85</v>
      </c>
      <c r="D100" s="1" t="s">
        <v>25</v>
      </c>
      <c r="E100" s="1" t="s">
        <v>14</v>
      </c>
      <c r="F100" s="2">
        <f ca="1">VLOOKUP(A100,Sheet2!C:D,2,0)</f>
        <v>2632</v>
      </c>
      <c r="G100" s="2" t="str">
        <f ca="1">VLOOKUP(A100,Sheet2!C:E,3,0)</f>
        <v>EG04-EG05-EG06-EG07</v>
      </c>
      <c r="H100" s="2" t="str">
        <f ca="1">VLOOKUP(A100,Sheet2!A:F,6,0)</f>
        <v>nahla.y2013@gmail.com</v>
      </c>
      <c r="I100" s="2" t="str">
        <f ca="1">VLOOKUP(A100,Sheet2!C:G,5,0)</f>
        <v>01015128248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3" t="s">
        <v>119</v>
      </c>
      <c r="B101" s="1">
        <v>286134930682</v>
      </c>
      <c r="C101" s="1" t="s">
        <v>85</v>
      </c>
      <c r="D101" s="1" t="s">
        <v>25</v>
      </c>
      <c r="E101" s="1" t="s">
        <v>12</v>
      </c>
      <c r="F101" s="2">
        <f ca="1">VLOOKUP(A101,Sheet2!C:D,2,0)</f>
        <v>2637</v>
      </c>
      <c r="G101" s="2" t="str">
        <f ca="1">VLOOKUP(A101,Sheet2!C:E,3,0)</f>
        <v>EG04-EG05-EG06-EG07-EG08-EG09-EG10-EG11-EG12</v>
      </c>
      <c r="H101" s="2" t="str">
        <f ca="1">VLOOKUP(A101,Sheet2!A:F,6,0)</f>
        <v>princemido@hotmail.com</v>
      </c>
      <c r="I101" s="2">
        <f ca="1">VLOOKUP(A101,Sheet2!C:G,5,0)</f>
        <v>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3" t="s">
        <v>120</v>
      </c>
      <c r="B102" s="1">
        <v>274128962341</v>
      </c>
      <c r="C102" s="1" t="s">
        <v>85</v>
      </c>
      <c r="D102" s="1" t="s">
        <v>25</v>
      </c>
      <c r="E102" s="1" t="s">
        <v>12</v>
      </c>
      <c r="F102" s="2">
        <f ca="1">VLOOKUP(A102,Sheet2!C:D,2,0)</f>
        <v>2633</v>
      </c>
      <c r="G102" s="2" t="str">
        <f ca="1">VLOOKUP(A102,Sheet2!C:E,3,0)</f>
        <v>EG04-EG05-EG06-EG07-EG08-EG09</v>
      </c>
      <c r="H102" s="2" t="str">
        <f ca="1">VLOOKUP(A102,Sheet2!A:F,6,0)</f>
        <v>moaazghady@gmail.com</v>
      </c>
      <c r="I102" s="2">
        <f ca="1">VLOOKUP(A102,Sheet2!C:G,5,0)</f>
        <v>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3" t="s">
        <v>121</v>
      </c>
      <c r="B103" s="1">
        <v>872109756075</v>
      </c>
      <c r="C103" s="1" t="s">
        <v>85</v>
      </c>
      <c r="D103" s="1" t="s">
        <v>25</v>
      </c>
      <c r="E103" s="1" t="s">
        <v>12</v>
      </c>
      <c r="F103" s="2">
        <f ca="1">VLOOKUP(A103,Sheet2!C:D,2,0)</f>
        <v>2772</v>
      </c>
      <c r="G103" s="2" t="str">
        <f ca="1">VLOOKUP(A103,Sheet2!C:E,3,0)</f>
        <v>EG04-EG05-EG06</v>
      </c>
      <c r="H103" s="2" t="str">
        <f ca="1">VLOOKUP(A103,Sheet2!A:F,6,0)</f>
        <v>nermeenhasan35@gmail.com</v>
      </c>
      <c r="I103" s="2">
        <f ca="1">VLOOKUP(A103,Sheet2!C:G,5,0)</f>
        <v>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3" t="s">
        <v>122</v>
      </c>
      <c r="B104" s="1">
        <v>105126902692</v>
      </c>
      <c r="C104" s="1" t="s">
        <v>85</v>
      </c>
      <c r="D104" s="1" t="s">
        <v>25</v>
      </c>
      <c r="E104" s="1" t="s">
        <v>12</v>
      </c>
      <c r="F104" s="2">
        <f ca="1">VLOOKUP(A104,Sheet2!C:D,2,0)</f>
        <v>2794</v>
      </c>
      <c r="G104" s="2" t="str">
        <f ca="1">VLOOKUP(A104,Sheet2!C:E,3,0)</f>
        <v>EG04-EG05-EG06</v>
      </c>
      <c r="H104" s="2" t="str">
        <f ca="1">VLOOKUP(A104,Sheet2!A:F,6,0)</f>
        <v>petermedhat25@gmail.com</v>
      </c>
      <c r="I104" s="2" t="str">
        <f ca="1">VLOOKUP(A104,Sheet2!C:G,5,0)</f>
        <v>01282584743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3" t="s">
        <v>123</v>
      </c>
      <c r="B105" s="1">
        <v>350132398282</v>
      </c>
      <c r="C105" s="1" t="s">
        <v>85</v>
      </c>
      <c r="D105" s="1" t="s">
        <v>25</v>
      </c>
      <c r="E105" s="1" t="s">
        <v>14</v>
      </c>
      <c r="F105" s="2">
        <f ca="1">VLOOKUP(A105,Sheet2!C:D,2,0)</f>
        <v>2778</v>
      </c>
      <c r="G105" s="2" t="str">
        <f ca="1">VLOOKUP(A105,Sheet2!C:E,3,0)</f>
        <v>EG04-EG05-EG06-EG07-EG08-EG09</v>
      </c>
      <c r="H105" s="2" t="str">
        <f ca="1">VLOOKUP(A105,Sheet2!A:F,6,0)</f>
        <v>mr.walidali79@gmail.com</v>
      </c>
      <c r="I105" s="2">
        <f ca="1">VLOOKUP(A105,Sheet2!C:G,5,0)</f>
        <v>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3" t="s">
        <v>124</v>
      </c>
      <c r="B106" s="1">
        <v>809176040437</v>
      </c>
      <c r="C106" s="1" t="s">
        <v>85</v>
      </c>
      <c r="D106" s="1" t="s">
        <v>125</v>
      </c>
      <c r="E106" s="1" t="s">
        <v>12</v>
      </c>
      <c r="F106" s="4" t="str">
        <f ca="1">VLOOKUP(A106,Sheet2!C:D,2,0)</f>
        <v>2288</v>
      </c>
      <c r="G106" s="2">
        <f ca="1">VLOOKUP(A106,Sheet2!C:E,3,0)</f>
        <v>0</v>
      </c>
      <c r="H106" s="2" t="str">
        <f ca="1">VLOOKUP(A106,Sheet2!A:F,6,0)</f>
        <v>hatem2235h@gmail.com</v>
      </c>
      <c r="I106" s="2" t="str">
        <f ca="1">VLOOKUP(A106,Sheet2!C:G,5,0)</f>
        <v>01030944131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3" t="s">
        <v>126</v>
      </c>
      <c r="B107" s="1">
        <v>930159109291</v>
      </c>
      <c r="C107" s="1" t="s">
        <v>85</v>
      </c>
      <c r="D107" s="1" t="s">
        <v>125</v>
      </c>
      <c r="E107" s="1" t="s">
        <v>14</v>
      </c>
      <c r="F107" s="4" t="str">
        <f ca="1">VLOOKUP(A107,Sheet2!C:D,2,0)</f>
        <v>2270</v>
      </c>
      <c r="G107" s="2">
        <f ca="1">VLOOKUP(A107,Sheet2!C:E,3,0)</f>
        <v>0</v>
      </c>
      <c r="H107" s="2" t="str">
        <f ca="1">VLOOKUP(A107,Sheet2!A:F,6,0)</f>
        <v>rahmahamoda59@gmail.com</v>
      </c>
      <c r="I107" s="2" t="str">
        <f ca="1">VLOOKUP(A107,Sheet2!C:G,5,0)</f>
        <v>01011416685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3" t="s">
        <v>127</v>
      </c>
      <c r="B108" s="1">
        <v>782180626727</v>
      </c>
      <c r="C108" s="1" t="s">
        <v>85</v>
      </c>
      <c r="D108" s="1" t="s">
        <v>125</v>
      </c>
      <c r="E108" s="1" t="s">
        <v>14</v>
      </c>
      <c r="F108" s="2">
        <f ca="1">VLOOKUP(A108,Sheet2!C:D,2,0)</f>
        <v>2404</v>
      </c>
      <c r="G108" s="2" t="str">
        <f ca="1">VLOOKUP(A108,Sheet2!C:E,3,0)</f>
        <v>EG04-EG05-EG06</v>
      </c>
      <c r="H108" s="2" t="str">
        <f ca="1">VLOOKUP(A108,Sheet2!A:F,6,0)</f>
        <v>amr731844@gmail.com</v>
      </c>
      <c r="I108" s="2" t="str">
        <f ca="1">VLOOKUP(A108,Sheet2!C:G,5,0)</f>
        <v>01094839978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3" t="s">
        <v>128</v>
      </c>
      <c r="B109" s="1">
        <v>742181710304</v>
      </c>
      <c r="C109" s="1" t="s">
        <v>85</v>
      </c>
      <c r="D109" s="1" t="s">
        <v>125</v>
      </c>
      <c r="E109" s="1" t="s">
        <v>14</v>
      </c>
      <c r="F109" s="2">
        <f ca="1">VLOOKUP(A109,Sheet2!C:D,2,0)</f>
        <v>2403</v>
      </c>
      <c r="G109" s="2" t="str">
        <f ca="1">VLOOKUP(A109,Sheet2!C:E,3,0)</f>
        <v>EG04-EG05-EG06</v>
      </c>
      <c r="H109" s="2" t="str">
        <f ca="1">VLOOKUP(A109,Sheet2!A:F,6,0)</f>
        <v>pro.islamhmam@gmail.com</v>
      </c>
      <c r="I109" s="2" t="str">
        <f ca="1">VLOOKUP(A109,Sheet2!C:G,5,0)</f>
        <v>01550512026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3" t="s">
        <v>129</v>
      </c>
      <c r="B110" s="1">
        <v>643134674754</v>
      </c>
      <c r="C110" s="1" t="s">
        <v>85</v>
      </c>
      <c r="D110" s="1" t="s">
        <v>125</v>
      </c>
      <c r="E110" s="1" t="s">
        <v>14</v>
      </c>
      <c r="F110" s="2">
        <f ca="1">VLOOKUP(A110,Sheet2!C:D,2,0)</f>
        <v>2475</v>
      </c>
      <c r="G110" s="2" t="str">
        <f ca="1">VLOOKUP(A110,Sheet2!C:E,3,0)</f>
        <v>EG04-EG05-EG06</v>
      </c>
      <c r="H110" s="2" t="str">
        <f ca="1">VLOOKUP(A110,Sheet2!A:F,6,0)</f>
        <v>ahmedgoda712@gmail.com</v>
      </c>
      <c r="I110" s="2" t="str">
        <f ca="1">VLOOKUP(A110,Sheet2!C:G,5,0)</f>
        <v>01212265381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3" t="s">
        <v>130</v>
      </c>
      <c r="B111" s="1">
        <v>514130261047</v>
      </c>
      <c r="C111" s="1" t="s">
        <v>85</v>
      </c>
      <c r="D111" s="1" t="s">
        <v>125</v>
      </c>
      <c r="E111" s="1" t="s">
        <v>12</v>
      </c>
      <c r="F111" s="2">
        <f ca="1">VLOOKUP(A111,Sheet2!C:D,2,0)</f>
        <v>2509</v>
      </c>
      <c r="G111" s="2" t="str">
        <f ca="1">VLOOKUP(A111,Sheet2!C:E,3,0)</f>
        <v>EG04-EG05-EG06</v>
      </c>
      <c r="H111" s="2" t="str">
        <f ca="1">VLOOKUP(A111,Sheet2!A:F,6,0)</f>
        <v>aya.emara96@gmail.com</v>
      </c>
      <c r="I111" s="2">
        <f ca="1">VLOOKUP(A111,Sheet2!C:G,5,0)</f>
        <v>1097953066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3" t="s">
        <v>131</v>
      </c>
      <c r="B112" s="1">
        <v>894178098602</v>
      </c>
      <c r="C112" s="1" t="s">
        <v>85</v>
      </c>
      <c r="D112" s="1" t="s">
        <v>125</v>
      </c>
      <c r="E112" s="1" t="s">
        <v>14</v>
      </c>
      <c r="F112" s="2">
        <f ca="1">VLOOKUP(A112,Sheet2!C:D,2,0)</f>
        <v>2529</v>
      </c>
      <c r="G112" s="2" t="str">
        <f ca="1">VLOOKUP(A112,Sheet2!C:E,3,0)</f>
        <v>EG04-EG05-EG06</v>
      </c>
      <c r="H112" s="2" t="str">
        <f ca="1">VLOOKUP(A112,Sheet2!A:F,6,0)</f>
        <v>kirolosbotrosrizk@gmail.com</v>
      </c>
      <c r="I112" s="2" t="str">
        <f ca="1">VLOOKUP(A112,Sheet2!C:G,5,0)</f>
        <v>01212650406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3" t="s">
        <v>132</v>
      </c>
      <c r="B113" s="1">
        <v>703149308423</v>
      </c>
      <c r="C113" s="1" t="s">
        <v>85</v>
      </c>
      <c r="D113" s="1" t="s">
        <v>125</v>
      </c>
      <c r="E113" s="1" t="s">
        <v>14</v>
      </c>
      <c r="F113" s="2">
        <f ca="1">VLOOKUP(A113,Sheet2!C:D,2,0)</f>
        <v>2535</v>
      </c>
      <c r="G113" s="2" t="str">
        <f ca="1">VLOOKUP(A113,Sheet2!C:E,3,0)</f>
        <v>EG04-EG05-EG06</v>
      </c>
      <c r="H113" s="2" t="str">
        <f ca="1">VLOOKUP(A113,Sheet2!A:F,6,0)</f>
        <v>may.elhamshary18@gmail.com</v>
      </c>
      <c r="I113" s="2" t="str">
        <f ca="1">VLOOKUP(A113,Sheet2!C:G,5,0)</f>
        <v>01098180108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3" t="s">
        <v>133</v>
      </c>
      <c r="B114" s="1">
        <v>157194097243</v>
      </c>
      <c r="C114" s="1" t="s">
        <v>85</v>
      </c>
      <c r="D114" s="1" t="s">
        <v>125</v>
      </c>
      <c r="E114" s="1" t="s">
        <v>12</v>
      </c>
      <c r="F114" s="2">
        <f ca="1">VLOOKUP(A114,Sheet2!C:D,2,0)</f>
        <v>2556</v>
      </c>
      <c r="G114" s="2" t="str">
        <f ca="1">VLOOKUP(A114,Sheet2!C:E,3,0)</f>
        <v>EG04-EG05-EG06</v>
      </c>
      <c r="H114" s="2" t="str">
        <f ca="1">VLOOKUP(A114,Sheet2!A:F,6,0)</f>
        <v>hamdly634@gmail.com</v>
      </c>
      <c r="I114" s="2" t="str">
        <f ca="1">VLOOKUP(A114,Sheet2!C:G,5,0)</f>
        <v>01157080971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3" t="s">
        <v>134</v>
      </c>
      <c r="B115" s="1">
        <v>815141510923</v>
      </c>
      <c r="C115" s="1" t="s">
        <v>85</v>
      </c>
      <c r="D115" s="1" t="s">
        <v>125</v>
      </c>
      <c r="E115" s="1" t="s">
        <v>12</v>
      </c>
      <c r="F115" s="2">
        <f ca="1">VLOOKUP(A115,Sheet2!C:D,2,0)</f>
        <v>2558</v>
      </c>
      <c r="G115" s="2" t="str">
        <f ca="1">VLOOKUP(A115,Sheet2!C:E,3,0)</f>
        <v>EG04-EG05-EG06</v>
      </c>
      <c r="H115" s="2" t="str">
        <f ca="1">VLOOKUP(A115,Sheet2!A:F,6,0)</f>
        <v>m.h.raffat@gmail.com</v>
      </c>
      <c r="I115" s="2">
        <f ca="1">VLOOKUP(A115,Sheet2!C:G,5,0)</f>
        <v>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3" t="s">
        <v>135</v>
      </c>
      <c r="B116" s="1">
        <v>916186078296</v>
      </c>
      <c r="C116" s="1" t="s">
        <v>85</v>
      </c>
      <c r="D116" s="1" t="s">
        <v>125</v>
      </c>
      <c r="E116" s="1" t="s">
        <v>12</v>
      </c>
      <c r="F116" s="2">
        <f ca="1">VLOOKUP(A116,Sheet2!C:D,2,0)</f>
        <v>2709</v>
      </c>
      <c r="G116" s="2" t="str">
        <f ca="1">VLOOKUP(A116,Sheet2!C:E,3,0)</f>
        <v>EG04-EG05-EG06</v>
      </c>
      <c r="H116" s="2" t="str">
        <f ca="1">VLOOKUP(A116,Sheet2!A:F,6,0)</f>
        <v>nesahmed2@gmail.com</v>
      </c>
      <c r="I116" s="2" t="str">
        <f ca="1">VLOOKUP(A116,Sheet2!C:G,5,0)</f>
        <v>01068231011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3" t="s">
        <v>136</v>
      </c>
      <c r="B117" s="1">
        <v>762193489569</v>
      </c>
      <c r="C117" s="1" t="s">
        <v>85</v>
      </c>
      <c r="D117" s="1" t="s">
        <v>125</v>
      </c>
      <c r="E117" s="1" t="s">
        <v>12</v>
      </c>
      <c r="F117" s="2">
        <f ca="1">VLOOKUP(A117,Sheet2!C:D,2,0)</f>
        <v>2740</v>
      </c>
      <c r="G117" s="2" t="str">
        <f ca="1">VLOOKUP(A117,Sheet2!C:E,3,0)</f>
        <v>EG04-EG05-EG06</v>
      </c>
      <c r="H117" s="2" t="str">
        <f ca="1">VLOOKUP(A117,Sheet2!A:F,6,0)</f>
        <v>emankhalil9688896@gmail.com</v>
      </c>
      <c r="I117" s="2" t="str">
        <f ca="1">VLOOKUP(A117,Sheet2!C:G,5,0)</f>
        <v>01211232390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3" t="s">
        <v>137</v>
      </c>
      <c r="B118" s="1">
        <v>953162327564</v>
      </c>
      <c r="C118" s="1" t="s">
        <v>85</v>
      </c>
      <c r="D118" s="1" t="s">
        <v>125</v>
      </c>
      <c r="E118" s="1" t="s">
        <v>12</v>
      </c>
      <c r="F118" s="2">
        <f ca="1">VLOOKUP(A118,Sheet2!C:D,2,0)</f>
        <v>2741</v>
      </c>
      <c r="G118" s="2" t="str">
        <f ca="1">VLOOKUP(A118,Sheet2!C:E,3,0)</f>
        <v>EG04-EG05-EG06</v>
      </c>
      <c r="H118" s="2" t="str">
        <f ca="1">VLOOKUP(A118,Sheet2!A:F,6,0)</f>
        <v>sally.sayed@yahoo.com</v>
      </c>
      <c r="I118" s="2" t="str">
        <f ca="1">VLOOKUP(A118,Sheet2!C:G,5,0)</f>
        <v>01226537936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3" t="s">
        <v>138</v>
      </c>
      <c r="B119" s="1">
        <v>720159631723</v>
      </c>
      <c r="C119" s="1" t="s">
        <v>85</v>
      </c>
      <c r="D119" s="1" t="s">
        <v>125</v>
      </c>
      <c r="E119" s="1" t="s">
        <v>12</v>
      </c>
      <c r="F119" s="2">
        <f ca="1">VLOOKUP(A119,Sheet2!C:D,2,0)</f>
        <v>2780</v>
      </c>
      <c r="G119" s="2" t="str">
        <f ca="1">VLOOKUP(A119,Sheet2!C:E,3,0)</f>
        <v>EG04-EG05-EG06</v>
      </c>
      <c r="H119" s="2" t="str">
        <f ca="1">VLOOKUP(A119,Sheet2!A:F,6,0)</f>
        <v>rania.fahmy222@gmail.com</v>
      </c>
      <c r="I119" s="2" t="str">
        <f ca="1">VLOOKUP(A119,Sheet2!C:G,5,0)</f>
        <v>01101560506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3" t="s">
        <v>139</v>
      </c>
      <c r="B120" s="1">
        <v>679131265016</v>
      </c>
      <c r="C120" s="1" t="s">
        <v>85</v>
      </c>
      <c r="D120" s="1" t="s">
        <v>125</v>
      </c>
      <c r="E120" s="1" t="s">
        <v>12</v>
      </c>
      <c r="F120" s="2">
        <f ca="1">VLOOKUP(A120,Sheet2!C:D,2,0)</f>
        <v>2716</v>
      </c>
      <c r="G120" s="2" t="str">
        <f ca="1">VLOOKUP(A120,Sheet2!C:E,3,0)</f>
        <v>EG04-EG05-EG06</v>
      </c>
      <c r="H120" s="2" t="str">
        <f ca="1">VLOOKUP(A120,Sheet2!A:F,6,0)</f>
        <v>3mahoda@gmail.com</v>
      </c>
      <c r="I120" s="2">
        <f ca="1">VLOOKUP(A120,Sheet2!C:G,5,0)</f>
        <v>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3" t="s">
        <v>140</v>
      </c>
      <c r="B121" s="1">
        <v>306185372078</v>
      </c>
      <c r="C121" s="1" t="s">
        <v>85</v>
      </c>
      <c r="D121" s="1" t="s">
        <v>47</v>
      </c>
      <c r="E121" s="1" t="s">
        <v>14</v>
      </c>
      <c r="F121" s="4" t="str">
        <f ca="1">VLOOKUP(A121,Sheet2!C:D,2,0)</f>
        <v>1843</v>
      </c>
      <c r="G121" s="2">
        <f ca="1">VLOOKUP(A121,Sheet2!C:E,3,0)</f>
        <v>0</v>
      </c>
      <c r="H121" s="2" t="str">
        <f ca="1">VLOOKUP(A121,Sheet2!A:F,6,0)</f>
        <v>salmaellaithy96@gmail.com</v>
      </c>
      <c r="I121" s="2" t="str">
        <f ca="1">VLOOKUP(A121,Sheet2!C:G,5,0)</f>
        <v>01099069950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3" t="s">
        <v>141</v>
      </c>
      <c r="B122" s="1">
        <v>243147538572</v>
      </c>
      <c r="C122" s="1" t="s">
        <v>85</v>
      </c>
      <c r="D122" s="1" t="s">
        <v>47</v>
      </c>
      <c r="E122" s="1" t="s">
        <v>14</v>
      </c>
      <c r="F122" s="4" t="str">
        <f ca="1">VLOOKUP(A122,Sheet2!C:D,2,0)</f>
        <v>1866</v>
      </c>
      <c r="G122" s="2">
        <f ca="1">VLOOKUP(A122,Sheet2!C:E,3,0)</f>
        <v>0</v>
      </c>
      <c r="H122" s="2" t="str">
        <f ca="1">VLOOKUP(A122,Sheet2!A:F,6,0)</f>
        <v>hebaadel1795@gmail.com</v>
      </c>
      <c r="I122" s="2" t="str">
        <f ca="1">VLOOKUP(A122,Sheet2!C:G,5,0)</f>
        <v>01159608979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3" t="s">
        <v>142</v>
      </c>
      <c r="B123" s="1">
        <v>412161359614</v>
      </c>
      <c r="C123" s="1" t="s">
        <v>85</v>
      </c>
      <c r="D123" s="1" t="s">
        <v>47</v>
      </c>
      <c r="E123" s="1" t="s">
        <v>12</v>
      </c>
      <c r="F123" s="4" t="str">
        <f ca="1">VLOOKUP(A123,Sheet2!C:D,2,0)</f>
        <v>1958</v>
      </c>
      <c r="G123" s="2">
        <f ca="1">VLOOKUP(A123,Sheet2!C:E,3,0)</f>
        <v>0</v>
      </c>
      <c r="H123" s="2" t="str">
        <f ca="1">VLOOKUP(A123,Sheet2!A:F,6,0)</f>
        <v>sararef3t90@gmail.com</v>
      </c>
      <c r="I123" s="2" t="str">
        <f ca="1">VLOOKUP(A123,Sheet2!C:G,5,0)</f>
        <v>+201100848903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3" t="s">
        <v>143</v>
      </c>
      <c r="B124" s="1">
        <v>908173825031</v>
      </c>
      <c r="C124" s="1" t="s">
        <v>85</v>
      </c>
      <c r="D124" s="1" t="s">
        <v>47</v>
      </c>
      <c r="E124" s="1" t="s">
        <v>14</v>
      </c>
      <c r="F124" s="4" t="str">
        <f ca="1">VLOOKUP(A124,Sheet2!C:D,2,0)</f>
        <v>2040</v>
      </c>
      <c r="G124" s="2">
        <f ca="1">VLOOKUP(A124,Sheet2!C:E,3,0)</f>
        <v>0</v>
      </c>
      <c r="H124" s="2" t="str">
        <f ca="1">VLOOKUP(A124,Sheet2!A:F,6,0)</f>
        <v>emiliamony@gmail.com</v>
      </c>
      <c r="I124" s="2">
        <f ca="1">VLOOKUP(A124,Sheet2!C:G,5,0)</f>
        <v>28310280200527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3" t="s">
        <v>144</v>
      </c>
      <c r="B125" s="1">
        <v>565175096735</v>
      </c>
      <c r="C125" s="1" t="s">
        <v>85</v>
      </c>
      <c r="D125" s="1" t="s">
        <v>47</v>
      </c>
      <c r="E125" s="1" t="s">
        <v>14</v>
      </c>
      <c r="F125" s="4" t="str">
        <f ca="1">VLOOKUP(A125,Sheet2!C:D,2,0)</f>
        <v>2049</v>
      </c>
      <c r="G125" s="2">
        <f ca="1">VLOOKUP(A125,Sheet2!C:E,3,0)</f>
        <v>0</v>
      </c>
      <c r="H125" s="2" t="str">
        <f ca="1">VLOOKUP(A125,Sheet2!A:F,6,0)</f>
        <v>mohamedlokman055@gmail.com</v>
      </c>
      <c r="I125" s="2" t="str">
        <f ca="1">VLOOKUP(A125,Sheet2!C:G,5,0)</f>
        <v>01006721017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3" t="s">
        <v>145</v>
      </c>
      <c r="B126" s="1">
        <v>572181296785</v>
      </c>
      <c r="C126" s="1" t="s">
        <v>85</v>
      </c>
      <c r="D126" s="1" t="s">
        <v>47</v>
      </c>
      <c r="E126" s="1" t="s">
        <v>14</v>
      </c>
      <c r="F126" s="4" t="str">
        <f ca="1">VLOOKUP(A126,Sheet2!C:D,2,0)</f>
        <v>2240</v>
      </c>
      <c r="G126" s="2">
        <f ca="1">VLOOKUP(A126,Sheet2!C:E,3,0)</f>
        <v>0</v>
      </c>
      <c r="H126" s="2" t="str">
        <f ca="1">VLOOKUP(A126,Sheet2!A:F,6,0)</f>
        <v>alshaimaag062@gmail.com</v>
      </c>
      <c r="I126" s="2" t="str">
        <f ca="1">VLOOKUP(A126,Sheet2!C:G,5,0)</f>
        <v>01094815086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3" t="s">
        <v>146</v>
      </c>
      <c r="B127" s="1">
        <v>560197507192</v>
      </c>
      <c r="C127" s="1" t="s">
        <v>85</v>
      </c>
      <c r="D127" s="1" t="s">
        <v>47</v>
      </c>
      <c r="E127" s="1" t="s">
        <v>12</v>
      </c>
      <c r="F127" s="4" t="str">
        <f ca="1">VLOOKUP(A127,Sheet2!C:D,2,0)</f>
        <v>2245</v>
      </c>
      <c r="G127" s="2">
        <f ca="1">VLOOKUP(A127,Sheet2!C:E,3,0)</f>
        <v>0</v>
      </c>
      <c r="H127" s="2" t="str">
        <f ca="1">VLOOKUP(A127,Sheet2!A:F,6,0)</f>
        <v>samarhamdy793@gmail.com</v>
      </c>
      <c r="I127" s="2" t="str">
        <f ca="1">VLOOKUP(A127,Sheet2!C:G,5,0)</f>
        <v>01204852813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3" t="s">
        <v>147</v>
      </c>
      <c r="B128" s="1">
        <v>427179795127</v>
      </c>
      <c r="C128" s="1" t="s">
        <v>85</v>
      </c>
      <c r="D128" s="1" t="s">
        <v>47</v>
      </c>
      <c r="E128" s="1" t="s">
        <v>14</v>
      </c>
      <c r="F128" s="4" t="str">
        <f ca="1">VLOOKUP(A128,Sheet2!C:D,2,0)</f>
        <v>2248</v>
      </c>
      <c r="G128" s="2">
        <f ca="1">VLOOKUP(A128,Sheet2!C:E,3,0)</f>
        <v>0</v>
      </c>
      <c r="H128" s="2" t="str">
        <f ca="1">VLOOKUP(A128,Sheet2!A:F,6,0)</f>
        <v>sa.othman8@gmail.com</v>
      </c>
      <c r="I128" s="2" t="str">
        <f ca="1">VLOOKUP(A128,Sheet2!C:G,5,0)</f>
        <v>01022637927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3" t="s">
        <v>148</v>
      </c>
      <c r="B129" s="1">
        <v>657134826213</v>
      </c>
      <c r="C129" s="1" t="s">
        <v>85</v>
      </c>
      <c r="D129" s="1" t="s">
        <v>47</v>
      </c>
      <c r="E129" s="1" t="s">
        <v>12</v>
      </c>
      <c r="F129" s="2">
        <f ca="1">VLOOKUP(A129,Sheet2!C:D,2,0)</f>
        <v>2397</v>
      </c>
      <c r="G129" s="2" t="str">
        <f ca="1">VLOOKUP(A129,Sheet2!C:E,3,0)</f>
        <v>EG04-EG05-EG06</v>
      </c>
      <c r="H129" s="2" t="str">
        <f ca="1">VLOOKUP(A129,Sheet2!A:F,6,0)</f>
        <v>douaanaguib@gmail.com</v>
      </c>
      <c r="I129" s="2" t="str">
        <f ca="1">VLOOKUP(A129,Sheet2!C:G,5,0)</f>
        <v>01000271867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3" t="s">
        <v>149</v>
      </c>
      <c r="B130" s="1">
        <v>489106709893</v>
      </c>
      <c r="C130" s="1" t="s">
        <v>85</v>
      </c>
      <c r="D130" s="1" t="s">
        <v>47</v>
      </c>
      <c r="E130" s="1" t="s">
        <v>14</v>
      </c>
      <c r="F130" s="2">
        <f ca="1">VLOOKUP(A130,Sheet2!C:D,2,0)</f>
        <v>2406</v>
      </c>
      <c r="G130" s="2" t="str">
        <f ca="1">VLOOKUP(A130,Sheet2!C:E,3,0)</f>
        <v>EG03-EG04-EG05-EG06</v>
      </c>
      <c r="H130" s="2" t="str">
        <f ca="1">VLOOKUP(A130,Sheet2!A:F,6,0)</f>
        <v>mrminamath1989@gmail.com</v>
      </c>
      <c r="I130" s="2" t="str">
        <f ca="1">VLOOKUP(A130,Sheet2!C:G,5,0)</f>
        <v>01061512070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3" t="s">
        <v>150</v>
      </c>
      <c r="B131" s="1">
        <v>518128197903</v>
      </c>
      <c r="C131" s="1" t="s">
        <v>85</v>
      </c>
      <c r="D131" s="1" t="s">
        <v>47</v>
      </c>
      <c r="E131" s="1" t="s">
        <v>14</v>
      </c>
      <c r="F131" s="2">
        <f ca="1">VLOOKUP(A131,Sheet2!C:D,2,0)</f>
        <v>2409</v>
      </c>
      <c r="G131" s="2" t="str">
        <f ca="1">VLOOKUP(A131,Sheet2!C:E,3,0)</f>
        <v>EG01-EG02-EG03-EG04-EG05-EG06</v>
      </c>
      <c r="H131" s="2" t="str">
        <f ca="1">VLOOKUP(A131,Sheet2!A:F,6,0)</f>
        <v>raniamo712@gmail.com</v>
      </c>
      <c r="I131" s="2" t="str">
        <f ca="1">VLOOKUP(A131,Sheet2!C:G,5,0)</f>
        <v>01157249432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3" t="s">
        <v>151</v>
      </c>
      <c r="B132" s="1">
        <v>342149485143</v>
      </c>
      <c r="C132" s="1" t="s">
        <v>85</v>
      </c>
      <c r="D132" s="1" t="s">
        <v>47</v>
      </c>
      <c r="E132" s="1" t="s">
        <v>14</v>
      </c>
      <c r="F132" s="2">
        <f ca="1">VLOOKUP(A132,Sheet2!C:D,2,0)</f>
        <v>2430</v>
      </c>
      <c r="G132" s="2" t="str">
        <f ca="1">VLOOKUP(A132,Sheet2!C:E,3,0)</f>
        <v>EG04-EG05-EG06-EG07-EG08-EG09</v>
      </c>
      <c r="H132" s="2" t="str">
        <f ca="1">VLOOKUP(A132,Sheet2!A:F,6,0)</f>
        <v>shemoelbindary52@gmail.com</v>
      </c>
      <c r="I132" s="2" t="str">
        <f ca="1">VLOOKUP(A132,Sheet2!C:G,5,0)</f>
        <v>01090538802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3" t="s">
        <v>152</v>
      </c>
      <c r="B133" s="1">
        <v>375181246026</v>
      </c>
      <c r="C133" s="1" t="s">
        <v>85</v>
      </c>
      <c r="D133" s="1" t="s">
        <v>47</v>
      </c>
      <c r="E133" s="1" t="s">
        <v>14</v>
      </c>
      <c r="F133" s="2">
        <f ca="1">VLOOKUP(A133,Sheet2!C:D,2,0)</f>
        <v>2452</v>
      </c>
      <c r="G133" s="2" t="str">
        <f ca="1">VLOOKUP(A133,Sheet2!C:E,3,0)</f>
        <v>EG04-EG05-EG06</v>
      </c>
      <c r="H133" s="2" t="str">
        <f ca="1">VLOOKUP(A133,Sheet2!A:F,6,0)</f>
        <v>amrtarek.1100@yahoo.com</v>
      </c>
      <c r="I133" s="2" t="str">
        <f ca="1">VLOOKUP(A133,Sheet2!C:G,5,0)</f>
        <v>01143727455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3" t="s">
        <v>153</v>
      </c>
      <c r="B134" s="1">
        <v>510131201316</v>
      </c>
      <c r="C134" s="1" t="s">
        <v>85</v>
      </c>
      <c r="D134" s="1" t="s">
        <v>47</v>
      </c>
      <c r="E134" s="1" t="s">
        <v>12</v>
      </c>
      <c r="F134" s="2">
        <f ca="1">VLOOKUP(A134,Sheet2!C:D,2,0)</f>
        <v>0</v>
      </c>
      <c r="G134" s="2" t="str">
        <f ca="1">VLOOKUP(A134,Sheet2!C:E,3,0)</f>
        <v>EG04-EG05-EG06-EG07</v>
      </c>
      <c r="H134" s="2" t="str">
        <f ca="1">VLOOKUP(A134,Sheet2!A:F,6,0)</f>
        <v>essay.soo1996@gmail.com</v>
      </c>
      <c r="I134" s="2">
        <f ca="1">VLOOKUP(A134,Sheet2!C:G,5,0)</f>
        <v>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3" t="s">
        <v>154</v>
      </c>
      <c r="B135" s="1">
        <v>895145269153</v>
      </c>
      <c r="C135" s="1" t="s">
        <v>85</v>
      </c>
      <c r="D135" s="1" t="s">
        <v>47</v>
      </c>
      <c r="E135" s="1" t="s">
        <v>14</v>
      </c>
      <c r="F135" s="2">
        <f ca="1">VLOOKUP(A135,Sheet2!C:D,2,0)</f>
        <v>2534</v>
      </c>
      <c r="G135" s="2" t="str">
        <f ca="1">VLOOKUP(A135,Sheet2!C:E,3,0)</f>
        <v>EG04-EG05-EG06</v>
      </c>
      <c r="H135" s="2" t="str">
        <f ca="1">VLOOKUP(A135,Sheet2!A:F,6,0)</f>
        <v>ogomaa57@gmail.com</v>
      </c>
      <c r="I135" s="2" t="str">
        <f ca="1">VLOOKUP(A135,Sheet2!C:G,5,0)</f>
        <v>01002637904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3" t="s">
        <v>155</v>
      </c>
      <c r="B136" s="1">
        <v>636191708065</v>
      </c>
      <c r="C136" s="1" t="s">
        <v>85</v>
      </c>
      <c r="D136" s="1" t="s">
        <v>47</v>
      </c>
      <c r="E136" s="1" t="s">
        <v>14</v>
      </c>
      <c r="F136" s="2">
        <f ca="1">VLOOKUP(A136,Sheet2!C:D,2,0)</f>
        <v>2604</v>
      </c>
      <c r="G136" s="2" t="str">
        <f ca="1">VLOOKUP(A136,Sheet2!C:E,3,0)</f>
        <v>EG04-EG05-EG06</v>
      </c>
      <c r="H136" s="2" t="str">
        <f ca="1">VLOOKUP(A136,Sheet2!A:F,6,0)</f>
        <v>karema0saed@gmail.com</v>
      </c>
      <c r="I136" s="2">
        <f ca="1">VLOOKUP(A136,Sheet2!C:G,5,0)</f>
        <v>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3" t="s">
        <v>156</v>
      </c>
      <c r="B137" s="1">
        <v>546184861318</v>
      </c>
      <c r="C137" s="1" t="s">
        <v>85</v>
      </c>
      <c r="D137" s="1" t="s">
        <v>47</v>
      </c>
      <c r="E137" s="1" t="s">
        <v>14</v>
      </c>
      <c r="F137" s="2">
        <f ca="1">VLOOKUP(A137,Sheet2!C:D,2,0)</f>
        <v>2616</v>
      </c>
      <c r="G137" s="2" t="str">
        <f ca="1">VLOOKUP(A137,Sheet2!C:E,3,0)</f>
        <v>EG04-EG05-EG06</v>
      </c>
      <c r="H137" s="2" t="str">
        <f ca="1">VLOOKUP(A137,Sheet2!A:F,6,0)</f>
        <v>mennar048@gmail.com</v>
      </c>
      <c r="I137" s="2">
        <f ca="1">VLOOKUP(A137,Sheet2!C:G,5,0)</f>
        <v>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3" t="s">
        <v>157</v>
      </c>
      <c r="B138" s="1">
        <v>450169828460</v>
      </c>
      <c r="C138" s="1" t="s">
        <v>85</v>
      </c>
      <c r="D138" s="1" t="s">
        <v>47</v>
      </c>
      <c r="E138" s="1" t="s">
        <v>14</v>
      </c>
      <c r="F138" s="2">
        <f ca="1">VLOOKUP(A138,Sheet2!C:D,2,0)</f>
        <v>2639</v>
      </c>
      <c r="G138" s="2" t="str">
        <f ca="1">VLOOKUP(A138,Sheet2!C:E,3,0)</f>
        <v>EG04-EG05-EG06</v>
      </c>
      <c r="H138" s="2" t="str">
        <f ca="1">VLOOKUP(A138,Sheet2!A:F,6,0)</f>
        <v>nancyahmed9720@gmail.com</v>
      </c>
      <c r="I138" s="2" t="str">
        <f ca="1">VLOOKUP(A138,Sheet2!C:G,5,0)</f>
        <v>01226903380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3" t="s">
        <v>158</v>
      </c>
      <c r="B139" s="1">
        <v>690175608128</v>
      </c>
      <c r="C139" s="1" t="s">
        <v>85</v>
      </c>
      <c r="D139" s="1" t="s">
        <v>47</v>
      </c>
      <c r="E139" s="1" t="s">
        <v>14</v>
      </c>
      <c r="F139" s="2">
        <f ca="1">VLOOKUP(A139,Sheet2!C:D,2,0)</f>
        <v>2680</v>
      </c>
      <c r="G139" s="2" t="str">
        <f ca="1">VLOOKUP(A139,Sheet2!C:E,3,0)</f>
        <v>EG03-EG04-EG05-EG06</v>
      </c>
      <c r="H139" s="2" t="str">
        <f ca="1">VLOOKUP(A139,Sheet2!A:F,6,0)</f>
        <v>math.department.eg@gmail.com</v>
      </c>
      <c r="I139" s="2" t="str">
        <f ca="1">VLOOKUP(A139,Sheet2!C:G,5,0)</f>
        <v>01016652043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3" t="s">
        <v>159</v>
      </c>
      <c r="B140" s="1">
        <v>203121294150</v>
      </c>
      <c r="C140" s="1" t="s">
        <v>85</v>
      </c>
      <c r="D140" s="1" t="s">
        <v>47</v>
      </c>
      <c r="E140" s="1" t="s">
        <v>14</v>
      </c>
      <c r="F140" s="2">
        <f ca="1">VLOOKUP(A140,Sheet2!C:D,2,0)</f>
        <v>2262</v>
      </c>
      <c r="G140" s="2" t="str">
        <f ca="1">VLOOKUP(A140,Sheet2!C:E,3,0)</f>
        <v>EG03-EG04-EG05-EG06</v>
      </c>
      <c r="H140" s="2" t="str">
        <f ca="1">VLOOKUP(A140,Sheet2!A:F,6,0)</f>
        <v>asmaa.elnoubi@gmail.com</v>
      </c>
      <c r="I140" s="2" t="str">
        <f ca="1">VLOOKUP(A140,Sheet2!C:G,5,0)</f>
        <v>01270115158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3" t="s">
        <v>160</v>
      </c>
      <c r="B141" s="1">
        <v>209172013854</v>
      </c>
      <c r="C141" s="1" t="s">
        <v>85</v>
      </c>
      <c r="D141" s="1" t="s">
        <v>47</v>
      </c>
      <c r="E141" s="1" t="s">
        <v>12</v>
      </c>
      <c r="F141" s="2">
        <f ca="1">VLOOKUP(A141,Sheet2!C:D,2,0)</f>
        <v>2742</v>
      </c>
      <c r="G141" s="2" t="str">
        <f ca="1">VLOOKUP(A141,Sheet2!C:E,3,0)</f>
        <v>EG03-EG04-EG05</v>
      </c>
      <c r="H141" s="2" t="str">
        <f ca="1">VLOOKUP(A141,Sheet2!A:F,6,0)</f>
        <v>habibaadel1922@gmail.com</v>
      </c>
      <c r="I141" s="2" t="str">
        <f ca="1">VLOOKUP(A141,Sheet2!C:G,5,0)</f>
        <v>01201027560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3" t="s">
        <v>161</v>
      </c>
      <c r="B142" s="1">
        <v>595148969297</v>
      </c>
      <c r="C142" s="1" t="s">
        <v>85</v>
      </c>
      <c r="D142" s="1" t="s">
        <v>47</v>
      </c>
      <c r="E142" s="1" t="s">
        <v>12</v>
      </c>
      <c r="F142" s="2">
        <f ca="1">VLOOKUP(A142,Sheet2!C:D,2,0)</f>
        <v>2665</v>
      </c>
      <c r="G142" s="2" t="str">
        <f ca="1">VLOOKUP(A142,Sheet2!C:E,3,0)</f>
        <v>EG04-EG05-EG06</v>
      </c>
      <c r="H142" s="2" t="str">
        <f ca="1">VLOOKUP(A142,Sheet2!A:F,6,0)</f>
        <v>martinaasad5@gmail.com</v>
      </c>
      <c r="I142" s="2" t="str">
        <f ca="1">VLOOKUP(A142,Sheet2!C:G,5,0)</f>
        <v>+201281678241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3" t="s">
        <v>162</v>
      </c>
      <c r="B143" s="1">
        <v>386167394718</v>
      </c>
      <c r="C143" s="1" t="s">
        <v>85</v>
      </c>
      <c r="D143" s="1" t="s">
        <v>47</v>
      </c>
      <c r="E143" s="1" t="s">
        <v>12</v>
      </c>
      <c r="F143" s="2">
        <f ca="1">VLOOKUP(A143,Sheet2!C:D,2,0)</f>
        <v>2763</v>
      </c>
      <c r="G143" s="2" t="str">
        <f ca="1">VLOOKUP(A143,Sheet2!C:E,3,0)</f>
        <v>EG03-EG04-EG05-EG06</v>
      </c>
      <c r="H143" s="2" t="str">
        <f ca="1">VLOOKUP(A143,Sheet2!A:F,6,0)</f>
        <v>hebatullahhesham47@gmail.com</v>
      </c>
      <c r="I143" s="2">
        <f ca="1">VLOOKUP(A143,Sheet2!C:G,5,0)</f>
        <v>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3" t="s">
        <v>163</v>
      </c>
      <c r="B144" s="1">
        <v>723106572403</v>
      </c>
      <c r="C144" s="1" t="s">
        <v>85</v>
      </c>
      <c r="D144" s="1" t="s">
        <v>47</v>
      </c>
      <c r="E144" s="1" t="s">
        <v>12</v>
      </c>
      <c r="F144" s="2">
        <f ca="1">VLOOKUP(A144,Sheet2!C:D,2,0)</f>
        <v>2752</v>
      </c>
      <c r="G144" s="2" t="str">
        <f ca="1">VLOOKUP(A144,Sheet2!C:E,3,0)</f>
        <v>EG04-EG05-EG06</v>
      </c>
      <c r="H144" s="2" t="str">
        <f ca="1">VLOOKUP(A144,Sheet2!A:F,6,0)</f>
        <v>nasrahussein422@gmail.com</v>
      </c>
      <c r="I144" s="2">
        <f ca="1">VLOOKUP(A144,Sheet2!C:G,5,0)</f>
        <v>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3" t="s">
        <v>164</v>
      </c>
      <c r="B145" s="1">
        <v>638145149439</v>
      </c>
      <c r="C145" s="1" t="s">
        <v>85</v>
      </c>
      <c r="D145" s="1" t="s">
        <v>47</v>
      </c>
      <c r="E145" s="1" t="s">
        <v>12</v>
      </c>
      <c r="F145" s="2">
        <f ca="1">VLOOKUP(A145,Sheet2!C:D,2,0)</f>
        <v>2668</v>
      </c>
      <c r="G145" s="2" t="str">
        <f ca="1">VLOOKUP(A145,Sheet2!C:E,3,0)</f>
        <v>EG04-EG05-EG06</v>
      </c>
      <c r="H145" s="2" t="str">
        <f ca="1">VLOOKUP(A145,Sheet2!A:F,6,0)</f>
        <v>amiratutmask@gmail.com</v>
      </c>
      <c r="I145" s="2" t="str">
        <f ca="1">VLOOKUP(A145,Sheet2!C:G,5,0)</f>
        <v>01006331821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3" t="s">
        <v>165</v>
      </c>
      <c r="B146" s="1">
        <v>686140960605</v>
      </c>
      <c r="C146" s="1" t="s">
        <v>85</v>
      </c>
      <c r="D146" s="1" t="s">
        <v>47</v>
      </c>
      <c r="E146" s="1" t="s">
        <v>12</v>
      </c>
      <c r="F146" s="2">
        <f ca="1">VLOOKUP(A146,Sheet2!C:D,2,0)</f>
        <v>0</v>
      </c>
      <c r="G146" s="2" t="str">
        <f ca="1">VLOOKUP(A146,Sheet2!C:E,3,0)</f>
        <v>EG04-EG05-EG06</v>
      </c>
      <c r="H146" s="2" t="str">
        <f ca="1">VLOOKUP(A146,Sheet2!A:F,6,0)</f>
        <v>gedahad1511@gmail.com</v>
      </c>
      <c r="I146" s="2">
        <f ca="1">VLOOKUP(A146,Sheet2!C:G,5,0)</f>
        <v>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3" t="s">
        <v>166</v>
      </c>
      <c r="B147" s="1">
        <v>578126806131</v>
      </c>
      <c r="C147" s="1" t="s">
        <v>85</v>
      </c>
      <c r="D147" s="1" t="s">
        <v>47</v>
      </c>
      <c r="E147" s="1" t="s">
        <v>14</v>
      </c>
      <c r="F147" s="2">
        <f ca="1">VLOOKUP(A147,Sheet2!C:D,2,0)</f>
        <v>2640</v>
      </c>
      <c r="G147" s="2" t="str">
        <f ca="1">VLOOKUP(A147,Sheet2!C:E,3,0)</f>
        <v>EG03-EG04-EG05-EG06</v>
      </c>
      <c r="H147" s="2" t="str">
        <f ca="1">VLOOKUP(A147,Sheet2!A:F,6,0)</f>
        <v>asaadia881@gmail.com</v>
      </c>
      <c r="I147" s="2">
        <f ca="1">VLOOKUP(A147,Sheet2!C:G,5,0)</f>
        <v>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3" t="s">
        <v>167</v>
      </c>
      <c r="B148" s="1">
        <v>537126249693</v>
      </c>
      <c r="C148" s="1" t="s">
        <v>85</v>
      </c>
      <c r="D148" s="1" t="s">
        <v>47</v>
      </c>
      <c r="E148" s="1" t="s">
        <v>12</v>
      </c>
      <c r="F148" s="2">
        <f ca="1">VLOOKUP(A148,Sheet2!C:D,2,0)</f>
        <v>2775</v>
      </c>
      <c r="G148" s="2" t="str">
        <f ca="1">VLOOKUP(A148,Sheet2!C:E,3,0)</f>
        <v>EG04-EG05-EG06</v>
      </c>
      <c r="H148" s="2" t="str">
        <f ca="1">VLOOKUP(A148,Sheet2!A:F,6,0)</f>
        <v>ayamegahed071@gmail.com</v>
      </c>
      <c r="I148" s="2" t="str">
        <f ca="1">VLOOKUP(A148,Sheet2!C:G,5,0)</f>
        <v>01066056096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3" t="s">
        <v>168</v>
      </c>
      <c r="B149" s="1">
        <v>863152852634</v>
      </c>
      <c r="C149" s="1" t="s">
        <v>85</v>
      </c>
      <c r="D149" s="1" t="s">
        <v>47</v>
      </c>
      <c r="E149" s="1" t="s">
        <v>12</v>
      </c>
      <c r="F149" s="2">
        <f ca="1">VLOOKUP(A149,Sheet2!C:D,2,0)</f>
        <v>2804</v>
      </c>
      <c r="G149" s="2" t="str">
        <f ca="1">VLOOKUP(A149,Sheet2!C:E,3,0)</f>
        <v>EG04-EG05-EG06</v>
      </c>
      <c r="H149" s="2" t="str">
        <f ca="1">VLOOKUP(A149,Sheet2!A:F,6,0)</f>
        <v>ahmedtawfek2002@gmail.com</v>
      </c>
      <c r="I149" s="2" t="str">
        <f ca="1">VLOOKUP(A149,Sheet2!C:G,5,0)</f>
        <v>01098960940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3" t="s">
        <v>169</v>
      </c>
      <c r="B150" s="1">
        <v>632164034291</v>
      </c>
      <c r="C150" s="1" t="s">
        <v>85</v>
      </c>
      <c r="D150" s="1" t="s">
        <v>170</v>
      </c>
      <c r="E150" s="1" t="s">
        <v>14</v>
      </c>
      <c r="F150" s="4" t="str">
        <f ca="1">VLOOKUP(A150,Sheet2!C:D,2,0)</f>
        <v>1004</v>
      </c>
      <c r="G150" s="2" t="str">
        <f ca="1">VLOOKUP(A150,Sheet2!C:E,3,0)</f>
        <v>EG04-EG05-EG06-EG07-EG08-EG09</v>
      </c>
      <c r="H150" s="2" t="str">
        <f ca="1">VLOOKUP(A150,Sheet2!A:F,6,0)</f>
        <v>zeina.elsheikh@nagwa.com</v>
      </c>
      <c r="I150" s="2" t="str">
        <f ca="1">VLOOKUP(A150,Sheet2!C:G,5,0)</f>
        <v>01097890222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3" t="s">
        <v>171</v>
      </c>
      <c r="B151" s="1">
        <v>703170132053</v>
      </c>
      <c r="C151" s="1" t="s">
        <v>85</v>
      </c>
      <c r="D151" s="1" t="s">
        <v>170</v>
      </c>
      <c r="E151" s="1" t="s">
        <v>14</v>
      </c>
      <c r="F151" s="4" t="str">
        <f ca="1">VLOOKUP(A151,Sheet2!C:D,2,0)</f>
        <v>1849</v>
      </c>
      <c r="G151" s="2" t="str">
        <f ca="1">VLOOKUP(A151,Sheet2!C:E,3,0)</f>
        <v>EG04-EG05-EG06-EG07-EG08-EG09</v>
      </c>
      <c r="H151" s="2" t="str">
        <f ca="1">VLOOKUP(A151,Sheet2!A:F,6,0)</f>
        <v>noraalmiligy@gmail.com</v>
      </c>
      <c r="I151" s="2">
        <f ca="1">VLOOKUP(A151,Sheet2!C:G,5,0)</f>
        <v>1144280921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3" t="s">
        <v>172</v>
      </c>
      <c r="B152" s="1">
        <v>438168047047</v>
      </c>
      <c r="C152" s="1" t="s">
        <v>85</v>
      </c>
      <c r="D152" s="1" t="s">
        <v>170</v>
      </c>
      <c r="E152" s="1" t="s">
        <v>14</v>
      </c>
      <c r="F152" s="4" t="str">
        <f ca="1">VLOOKUP(A152,Sheet2!C:D,2,0)</f>
        <v>1907</v>
      </c>
      <c r="G152" s="2" t="str">
        <f ca="1">VLOOKUP(A152,Sheet2!C:E,3,0)</f>
        <v>EG04-EG05-EG06-EG07-EG08-EG09</v>
      </c>
      <c r="H152" s="2" t="str">
        <f ca="1">VLOOKUP(A152,Sheet2!A:F,6,0)</f>
        <v>esraa.eid.95@gmail.com</v>
      </c>
      <c r="I152" s="2" t="str">
        <f ca="1">VLOOKUP(A152,Sheet2!C:G,5,0)</f>
        <v>01009980720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3" t="s">
        <v>173</v>
      </c>
      <c r="B153" s="1">
        <v>804187379101</v>
      </c>
      <c r="C153" s="1" t="s">
        <v>85</v>
      </c>
      <c r="D153" s="1" t="s">
        <v>170</v>
      </c>
      <c r="E153" s="1" t="s">
        <v>14</v>
      </c>
      <c r="F153" s="4" t="str">
        <f ca="1">VLOOKUP(A153,Sheet2!C:D,2,0)</f>
        <v>2013</v>
      </c>
      <c r="G153" s="2" t="str">
        <f ca="1">VLOOKUP(A153,Sheet2!C:E,3,0)</f>
        <v>EG04-EG05-EG06-EG07-EG08-EG09</v>
      </c>
      <c r="H153" s="2" t="str">
        <f ca="1">VLOOKUP(A153,Sheet2!A:F,6,0)</f>
        <v>radwakadrey@gmail.com</v>
      </c>
      <c r="I153" s="2" t="str">
        <f ca="1">VLOOKUP(A153,Sheet2!C:G,5,0)</f>
        <v>01228963698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3" t="s">
        <v>174</v>
      </c>
      <c r="B154" s="1">
        <v>637175861357</v>
      </c>
      <c r="C154" s="1" t="s">
        <v>85</v>
      </c>
      <c r="D154" s="1" t="s">
        <v>170</v>
      </c>
      <c r="E154" s="1" t="s">
        <v>14</v>
      </c>
      <c r="F154" s="4" t="str">
        <f ca="1">VLOOKUP(A154,Sheet2!C:D,2,0)</f>
        <v>2144</v>
      </c>
      <c r="G154" s="2" t="str">
        <f ca="1">VLOOKUP(A154,Sheet2!C:E,3,0)</f>
        <v>EG03-EG04-EG05-EG06</v>
      </c>
      <c r="H154" s="2" t="str">
        <f ca="1">VLOOKUP(A154,Sheet2!A:F,6,0)</f>
        <v>amanyelsayed808@gmail.com</v>
      </c>
      <c r="I154" s="2" t="str">
        <f ca="1">VLOOKUP(A154,Sheet2!C:G,5,0)</f>
        <v>01008649576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3" t="s">
        <v>175</v>
      </c>
      <c r="B155" s="1">
        <v>687104205132</v>
      </c>
      <c r="C155" s="1" t="s">
        <v>85</v>
      </c>
      <c r="D155" s="1" t="s">
        <v>170</v>
      </c>
      <c r="E155" s="1" t="s">
        <v>14</v>
      </c>
      <c r="F155" s="4" t="str">
        <f ca="1">VLOOKUP(A155,Sheet2!C:D,2,0)</f>
        <v>1383</v>
      </c>
      <c r="G155" s="2" t="str">
        <f ca="1">VLOOKUP(A155,Sheet2!C:E,3,0)</f>
        <v>EG04-EG05-EG06</v>
      </c>
      <c r="H155" s="2" t="str">
        <f ca="1">VLOOKUP(A155,Sheet2!A:F,6,0)</f>
        <v>byasmins4288@gmail.com</v>
      </c>
      <c r="I155" s="2" t="str">
        <f ca="1">VLOOKUP(A155,Sheet2!C:G,5,0)</f>
        <v>01004560430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3" t="s">
        <v>176</v>
      </c>
      <c r="B156" s="1">
        <v>594131487609</v>
      </c>
      <c r="C156" s="1" t="s">
        <v>85</v>
      </c>
      <c r="D156" s="1" t="s">
        <v>170</v>
      </c>
      <c r="E156" s="1" t="s">
        <v>14</v>
      </c>
      <c r="F156" s="2">
        <f ca="1">VLOOKUP(A156,Sheet2!C:D,2,0)</f>
        <v>2339</v>
      </c>
      <c r="G156" s="2" t="str">
        <f ca="1">VLOOKUP(A156,Sheet2!C:E,3,0)</f>
        <v>EG04-EG05-EG06-EG07-EG08-EG09</v>
      </c>
      <c r="H156" s="2" t="str">
        <f ca="1">VLOOKUP(A156,Sheet2!A:F,6,0)</f>
        <v>aliaafsultan105@gmail.com</v>
      </c>
      <c r="I156" s="2" t="str">
        <f ca="1">VLOOKUP(A156,Sheet2!C:G,5,0)</f>
        <v>01040323439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3" t="s">
        <v>177</v>
      </c>
      <c r="B157" s="1">
        <v>586179418453</v>
      </c>
      <c r="C157" s="1" t="s">
        <v>85</v>
      </c>
      <c r="D157" s="1" t="s">
        <v>170</v>
      </c>
      <c r="E157" s="1" t="s">
        <v>14</v>
      </c>
      <c r="F157" s="2">
        <f ca="1">VLOOKUP(A157,Sheet2!C:D,2,0)</f>
        <v>2342</v>
      </c>
      <c r="G157" s="2" t="str">
        <f ca="1">VLOOKUP(A157,Sheet2!C:E,3,0)</f>
        <v>EG04-EG05-EG06-EG07-EG08-EG09</v>
      </c>
      <c r="H157" s="2" t="str">
        <f ca="1">VLOOKUP(A157,Sheet2!A:F,6,0)</f>
        <v>hanansobhy9997@gmail.com</v>
      </c>
      <c r="I157" s="2" t="str">
        <f ca="1">VLOOKUP(A157,Sheet2!C:G,5,0)</f>
        <v>01068457100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3" t="s">
        <v>178</v>
      </c>
      <c r="B158" s="1">
        <v>943127373092</v>
      </c>
      <c r="C158" s="1" t="s">
        <v>85</v>
      </c>
      <c r="D158" s="1" t="s">
        <v>170</v>
      </c>
      <c r="E158" s="1" t="s">
        <v>14</v>
      </c>
      <c r="F158" s="2">
        <f ca="1">VLOOKUP(A158,Sheet2!C:D,2,0)</f>
        <v>2353</v>
      </c>
      <c r="G158" s="2" t="str">
        <f ca="1">VLOOKUP(A158,Sheet2!C:E,3,0)</f>
        <v>EG04-EG05-EG06-EG07-EG08-EG09</v>
      </c>
      <c r="H158" s="2" t="str">
        <f ca="1">VLOOKUP(A158,Sheet2!A:F,6,0)</f>
        <v>rana.tarek.met@gmail.com</v>
      </c>
      <c r="I158" s="2" t="str">
        <f ca="1">VLOOKUP(A158,Sheet2!C:G,5,0)</f>
        <v>01142877853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3" t="s">
        <v>179</v>
      </c>
      <c r="B159" s="1">
        <v>589150897049</v>
      </c>
      <c r="C159" s="1" t="s">
        <v>85</v>
      </c>
      <c r="D159" s="1" t="s">
        <v>170</v>
      </c>
      <c r="E159" s="1" t="s">
        <v>14</v>
      </c>
      <c r="F159" s="2">
        <f ca="1">VLOOKUP(A159,Sheet2!C:D,2,0)</f>
        <v>2377</v>
      </c>
      <c r="G159" s="2" t="str">
        <f ca="1">VLOOKUP(A159,Sheet2!C:E,3,0)</f>
        <v>EG04-EG05-EG06-EG07-EG08-EG09</v>
      </c>
      <c r="H159" s="2" t="str">
        <f ca="1">VLOOKUP(A159,Sheet2!A:F,6,0)</f>
        <v>hebamohamed.bloom@gmail.com</v>
      </c>
      <c r="I159" s="2" t="str">
        <f ca="1">VLOOKUP(A159,Sheet2!C:G,5,0)</f>
        <v>01094740302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3" t="s">
        <v>180</v>
      </c>
      <c r="B160" s="1">
        <v>809198759721</v>
      </c>
      <c r="C160" s="1" t="s">
        <v>85</v>
      </c>
      <c r="D160" s="1" t="s">
        <v>170</v>
      </c>
      <c r="E160" s="1" t="s">
        <v>14</v>
      </c>
      <c r="F160" s="2">
        <f ca="1">VLOOKUP(A160,Sheet2!C:D,2,0)</f>
        <v>2367</v>
      </c>
      <c r="G160" s="2" t="str">
        <f ca="1">VLOOKUP(A160,Sheet2!C:E,3,0)</f>
        <v>EG04-EG05-EG06-EG07</v>
      </c>
      <c r="H160" s="2" t="str">
        <f ca="1">VLOOKUP(A160,Sheet2!A:F,6,0)</f>
        <v>rana.hrly@gmail.com</v>
      </c>
      <c r="I160" s="2" t="str">
        <f ca="1">VLOOKUP(A160,Sheet2!C:G,5,0)</f>
        <v>01210614318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3" t="s">
        <v>181</v>
      </c>
      <c r="B161" s="1">
        <v>135137963154</v>
      </c>
      <c r="C161" s="1" t="s">
        <v>85</v>
      </c>
      <c r="D161" s="1" t="s">
        <v>170</v>
      </c>
      <c r="E161" s="1" t="s">
        <v>182</v>
      </c>
      <c r="F161" s="2">
        <f ca="1">VLOOKUP(A161,Sheet2!C:D,2,0)</f>
        <v>0</v>
      </c>
      <c r="G161" s="2" t="str">
        <f ca="1">VLOOKUP(A161,Sheet2!C:E,3,0)</f>
        <v>EG04-EG05-EG06</v>
      </c>
      <c r="H161" s="2" t="str">
        <f ca="1">VLOOKUP(A161,Sheet2!A:F,6,0)</f>
        <v>marwa1980red@hotmail.com</v>
      </c>
      <c r="I161" s="2" t="str">
        <f ca="1">VLOOKUP(A161,Sheet2!C:G,5,0)</f>
        <v>01210055699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3" t="s">
        <v>183</v>
      </c>
      <c r="B162" s="1">
        <v>862179384026</v>
      </c>
      <c r="C162" s="1" t="s">
        <v>85</v>
      </c>
      <c r="D162" s="1" t="s">
        <v>170</v>
      </c>
      <c r="E162" s="1" t="s">
        <v>14</v>
      </c>
      <c r="F162" s="2">
        <f ca="1">VLOOKUP(A162,Sheet2!C:D,2,0)</f>
        <v>2393</v>
      </c>
      <c r="G162" s="2" t="str">
        <f ca="1">VLOOKUP(A162,Sheet2!C:E,3,0)</f>
        <v>EG04-EG05-EG06-EG07</v>
      </c>
      <c r="H162" s="2" t="str">
        <f ca="1">VLOOKUP(A162,Sheet2!A:F,6,0)</f>
        <v>amiraahmed231@gmail.com</v>
      </c>
      <c r="I162" s="2" t="str">
        <f ca="1">VLOOKUP(A162,Sheet2!C:G,5,0)</f>
        <v>01155574478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3" t="s">
        <v>184</v>
      </c>
      <c r="B163" s="1">
        <v>340130765079</v>
      </c>
      <c r="C163" s="1" t="s">
        <v>85</v>
      </c>
      <c r="D163" s="1" t="s">
        <v>170</v>
      </c>
      <c r="E163" s="1" t="s">
        <v>12</v>
      </c>
      <c r="F163" s="2">
        <f ca="1">VLOOKUP(A163,Sheet2!C:D,2,0)</f>
        <v>2446</v>
      </c>
      <c r="G163" s="2" t="str">
        <f ca="1">VLOOKUP(A163,Sheet2!C:E,3,0)</f>
        <v>EG01-EG02-EG03-EG04-EG05-EG06</v>
      </c>
      <c r="H163" s="2" t="str">
        <f ca="1">VLOOKUP(A163,Sheet2!A:F,6,0)</f>
        <v>ms.yaramostafaa@gmail.com</v>
      </c>
      <c r="I163" s="2">
        <f ca="1">VLOOKUP(A163,Sheet2!C:G,5,0)</f>
        <v>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3" t="s">
        <v>185</v>
      </c>
      <c r="B164" s="1">
        <v>180171957312</v>
      </c>
      <c r="C164" s="1" t="s">
        <v>85</v>
      </c>
      <c r="D164" s="1" t="s">
        <v>170</v>
      </c>
      <c r="E164" s="1" t="s">
        <v>14</v>
      </c>
      <c r="F164" s="2">
        <f ca="1">VLOOKUP(A164,Sheet2!C:D,2,0)</f>
        <v>2432</v>
      </c>
      <c r="G164" s="2" t="str">
        <f ca="1">VLOOKUP(A164,Sheet2!C:E,3,0)</f>
        <v>EG04-EG05</v>
      </c>
      <c r="H164" s="2" t="str">
        <f ca="1">VLOOKUP(A164,Sheet2!A:F,6,0)</f>
        <v>demianaatef28@gmail.com</v>
      </c>
      <c r="I164" s="2" t="str">
        <f ca="1">VLOOKUP(A164,Sheet2!C:G,5,0)</f>
        <v>01204031792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3" t="s">
        <v>186</v>
      </c>
      <c r="B165" s="1">
        <v>807180730987</v>
      </c>
      <c r="C165" s="1" t="s">
        <v>85</v>
      </c>
      <c r="D165" s="1" t="s">
        <v>170</v>
      </c>
      <c r="E165" s="1" t="s">
        <v>12</v>
      </c>
      <c r="F165" s="2">
        <f ca="1">VLOOKUP(A165,Sheet2!C:D,2,0)</f>
        <v>2442</v>
      </c>
      <c r="G165" s="2" t="str">
        <f ca="1">VLOOKUP(A165,Sheet2!C:E,3,0)</f>
        <v>EG04-EG05-EG06</v>
      </c>
      <c r="H165" s="2" t="str">
        <f ca="1">VLOOKUP(A165,Sheet2!A:F,6,0)</f>
        <v>hadeer.ashraf14@hotmail.com</v>
      </c>
      <c r="I165" s="2" t="str">
        <f ca="1">VLOOKUP(A165,Sheet2!C:G,5,0)</f>
        <v>01004044327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3" t="s">
        <v>187</v>
      </c>
      <c r="B166" s="1">
        <v>868184721354</v>
      </c>
      <c r="C166" s="1" t="s">
        <v>85</v>
      </c>
      <c r="D166" s="1" t="s">
        <v>170</v>
      </c>
      <c r="E166" s="1" t="s">
        <v>14</v>
      </c>
      <c r="F166" s="2">
        <f ca="1">VLOOKUP(A166,Sheet2!C:D,2,0)</f>
        <v>2480</v>
      </c>
      <c r="G166" s="2" t="str">
        <f ca="1">VLOOKUP(A166,Sheet2!C:E,3,0)</f>
        <v>EG04-EG05-EG06</v>
      </c>
      <c r="H166" s="2" t="str">
        <f ca="1">VLOOKUP(A166,Sheet2!A:F,6,0)</f>
        <v>youstina.waide123@gmail.com</v>
      </c>
      <c r="I166" s="2" t="str">
        <f ca="1">VLOOKUP(A166,Sheet2!C:G,5,0)</f>
        <v>01273882464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3" t="s">
        <v>188</v>
      </c>
      <c r="B167" s="1">
        <v>570172941064</v>
      </c>
      <c r="C167" s="1" t="s">
        <v>85</v>
      </c>
      <c r="D167" s="1" t="s">
        <v>170</v>
      </c>
      <c r="E167" s="1" t="s">
        <v>14</v>
      </c>
      <c r="F167" s="2">
        <f ca="1">VLOOKUP(A167,Sheet2!C:D,2,0)</f>
        <v>2495</v>
      </c>
      <c r="G167" s="2" t="str">
        <f ca="1">VLOOKUP(A167,Sheet2!C:E,3,0)</f>
        <v>EG05-EG06</v>
      </c>
      <c r="H167" s="2" t="str">
        <f ca="1">VLOOKUP(A167,Sheet2!A:F,6,0)</f>
        <v>emanseadawy22@gmail.com</v>
      </c>
      <c r="I167" s="2" t="str">
        <f ca="1">VLOOKUP(A167,Sheet2!C:G,5,0)</f>
        <v>01080328965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3" t="s">
        <v>189</v>
      </c>
      <c r="B168" s="1">
        <v>340126030476</v>
      </c>
      <c r="C168" s="1" t="s">
        <v>85</v>
      </c>
      <c r="D168" s="1" t="s">
        <v>170</v>
      </c>
      <c r="E168" s="1" t="s">
        <v>12</v>
      </c>
      <c r="F168" s="2">
        <f ca="1">VLOOKUP(A168,Sheet2!C:D,2,0)</f>
        <v>2483</v>
      </c>
      <c r="G168" s="2" t="str">
        <f ca="1">VLOOKUP(A168,Sheet2!C:E,3,0)</f>
        <v>EG04-EG05-EG06-EG07-EG08-EG09</v>
      </c>
      <c r="H168" s="2" t="str">
        <f ca="1">VLOOKUP(A168,Sheet2!A:F,6,0)</f>
        <v>sarasabry32@yahoo.com</v>
      </c>
      <c r="I168" s="2" t="str">
        <f ca="1">VLOOKUP(A168,Sheet2!C:G,5,0)</f>
        <v>+201024181225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3" t="s">
        <v>190</v>
      </c>
      <c r="B169" s="1">
        <v>594108798987</v>
      </c>
      <c r="C169" s="1" t="s">
        <v>85</v>
      </c>
      <c r="D169" s="1" t="s">
        <v>170</v>
      </c>
      <c r="E169" s="1" t="s">
        <v>14</v>
      </c>
      <c r="F169" s="2">
        <f ca="1">VLOOKUP(A169,Sheet2!C:D,2,0)</f>
        <v>2547</v>
      </c>
      <c r="G169" s="2" t="str">
        <f ca="1">VLOOKUP(A169,Sheet2!C:E,3,0)</f>
        <v>EG04-EG05-EG06</v>
      </c>
      <c r="H169" s="2" t="str">
        <f ca="1">VLOOKUP(A169,Sheet2!A:F,6,0)</f>
        <v>mennatullahmohamed23@gmail.com</v>
      </c>
      <c r="I169" s="2" t="str">
        <f ca="1">VLOOKUP(A169,Sheet2!C:G,5,0)</f>
        <v>01203531607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3" t="s">
        <v>191</v>
      </c>
      <c r="B170" s="1">
        <v>939180714785</v>
      </c>
      <c r="C170" s="1" t="s">
        <v>85</v>
      </c>
      <c r="D170" s="1" t="s">
        <v>170</v>
      </c>
      <c r="E170" s="1" t="s">
        <v>14</v>
      </c>
      <c r="F170" s="2">
        <f ca="1">VLOOKUP(A170,Sheet2!C:D,2,0)</f>
        <v>2562</v>
      </c>
      <c r="G170" s="2" t="str">
        <f ca="1">VLOOKUP(A170,Sheet2!C:E,3,0)</f>
        <v>EG04-EG05-EG06</v>
      </c>
      <c r="H170" s="2" t="str">
        <f ca="1">VLOOKUP(A170,Sheet2!A:F,6,0)</f>
        <v>esraaramy50@gmail.com</v>
      </c>
      <c r="I170" s="2" t="str">
        <f ca="1">VLOOKUP(A170,Sheet2!C:G,5,0)</f>
        <v>01032803981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3" t="s">
        <v>192</v>
      </c>
      <c r="B171" s="1">
        <v>706195648651</v>
      </c>
      <c r="C171" s="1" t="s">
        <v>85</v>
      </c>
      <c r="D171" s="1" t="s">
        <v>170</v>
      </c>
      <c r="E171" s="1" t="s">
        <v>14</v>
      </c>
      <c r="F171" s="2">
        <f ca="1">VLOOKUP(A171,Sheet2!C:D,2,0)</f>
        <v>2603</v>
      </c>
      <c r="G171" s="2" t="str">
        <f ca="1">VLOOKUP(A171,Sheet2!C:E,3,0)</f>
        <v>EG04-EG05-EG06</v>
      </c>
      <c r="H171" s="2" t="str">
        <f ca="1">VLOOKUP(A171,Sheet2!A:F,6,0)</f>
        <v>khadijaabdelrahman88@gmail.com</v>
      </c>
      <c r="I171" s="2">
        <f ca="1">VLOOKUP(A171,Sheet2!C:G,5,0)</f>
        <v>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3" t="s">
        <v>193</v>
      </c>
      <c r="B172" s="1">
        <v>859191972717</v>
      </c>
      <c r="C172" s="1" t="s">
        <v>85</v>
      </c>
      <c r="D172" s="1" t="s">
        <v>170</v>
      </c>
      <c r="E172" s="1" t="s">
        <v>14</v>
      </c>
      <c r="F172" s="2">
        <f ca="1">VLOOKUP(A172,Sheet2!C:D,2,0)</f>
        <v>2675</v>
      </c>
      <c r="G172" s="2" t="str">
        <f ca="1">VLOOKUP(A172,Sheet2!C:E,3,0)</f>
        <v>EG04-EG05-EG06-EG10</v>
      </c>
      <c r="H172" s="2" t="str">
        <f ca="1">VLOOKUP(A172,Sheet2!A:F,6,0)</f>
        <v>ddoniamansour@gmail.com</v>
      </c>
      <c r="I172" s="2">
        <f ca="1">VLOOKUP(A172,Sheet2!C:G,5,0)</f>
        <v>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3" t="s">
        <v>194</v>
      </c>
      <c r="B173" s="1">
        <v>626141382068</v>
      </c>
      <c r="C173" s="1" t="s">
        <v>85</v>
      </c>
      <c r="D173" s="1" t="s">
        <v>170</v>
      </c>
      <c r="E173" s="1" t="s">
        <v>12</v>
      </c>
      <c r="F173" s="2">
        <f ca="1">VLOOKUP(A173,Sheet2!C:D,2,0)</f>
        <v>2713</v>
      </c>
      <c r="G173" s="2" t="str">
        <f ca="1">VLOOKUP(A173,Sheet2!C:E,3,0)</f>
        <v>EG01-EG02-EG03-EG04-EG05-EG06</v>
      </c>
      <c r="H173" s="2" t="str">
        <f ca="1">VLOOKUP(A173,Sheet2!A:F,6,0)</f>
        <v>emanmashaly999@gmail.com</v>
      </c>
      <c r="I173" s="2" t="str">
        <f ca="1">VLOOKUP(A173,Sheet2!C:G,5,0)</f>
        <v>01099178001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3" t="s">
        <v>195</v>
      </c>
      <c r="B174" s="1">
        <v>696195941685</v>
      </c>
      <c r="C174" s="1" t="s">
        <v>85</v>
      </c>
      <c r="D174" s="1" t="s">
        <v>170</v>
      </c>
      <c r="E174" s="1" t="s">
        <v>14</v>
      </c>
      <c r="F174" s="2">
        <f ca="1">VLOOKUP(A174,Sheet2!C:D,2,0)</f>
        <v>2712</v>
      </c>
      <c r="G174" s="2" t="str">
        <f ca="1">VLOOKUP(A174,Sheet2!C:E,3,0)</f>
        <v>EG04-EG05-EG06</v>
      </c>
      <c r="H174" s="2" t="str">
        <f ca="1">VLOOKUP(A174,Sheet2!A:F,6,0)</f>
        <v>magdolinesamir@gmail.com</v>
      </c>
      <c r="I174" s="2" t="str">
        <f ca="1">VLOOKUP(A174,Sheet2!C:G,5,0)</f>
        <v>01203034643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3" t="s">
        <v>196</v>
      </c>
      <c r="B175" s="1">
        <v>879189748530</v>
      </c>
      <c r="C175" s="1" t="s">
        <v>85</v>
      </c>
      <c r="D175" s="1" t="s">
        <v>170</v>
      </c>
      <c r="E175" s="1" t="s">
        <v>14</v>
      </c>
      <c r="F175" s="2">
        <f ca="1">VLOOKUP(A175,Sheet2!C:D,2,0)</f>
        <v>2657</v>
      </c>
      <c r="G175" s="2" t="str">
        <f ca="1">VLOOKUP(A175,Sheet2!C:E,3,0)</f>
        <v>EG04-EG05-EG06</v>
      </c>
      <c r="H175" s="2" t="str">
        <f ca="1">VLOOKUP(A175,Sheet2!A:F,6,0)</f>
        <v>ndyaldrgham@gmail.com</v>
      </c>
      <c r="I175" s="2">
        <f ca="1">VLOOKUP(A175,Sheet2!C:G,5,0)</f>
        <v>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3" t="s">
        <v>197</v>
      </c>
      <c r="B176" s="1">
        <v>308156832319</v>
      </c>
      <c r="C176" s="1" t="s">
        <v>85</v>
      </c>
      <c r="D176" s="1" t="s">
        <v>170</v>
      </c>
      <c r="E176" s="1" t="s">
        <v>12</v>
      </c>
      <c r="F176" s="2">
        <f ca="1">VLOOKUP(A176,Sheet2!C:D,2,0)</f>
        <v>2792</v>
      </c>
      <c r="G176" s="2" t="str">
        <f ca="1">VLOOKUP(A176,Sheet2!C:E,3,0)</f>
        <v>EG04-EG05-EG06</v>
      </c>
      <c r="H176" s="2" t="str">
        <f ca="1">VLOOKUP(A176,Sheet2!A:F,6,0)</f>
        <v>inas.ibrahim.habib@gmail.com</v>
      </c>
      <c r="I176" s="2">
        <f ca="1">VLOOKUP(A176,Sheet2!C:G,5,0)</f>
        <v>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3" t="s">
        <v>198</v>
      </c>
      <c r="B177" s="1">
        <v>423171082406</v>
      </c>
      <c r="C177" s="1" t="s">
        <v>85</v>
      </c>
      <c r="D177" s="1" t="s">
        <v>170</v>
      </c>
      <c r="E177" s="1" t="s">
        <v>14</v>
      </c>
      <c r="F177" s="2">
        <f ca="1">VLOOKUP(A177,Sheet2!C:D,2,0)</f>
        <v>2659</v>
      </c>
      <c r="G177" s="2" t="str">
        <f ca="1">VLOOKUP(A177,Sheet2!C:E,3,0)</f>
        <v>EG01-EG02-EG03-EG04-EG05-EG06</v>
      </c>
      <c r="H177" s="2" t="str">
        <f ca="1">VLOOKUP(A177,Sheet2!A:F,6,0)</f>
        <v>mariamdarbain06@gmail.com</v>
      </c>
      <c r="I177" s="2" t="str">
        <f ca="1">VLOOKUP(A177,Sheet2!C:G,5,0)</f>
        <v>01095138842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3" t="s">
        <v>199</v>
      </c>
      <c r="B178" s="1">
        <v>695187907140</v>
      </c>
      <c r="C178" s="1" t="s">
        <v>85</v>
      </c>
      <c r="D178" s="1" t="s">
        <v>170</v>
      </c>
      <c r="E178" s="1" t="s">
        <v>12</v>
      </c>
      <c r="F178" s="2">
        <f ca="1">VLOOKUP(A178,Sheet2!C:D,2,0)</f>
        <v>2795</v>
      </c>
      <c r="G178" s="2" t="str">
        <f ca="1">VLOOKUP(A178,Sheet2!C:E,3,0)</f>
        <v>EG04-EG05-EG06</v>
      </c>
      <c r="H178" s="2" t="str">
        <f ca="1">VLOOKUP(A178,Sheet2!A:F,6,0)</f>
        <v>msayabayoumy@gmail.com</v>
      </c>
      <c r="I178" s="2" t="str">
        <f ca="1">VLOOKUP(A178,Sheet2!C:G,5,0)</f>
        <v>01143323764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3" t="s">
        <v>200</v>
      </c>
      <c r="B179" s="1">
        <v>207145893968</v>
      </c>
      <c r="C179" s="1" t="s">
        <v>85</v>
      </c>
      <c r="D179" s="3" t="s">
        <v>201</v>
      </c>
      <c r="E179" s="1" t="s">
        <v>14</v>
      </c>
      <c r="F179" s="4" t="str">
        <f ca="1">VLOOKUP(A179,Sheet2!C:D,2,0)</f>
        <v>1826</v>
      </c>
      <c r="G179" s="2" t="str">
        <f ca="1">VLOOKUP(A179,Sheet2!C:E,3,0)</f>
        <v>EG04-EG05-EG06</v>
      </c>
      <c r="H179" s="2" t="str">
        <f ca="1">VLOOKUP(A179,Sheet2!A:F,6,0)</f>
        <v>mhala5855@gmail.com</v>
      </c>
      <c r="I179" s="2">
        <f ca="1">VLOOKUP(A179,Sheet2!C:G,5,0)</f>
        <v>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3" t="s">
        <v>202</v>
      </c>
      <c r="B180" s="1">
        <v>956106960751</v>
      </c>
      <c r="C180" s="1" t="s">
        <v>85</v>
      </c>
      <c r="D180" s="3" t="s">
        <v>201</v>
      </c>
      <c r="E180" s="1" t="s">
        <v>14</v>
      </c>
      <c r="F180" s="4" t="str">
        <f ca="1">VLOOKUP(A180,Sheet2!C:D,2,0)</f>
        <v>1885</v>
      </c>
      <c r="G180" s="2" t="str">
        <f ca="1">VLOOKUP(A180,Sheet2!C:E,3,0)</f>
        <v>EG04-EG05-EG06</v>
      </c>
      <c r="H180" s="2" t="str">
        <f ca="1">VLOOKUP(A180,Sheet2!A:F,6,0)</f>
        <v>dodoelzohry22@gmail.com</v>
      </c>
      <c r="I180" s="2" t="str">
        <f ca="1">VLOOKUP(A180,Sheet2!C:G,5,0)</f>
        <v>01090569530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3" t="s">
        <v>203</v>
      </c>
      <c r="B181" s="1">
        <v>479193436034</v>
      </c>
      <c r="C181" s="1" t="s">
        <v>85</v>
      </c>
      <c r="D181" s="3" t="s">
        <v>201</v>
      </c>
      <c r="E181" s="1" t="s">
        <v>14</v>
      </c>
      <c r="F181" s="4" t="str">
        <f ca="1">VLOOKUP(A181,Sheet2!C:D,2,0)</f>
        <v>1920</v>
      </c>
      <c r="G181" s="2">
        <f ca="1">VLOOKUP(A181,Sheet2!C:E,3,0)</f>
        <v>0</v>
      </c>
      <c r="H181" s="2" t="str">
        <f ca="1">VLOOKUP(A181,Sheet2!A:F,6,0)</f>
        <v>heba.mh29@gmail.com</v>
      </c>
      <c r="I181" s="2">
        <f ca="1">VLOOKUP(A181,Sheet2!C:G,5,0)</f>
        <v>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3" t="s">
        <v>204</v>
      </c>
      <c r="B182" s="1">
        <v>760171643192</v>
      </c>
      <c r="C182" s="1" t="s">
        <v>85</v>
      </c>
      <c r="D182" s="3" t="s">
        <v>201</v>
      </c>
      <c r="E182" s="1" t="s">
        <v>14</v>
      </c>
      <c r="F182" s="4" t="str">
        <f ca="1">VLOOKUP(A182,Sheet2!C:D,2,0)</f>
        <v>1986</v>
      </c>
      <c r="G182" s="2">
        <f ca="1">VLOOKUP(A182,Sheet2!C:E,3,0)</f>
        <v>0</v>
      </c>
      <c r="H182" s="2" t="str">
        <f ca="1">VLOOKUP(A182,Sheet2!A:F,6,0)</f>
        <v>saranaguib005@gmail.com</v>
      </c>
      <c r="I182" s="2">
        <f ca="1">VLOOKUP(A182,Sheet2!C:G,5,0)</f>
        <v>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3" t="s">
        <v>205</v>
      </c>
      <c r="B183" s="1">
        <v>923159143268</v>
      </c>
      <c r="C183" s="1" t="s">
        <v>85</v>
      </c>
      <c r="D183" s="3" t="s">
        <v>201</v>
      </c>
      <c r="E183" s="1" t="s">
        <v>14</v>
      </c>
      <c r="F183" s="4" t="str">
        <f ca="1">VLOOKUP(A183,Sheet2!C:D,2,0)</f>
        <v>1985</v>
      </c>
      <c r="G183" s="2">
        <f ca="1">VLOOKUP(A183,Sheet2!C:E,3,0)</f>
        <v>0</v>
      </c>
      <c r="H183" s="2" t="str">
        <f ca="1">VLOOKUP(A183,Sheet2!A:F,6,0)</f>
        <v>ms.zeinabelsagheer.paoh@gmail.com</v>
      </c>
      <c r="I183" s="2">
        <f ca="1">VLOOKUP(A183,Sheet2!C:G,5,0)</f>
        <v>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3" t="s">
        <v>206</v>
      </c>
      <c r="B184" s="1">
        <v>956176242726</v>
      </c>
      <c r="C184" s="1" t="s">
        <v>85</v>
      </c>
      <c r="D184" s="3" t="s">
        <v>201</v>
      </c>
      <c r="E184" s="1" t="s">
        <v>14</v>
      </c>
      <c r="F184" s="4" t="str">
        <f ca="1">VLOOKUP(A184,Sheet2!C:D,2,0)</f>
        <v>2070</v>
      </c>
      <c r="G184" s="2" t="str">
        <f ca="1">VLOOKUP(A184,Sheet2!C:E,3,0)</f>
        <v>EG04-EG05-EG06-EG07-EG08-EG09</v>
      </c>
      <c r="H184" s="2" t="str">
        <f ca="1">VLOOKUP(A184,Sheet2!A:F,6,0)</f>
        <v>reemhassannassar209@gmail.com</v>
      </c>
      <c r="I184" s="2" t="str">
        <f ca="1">VLOOKUP(A184,Sheet2!C:G,5,0)</f>
        <v>01118953299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3" t="s">
        <v>207</v>
      </c>
      <c r="B185" s="1">
        <v>757153589828</v>
      </c>
      <c r="C185" s="1" t="s">
        <v>85</v>
      </c>
      <c r="D185" s="3" t="s">
        <v>201</v>
      </c>
      <c r="E185" s="1" t="s">
        <v>14</v>
      </c>
      <c r="F185" s="4" t="str">
        <f ca="1">VLOOKUP(A185,Sheet2!C:D,2,0)</f>
        <v>2066</v>
      </c>
      <c r="G185" s="2" t="str">
        <f ca="1">VLOOKUP(A185,Sheet2!C:E,3,0)</f>
        <v>EG04-EG05-EG06</v>
      </c>
      <c r="H185" s="2" t="str">
        <f ca="1">VLOOKUP(A185,Sheet2!A:F,6,0)</f>
        <v>christinemourad6@gmail.com</v>
      </c>
      <c r="I185" s="2" t="str">
        <f ca="1">VLOOKUP(A185,Sheet2!C:G,5,0)</f>
        <v>01202636991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3" t="s">
        <v>208</v>
      </c>
      <c r="B186" s="1">
        <v>568127010526</v>
      </c>
      <c r="C186" s="1" t="s">
        <v>85</v>
      </c>
      <c r="D186" s="3" t="s">
        <v>201</v>
      </c>
      <c r="E186" s="1" t="s">
        <v>14</v>
      </c>
      <c r="F186" s="4">
        <f ca="1">VLOOKUP(A186,Sheet2!C:D,2,0)</f>
        <v>2184</v>
      </c>
      <c r="G186" s="2" t="str">
        <f ca="1">VLOOKUP(A186,Sheet2!C:E,3,0)</f>
        <v>EG04-EG05-EG06</v>
      </c>
      <c r="H186" s="2" t="str">
        <f ca="1">VLOOKUP(A186,Sheet2!A:F,6,0)</f>
        <v>ma6515149@gmail.com</v>
      </c>
      <c r="I186" s="2" t="str">
        <f ca="1">VLOOKUP(A186,Sheet2!C:G,5,0)</f>
        <v>01208476617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3" t="s">
        <v>209</v>
      </c>
      <c r="B187" s="1">
        <v>265195735907</v>
      </c>
      <c r="C187" s="1" t="s">
        <v>85</v>
      </c>
      <c r="D187" s="3" t="s">
        <v>201</v>
      </c>
      <c r="E187" s="1" t="s">
        <v>14</v>
      </c>
      <c r="F187" s="4" t="str">
        <f ca="1">VLOOKUP(A187,Sheet2!C:D,2,0)</f>
        <v>2207</v>
      </c>
      <c r="G187" s="2" t="str">
        <f ca="1">VLOOKUP(A187,Sheet2!C:E,3,0)</f>
        <v>EG04-EG05</v>
      </c>
      <c r="H187" s="2" t="str">
        <f ca="1">VLOOKUP(A187,Sheet2!A:F,6,0)</f>
        <v>nadaaosama1@gmail.com</v>
      </c>
      <c r="I187" s="2" t="str">
        <f ca="1">VLOOKUP(A187,Sheet2!C:G,5,0)</f>
        <v>01208990138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3" t="s">
        <v>210</v>
      </c>
      <c r="B188" s="1">
        <v>819194140830</v>
      </c>
      <c r="C188" s="1" t="s">
        <v>85</v>
      </c>
      <c r="D188" s="3" t="s">
        <v>201</v>
      </c>
      <c r="E188" s="1" t="s">
        <v>14</v>
      </c>
      <c r="F188" s="4" t="str">
        <f ca="1">VLOOKUP(A188,Sheet2!C:D,2,0)</f>
        <v>2182</v>
      </c>
      <c r="G188" s="2" t="str">
        <f ca="1">VLOOKUP(A188,Sheet2!C:E,3,0)</f>
        <v>EG04-EG05-EG06-EG07-EG08-EG09</v>
      </c>
      <c r="H188" s="2" t="str">
        <f ca="1">VLOOKUP(A188,Sheet2!A:F,6,0)</f>
        <v>doaamarzouk992@gmail.com</v>
      </c>
      <c r="I188" s="2" t="str">
        <f ca="1">VLOOKUP(A188,Sheet2!C:G,5,0)</f>
        <v>01002287489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3" t="s">
        <v>211</v>
      </c>
      <c r="B189" s="1">
        <v>508196965395</v>
      </c>
      <c r="C189" s="1" t="s">
        <v>85</v>
      </c>
      <c r="D189" s="3" t="s">
        <v>201</v>
      </c>
      <c r="E189" s="1" t="s">
        <v>14</v>
      </c>
      <c r="F189" s="4" t="str">
        <f ca="1">VLOOKUP(A189,Sheet2!C:D,2,0)</f>
        <v>2219</v>
      </c>
      <c r="G189" s="2" t="str">
        <f ca="1">VLOOKUP(A189,Sheet2!C:E,3,0)</f>
        <v>EG04-EG05-EG06</v>
      </c>
      <c r="H189" s="2" t="str">
        <f ca="1">VLOOKUP(A189,Sheet2!A:F,6,0)</f>
        <v>shimmaabdalrhman@gmail.com</v>
      </c>
      <c r="I189" s="2">
        <f ca="1">VLOOKUP(A189,Sheet2!C:G,5,0)</f>
        <v>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3" t="s">
        <v>212</v>
      </c>
      <c r="B190" s="1">
        <v>952162913989</v>
      </c>
      <c r="C190" s="1" t="s">
        <v>85</v>
      </c>
      <c r="D190" s="3" t="s">
        <v>201</v>
      </c>
      <c r="E190" s="1" t="s">
        <v>14</v>
      </c>
      <c r="F190" s="4">
        <f ca="1">VLOOKUP(A190,Sheet2!C:D,2,0)</f>
        <v>2223</v>
      </c>
      <c r="G190" s="2" t="str">
        <f ca="1">VLOOKUP(A190,Sheet2!C:E,3,0)</f>
        <v>EG04-EG05-EG06-EG07-EG08</v>
      </c>
      <c r="H190" s="2" t="str">
        <f ca="1">VLOOKUP(A190,Sheet2!A:F,6,0)</f>
        <v>asmmasalim22@gmail.com</v>
      </c>
      <c r="I190" s="2" t="str">
        <f ca="1">VLOOKUP(A190,Sheet2!C:G,5,0)</f>
        <v>01033304652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3" t="s">
        <v>213</v>
      </c>
      <c r="B191" s="1">
        <v>754121315321</v>
      </c>
      <c r="C191" s="1" t="s">
        <v>85</v>
      </c>
      <c r="D191" s="3" t="s">
        <v>201</v>
      </c>
      <c r="E191" s="1" t="s">
        <v>14</v>
      </c>
      <c r="F191" s="4">
        <f ca="1">VLOOKUP(A191,Sheet2!C:D,2,0)</f>
        <v>2222</v>
      </c>
      <c r="G191" s="2" t="str">
        <f ca="1">VLOOKUP(A191,Sheet2!C:E,3,0)</f>
        <v>EG04-EG05-EG06</v>
      </c>
      <c r="H191" s="2" t="str">
        <f ca="1">VLOOKUP(A191,Sheet2!A:F,6,0)</f>
        <v>reham_2013@yahoo.com</v>
      </c>
      <c r="I191" s="2" t="str">
        <f ca="1">VLOOKUP(A191,Sheet2!C:G,5,0)</f>
        <v>01152340498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3" t="s">
        <v>214</v>
      </c>
      <c r="B192" s="1">
        <v>126140183639</v>
      </c>
      <c r="C192" s="1" t="s">
        <v>85</v>
      </c>
      <c r="D192" s="3" t="s">
        <v>201</v>
      </c>
      <c r="E192" s="1" t="s">
        <v>14</v>
      </c>
      <c r="F192" s="4" t="str">
        <f ca="1">VLOOKUP(A192,Sheet2!C:D,2,0)</f>
        <v>2221</v>
      </c>
      <c r="G192" s="2" t="str">
        <f ca="1">VLOOKUP(A192,Sheet2!C:E,3,0)</f>
        <v>EG04-EG05-EG06-EG07-EG08</v>
      </c>
      <c r="H192" s="2" t="str">
        <f ca="1">VLOOKUP(A192,Sheet2!A:F,6,0)</f>
        <v>mis.rana811@gmail.com</v>
      </c>
      <c r="I192" s="2" t="str">
        <f ca="1">VLOOKUP(A192,Sheet2!C:G,5,0)</f>
        <v>01211401694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3" t="s">
        <v>215</v>
      </c>
      <c r="B193" s="1">
        <v>654103435717</v>
      </c>
      <c r="C193" s="1" t="s">
        <v>85</v>
      </c>
      <c r="D193" s="3" t="s">
        <v>201</v>
      </c>
      <c r="E193" s="1" t="s">
        <v>14</v>
      </c>
      <c r="F193" s="4" t="str">
        <f ca="1">VLOOKUP(A193,Sheet2!C:D,2,0)</f>
        <v>2247</v>
      </c>
      <c r="G193" s="2" t="str">
        <f ca="1">VLOOKUP(A193,Sheet2!C:E,3,0)</f>
        <v>EG04-EG05-EG06-EG07-EG08</v>
      </c>
      <c r="H193" s="2" t="str">
        <f ca="1">VLOOKUP(A193,Sheet2!A:F,6,0)</f>
        <v>bushra0atif@gmail.com</v>
      </c>
      <c r="I193" s="2" t="str">
        <f ca="1">VLOOKUP(A193,Sheet2!C:G,5,0)</f>
        <v>01125625432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3" t="s">
        <v>216</v>
      </c>
      <c r="B194" s="1">
        <v>493126089393</v>
      </c>
      <c r="C194" s="1" t="s">
        <v>85</v>
      </c>
      <c r="D194" s="3" t="s">
        <v>201</v>
      </c>
      <c r="E194" s="1" t="s">
        <v>14</v>
      </c>
      <c r="F194" s="4" t="str">
        <f ca="1">VLOOKUP(A194,Sheet2!C:D,2,0)</f>
        <v>2230</v>
      </c>
      <c r="G194" s="2">
        <f ca="1">VLOOKUP(A194,Sheet2!C:E,3,0)</f>
        <v>0</v>
      </c>
      <c r="H194" s="2" t="str">
        <f ca="1">VLOOKUP(A194,Sheet2!A:F,6,0)</f>
        <v>ei8933954@gmail.com</v>
      </c>
      <c r="I194" s="2" t="str">
        <f ca="1">VLOOKUP(A194,Sheet2!C:G,5,0)</f>
        <v>01202150818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3" t="s">
        <v>217</v>
      </c>
      <c r="B195" s="1">
        <v>319181950412</v>
      </c>
      <c r="C195" s="1" t="s">
        <v>85</v>
      </c>
      <c r="D195" s="3" t="s">
        <v>201</v>
      </c>
      <c r="E195" s="1" t="s">
        <v>14</v>
      </c>
      <c r="F195" s="2">
        <f ca="1">VLOOKUP(A195,Sheet2!C:D,2,0)</f>
        <v>2327</v>
      </c>
      <c r="G195" s="2" t="str">
        <f ca="1">VLOOKUP(A195,Sheet2!C:E,3,0)</f>
        <v>EG04-EG05</v>
      </c>
      <c r="H195" s="2" t="str">
        <f ca="1">VLOOKUP(A195,Sheet2!A:F,6,0)</f>
        <v>hebaalisaber223@gmail.com</v>
      </c>
      <c r="I195" s="2">
        <f ca="1">VLOOKUP(A195,Sheet2!C:G,5,0)</f>
        <v>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3" t="s">
        <v>218</v>
      </c>
      <c r="B196" s="1">
        <v>780128402632</v>
      </c>
      <c r="C196" s="1" t="s">
        <v>85</v>
      </c>
      <c r="D196" s="3" t="s">
        <v>201</v>
      </c>
      <c r="E196" s="1" t="s">
        <v>14</v>
      </c>
      <c r="F196" s="2">
        <f ca="1">VLOOKUP(A196,Sheet2!C:D,2,0)</f>
        <v>2328</v>
      </c>
      <c r="G196" s="2" t="str">
        <f ca="1">VLOOKUP(A196,Sheet2!C:E,3,0)</f>
        <v>EG04-EG05-EG06</v>
      </c>
      <c r="H196" s="2" t="str">
        <f ca="1">VLOOKUP(A196,Sheet2!A:F,6,0)</f>
        <v>fatma.rashad86@gmail.com</v>
      </c>
      <c r="I196" s="2" t="str">
        <f ca="1">VLOOKUP(A196,Sheet2!C:G,5,0)</f>
        <v>01128890011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3" t="s">
        <v>219</v>
      </c>
      <c r="B197" s="1">
        <v>808191676235</v>
      </c>
      <c r="C197" s="1" t="s">
        <v>85</v>
      </c>
      <c r="D197" s="3" t="s">
        <v>201</v>
      </c>
      <c r="E197" s="1" t="s">
        <v>14</v>
      </c>
      <c r="F197" s="2">
        <f ca="1">VLOOKUP(A197,Sheet2!C:D,2,0)</f>
        <v>2265</v>
      </c>
      <c r="G197" s="2" t="str">
        <f ca="1">VLOOKUP(A197,Sheet2!C:E,3,0)</f>
        <v>EG04-EG05-EG06-EG07-EG08</v>
      </c>
      <c r="H197" s="2" t="str">
        <f ca="1">VLOOKUP(A197,Sheet2!A:F,6,0)</f>
        <v>randa.fouad.1811@gmail.com</v>
      </c>
      <c r="I197" s="2">
        <f ca="1">VLOOKUP(A197,Sheet2!C:G,5,0)</f>
        <v>1200437990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3" t="s">
        <v>220</v>
      </c>
      <c r="B198" s="1">
        <v>319163985753</v>
      </c>
      <c r="C198" s="1" t="s">
        <v>85</v>
      </c>
      <c r="D198" s="3" t="s">
        <v>201</v>
      </c>
      <c r="E198" s="1" t="s">
        <v>14</v>
      </c>
      <c r="F198" s="2">
        <f ca="1">VLOOKUP(A198,Sheet2!C:D,2,0)</f>
        <v>2324</v>
      </c>
      <c r="G198" s="2" t="str">
        <f ca="1">VLOOKUP(A198,Sheet2!C:E,3,0)</f>
        <v>EG04-EG05-EG06</v>
      </c>
      <c r="H198" s="2" t="str">
        <f ca="1">VLOOKUP(A198,Sheet2!A:F,6,0)</f>
        <v>raniaemad91111@gmail.com</v>
      </c>
      <c r="I198" s="2">
        <f ca="1">VLOOKUP(A198,Sheet2!C:G,5,0)</f>
        <v>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3" t="s">
        <v>221</v>
      </c>
      <c r="B199" s="1">
        <v>156163195097</v>
      </c>
      <c r="C199" s="1" t="s">
        <v>85</v>
      </c>
      <c r="D199" s="3" t="s">
        <v>201</v>
      </c>
      <c r="E199" s="1" t="s">
        <v>14</v>
      </c>
      <c r="F199" s="2">
        <f ca="1">VLOOKUP(A199,Sheet2!C:D,2,0)</f>
        <v>2456</v>
      </c>
      <c r="G199" s="2" t="str">
        <f ca="1">VLOOKUP(A199,Sheet2!C:E,3,0)</f>
        <v>EG04-EG05-EG06</v>
      </c>
      <c r="H199" s="2" t="str">
        <f ca="1">VLOOKUP(A199,Sheet2!A:F,6,0)</f>
        <v>enas.ali91@gmail.com</v>
      </c>
      <c r="I199" s="2" t="str">
        <f ca="1">VLOOKUP(A199,Sheet2!C:G,5,0)</f>
        <v>01014651990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3" t="s">
        <v>222</v>
      </c>
      <c r="B200" s="1">
        <v>937180898615</v>
      </c>
      <c r="C200" s="1" t="s">
        <v>85</v>
      </c>
      <c r="D200" s="3" t="s">
        <v>201</v>
      </c>
      <c r="E200" s="1" t="s">
        <v>14</v>
      </c>
      <c r="F200" s="2">
        <f ca="1">VLOOKUP(A200,Sheet2!C:D,2,0)</f>
        <v>2356</v>
      </c>
      <c r="G200" s="2" t="str">
        <f ca="1">VLOOKUP(A200,Sheet2!C:E,3,0)</f>
        <v>EG07-EG08-EG09</v>
      </c>
      <c r="H200" s="2" t="str">
        <f ca="1">VLOOKUP(A200,Sheet2!A:F,6,0)</f>
        <v>ahmedsalah991986@gmail.com</v>
      </c>
      <c r="I200" s="2" t="str">
        <f ca="1">VLOOKUP(A200,Sheet2!C:G,5,0)</f>
        <v>01224705674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3" t="s">
        <v>223</v>
      </c>
      <c r="B201" s="1">
        <v>319175494359</v>
      </c>
      <c r="C201" s="1" t="s">
        <v>85</v>
      </c>
      <c r="D201" s="3" t="s">
        <v>201</v>
      </c>
      <c r="E201" s="1" t="s">
        <v>12</v>
      </c>
      <c r="F201" s="2">
        <f ca="1">VLOOKUP(A201,Sheet2!C:D,2,0)</f>
        <v>2476</v>
      </c>
      <c r="G201" s="2" t="str">
        <f ca="1">VLOOKUP(A201,Sheet2!C:E,3,0)</f>
        <v>EG04-EG05</v>
      </c>
      <c r="H201" s="2" t="str">
        <f ca="1">VLOOKUP(A201,Sheet2!A:F,6,0)</f>
        <v>mennaashraf863@gmail.com</v>
      </c>
      <c r="I201" s="2" t="str">
        <f ca="1">VLOOKUP(A201,Sheet2!C:G,5,0)</f>
        <v>01222505132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3" t="s">
        <v>224</v>
      </c>
      <c r="B202" s="1">
        <v>348197264895</v>
      </c>
      <c r="C202" s="1" t="s">
        <v>85</v>
      </c>
      <c r="D202" s="3" t="s">
        <v>201</v>
      </c>
      <c r="E202" s="1" t="s">
        <v>14</v>
      </c>
      <c r="F202" s="2">
        <f ca="1">VLOOKUP(A202,Sheet2!C:D,2,0)</f>
        <v>2434</v>
      </c>
      <c r="G202" s="2" t="str">
        <f ca="1">VLOOKUP(A202,Sheet2!C:E,3,0)</f>
        <v>EG4-EG05-EG06</v>
      </c>
      <c r="H202" s="2" t="str">
        <f ca="1">VLOOKUP(A202,Sheet2!A:F,6,0)</f>
        <v>mustaphahistory@gmail.com</v>
      </c>
      <c r="I202" s="2">
        <f ca="1">VLOOKUP(A202,Sheet2!C:G,5,0)</f>
        <v>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3" t="s">
        <v>225</v>
      </c>
      <c r="B203" s="1">
        <v>389178162973</v>
      </c>
      <c r="C203" s="1" t="s">
        <v>85</v>
      </c>
      <c r="D203" s="3" t="s">
        <v>201</v>
      </c>
      <c r="E203" s="1" t="s">
        <v>14</v>
      </c>
      <c r="F203" s="2">
        <f ca="1">VLOOKUP(A203,Sheet2!C:D,2,0)</f>
        <v>2528</v>
      </c>
      <c r="G203" s="2" t="str">
        <f ca="1">VLOOKUP(A203,Sheet2!C:E,3,0)</f>
        <v>EG04-EG05</v>
      </c>
      <c r="H203" s="2" t="str">
        <f ca="1">VLOOKUP(A203,Sheet2!A:F,6,0)</f>
        <v>cute.pospos@gmail.com</v>
      </c>
      <c r="I203" s="2" t="str">
        <f ca="1">VLOOKUP(A203,Sheet2!C:G,5,0)</f>
        <v>01142388120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3" t="s">
        <v>226</v>
      </c>
      <c r="B204" s="1">
        <v>526148262980</v>
      </c>
      <c r="C204" s="1" t="s">
        <v>85</v>
      </c>
      <c r="D204" s="3" t="s">
        <v>201</v>
      </c>
      <c r="E204" s="1" t="s">
        <v>12</v>
      </c>
      <c r="F204" s="2">
        <f ca="1">VLOOKUP(A204,Sheet2!C:D,2,0)</f>
        <v>2526</v>
      </c>
      <c r="G204" s="2" t="str">
        <f ca="1">VLOOKUP(A204,Sheet2!C:E,3,0)</f>
        <v>EG04-EG05-EG06</v>
      </c>
      <c r="H204" s="2" t="str">
        <f ca="1">VLOOKUP(A204,Sheet2!A:F,6,0)</f>
        <v>basmasaeed2714@gmail.com</v>
      </c>
      <c r="I204" s="2">
        <f ca="1">VLOOKUP(A204,Sheet2!C:G,5,0)</f>
        <v>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3" t="s">
        <v>227</v>
      </c>
      <c r="B205" s="1">
        <v>989127575602</v>
      </c>
      <c r="C205" s="1" t="s">
        <v>85</v>
      </c>
      <c r="D205" s="3" t="s">
        <v>201</v>
      </c>
      <c r="E205" s="1" t="s">
        <v>14</v>
      </c>
      <c r="F205" s="2">
        <f ca="1">VLOOKUP(A205,Sheet2!C:D,2,0)</f>
        <v>2560</v>
      </c>
      <c r="G205" s="2" t="str">
        <f ca="1">VLOOKUP(A205,Sheet2!C:E,3,0)</f>
        <v>EG04-EG05</v>
      </c>
      <c r="H205" s="2" t="str">
        <f ca="1">VLOOKUP(A205,Sheet2!A:F,6,0)</f>
        <v>sarageo405060@gmail.com</v>
      </c>
      <c r="I205" s="2" t="str">
        <f ca="1">VLOOKUP(A205,Sheet2!C:G,5,0)</f>
        <v>01125500358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3" t="s">
        <v>228</v>
      </c>
      <c r="B206" s="1">
        <v>389173496489</v>
      </c>
      <c r="C206" s="1" t="s">
        <v>85</v>
      </c>
      <c r="D206" s="3" t="s">
        <v>201</v>
      </c>
      <c r="E206" s="1" t="s">
        <v>14</v>
      </c>
      <c r="F206" s="2">
        <f ca="1">VLOOKUP(A206,Sheet2!C:D,2,0)</f>
        <v>2565</v>
      </c>
      <c r="G206" s="2" t="str">
        <f ca="1">VLOOKUP(A206,Sheet2!C:E,3,0)</f>
        <v>EG04-EG05-EG06</v>
      </c>
      <c r="H206" s="2" t="str">
        <f ca="1">VLOOKUP(A206,Sheet2!A:F,6,0)</f>
        <v>bassemalmasry80@gmail.com</v>
      </c>
      <c r="I206" s="2">
        <f ca="1">VLOOKUP(A206,Sheet2!C:G,5,0)</f>
        <v>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3" t="s">
        <v>229</v>
      </c>
      <c r="B207" s="1">
        <v>434182527396</v>
      </c>
      <c r="C207" s="1" t="s">
        <v>85</v>
      </c>
      <c r="D207" s="3" t="s">
        <v>201</v>
      </c>
      <c r="E207" s="1" t="s">
        <v>12</v>
      </c>
      <c r="F207" s="2">
        <f ca="1">VLOOKUP(A207,Sheet2!C:D,2,0)</f>
        <v>2750</v>
      </c>
      <c r="G207" s="2" t="str">
        <f ca="1">VLOOKUP(A207,Sheet2!C:E,3,0)</f>
        <v>EG03-EG04-EG05-EG06</v>
      </c>
      <c r="H207" s="2" t="str">
        <f ca="1">VLOOKUP(A207,Sheet2!A:F,6,0)</f>
        <v>mrw263050@gmail.com</v>
      </c>
      <c r="I207" s="2" t="str">
        <f ca="1">VLOOKUP(A207,Sheet2!C:G,5,0)</f>
        <v>01032048605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3" t="s">
        <v>230</v>
      </c>
      <c r="B208" s="1">
        <v>876157843203</v>
      </c>
      <c r="C208" s="1" t="s">
        <v>85</v>
      </c>
      <c r="D208" s="3" t="s">
        <v>201</v>
      </c>
      <c r="E208" s="1" t="s">
        <v>12</v>
      </c>
      <c r="F208" s="2">
        <f ca="1">VLOOKUP(A208,Sheet2!C:D,2,0)</f>
        <v>2805</v>
      </c>
      <c r="G208" s="2" t="str">
        <f ca="1">VLOOKUP(A208,Sheet2!C:E,3,0)</f>
        <v>EG03-EG04-EG05-EG06</v>
      </c>
      <c r="H208" s="2" t="str">
        <f ca="1">VLOOKUP(A208,Sheet2!A:F,6,0)</f>
        <v>aalaamahamed7@gmail.com</v>
      </c>
      <c r="I208" s="2" t="str">
        <f ca="1">VLOOKUP(A208,Sheet2!C:G,5,0)</f>
        <v>01065974950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3" t="s">
        <v>231</v>
      </c>
      <c r="B209" s="1">
        <v>502168410424</v>
      </c>
      <c r="C209" s="1" t="s">
        <v>85</v>
      </c>
      <c r="D209" s="3" t="s">
        <v>63</v>
      </c>
      <c r="E209" s="1" t="s">
        <v>14</v>
      </c>
      <c r="F209" s="4" t="str">
        <f ca="1">VLOOKUP(A209,Sheet2!C:D,2,0)</f>
        <v>1844</v>
      </c>
      <c r="G209" s="2">
        <f ca="1">VLOOKUP(A209,Sheet2!C:E,3,0)</f>
        <v>0</v>
      </c>
      <c r="H209" s="2" t="str">
        <f ca="1">VLOOKUP(A209,Sheet2!A:F,6,0)</f>
        <v>zeinabslime1987@gmail.com</v>
      </c>
      <c r="I209" s="2" t="str">
        <f ca="1">VLOOKUP(A209,Sheet2!C:G,5,0)</f>
        <v>01157488697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3" t="s">
        <v>232</v>
      </c>
      <c r="B210" s="1">
        <v>239129619815</v>
      </c>
      <c r="C210" s="1" t="s">
        <v>85</v>
      </c>
      <c r="D210" s="3" t="s">
        <v>63</v>
      </c>
      <c r="E210" s="1" t="s">
        <v>14</v>
      </c>
      <c r="F210" s="4" t="str">
        <f ca="1">VLOOKUP(A210,Sheet2!C:D,2,0)</f>
        <v>1900</v>
      </c>
      <c r="G210" s="2">
        <f ca="1">VLOOKUP(A210,Sheet2!C:E,3,0)</f>
        <v>0</v>
      </c>
      <c r="H210" s="2" t="str">
        <f ca="1">VLOOKUP(A210,Sheet2!A:F,6,0)</f>
        <v>mariamabdelkader292@gmail.com</v>
      </c>
      <c r="I210" s="2">
        <f ca="1">VLOOKUP(A210,Sheet2!C:G,5,0)</f>
        <v>201115757521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3" t="s">
        <v>233</v>
      </c>
      <c r="B211" s="1">
        <v>472189645925</v>
      </c>
      <c r="C211" s="1" t="s">
        <v>85</v>
      </c>
      <c r="D211" s="3" t="s">
        <v>63</v>
      </c>
      <c r="E211" s="1" t="s">
        <v>14</v>
      </c>
      <c r="F211" s="4" t="str">
        <f ca="1">VLOOKUP(A211,Sheet2!C:D,2,0)</f>
        <v>1956</v>
      </c>
      <c r="G211" s="2">
        <f ca="1">VLOOKUP(A211,Sheet2!C:E,3,0)</f>
        <v>0</v>
      </c>
      <c r="H211" s="2" t="str">
        <f ca="1">VLOOKUP(A211,Sheet2!A:F,6,0)</f>
        <v>walaasaad17@gmail.com</v>
      </c>
      <c r="I211" s="2" t="str">
        <f ca="1">VLOOKUP(A211,Sheet2!C:G,5,0)</f>
        <v>01120350201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3" t="s">
        <v>234</v>
      </c>
      <c r="B212" s="1">
        <v>197173080732</v>
      </c>
      <c r="C212" s="1" t="s">
        <v>85</v>
      </c>
      <c r="D212" s="3" t="s">
        <v>63</v>
      </c>
      <c r="E212" s="1" t="s">
        <v>14</v>
      </c>
      <c r="F212" s="4" t="str">
        <f ca="1">VLOOKUP(A212,Sheet2!C:D,2,0)</f>
        <v>1960</v>
      </c>
      <c r="G212" s="2">
        <f ca="1">VLOOKUP(A212,Sheet2!C:E,3,0)</f>
        <v>0</v>
      </c>
      <c r="H212" s="2" t="str">
        <f ca="1">VLOOKUP(A212,Sheet2!A:F,6,0)</f>
        <v>hadeersayeed68@gmail.com</v>
      </c>
      <c r="I212" s="2" t="str">
        <f ca="1">VLOOKUP(A212,Sheet2!C:G,5,0)</f>
        <v>01028000334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3" t="s">
        <v>235</v>
      </c>
      <c r="B213" s="1">
        <v>943124527415</v>
      </c>
      <c r="C213" s="1" t="s">
        <v>85</v>
      </c>
      <c r="D213" s="3" t="s">
        <v>63</v>
      </c>
      <c r="E213" s="1" t="s">
        <v>14</v>
      </c>
      <c r="F213" s="4" t="str">
        <f ca="1">VLOOKUP(A213,Sheet2!C:D,2,0)</f>
        <v>1997</v>
      </c>
      <c r="G213" s="2">
        <f ca="1">VLOOKUP(A213,Sheet2!C:E,3,0)</f>
        <v>0</v>
      </c>
      <c r="H213" s="2" t="str">
        <f ca="1">VLOOKUP(A213,Sheet2!A:F,6,0)</f>
        <v>khookha.geushy@gmail.com</v>
      </c>
      <c r="I213" s="2" t="str">
        <f ca="1">VLOOKUP(A213,Sheet2!C:G,5,0)</f>
        <v>01000285051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3" t="s">
        <v>236</v>
      </c>
      <c r="B214" s="1">
        <v>607182043274</v>
      </c>
      <c r="C214" s="1" t="s">
        <v>85</v>
      </c>
      <c r="D214" s="3" t="s">
        <v>63</v>
      </c>
      <c r="E214" s="1" t="s">
        <v>14</v>
      </c>
      <c r="F214" s="4" t="str">
        <f ca="1">VLOOKUP(A214,Sheet2!C:D,2,0)</f>
        <v>2036</v>
      </c>
      <c r="G214" s="2">
        <f ca="1">VLOOKUP(A214,Sheet2!C:E,3,0)</f>
        <v>0</v>
      </c>
      <c r="H214" s="2" t="str">
        <f ca="1">VLOOKUP(A214,Sheet2!A:F,6,0)</f>
        <v>saramelgendy@gmail.com</v>
      </c>
      <c r="I214" s="2" t="str">
        <f ca="1">VLOOKUP(A214,Sheet2!C:G,5,0)</f>
        <v>01128004018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3" t="s">
        <v>237</v>
      </c>
      <c r="B215" s="1">
        <v>657126746527</v>
      </c>
      <c r="C215" s="1" t="s">
        <v>85</v>
      </c>
      <c r="D215" s="3" t="s">
        <v>63</v>
      </c>
      <c r="E215" s="1" t="s">
        <v>14</v>
      </c>
      <c r="F215" s="4" t="str">
        <f ca="1">VLOOKUP(A215,Sheet2!C:D,2,0)</f>
        <v>2257</v>
      </c>
      <c r="G215" s="2">
        <f ca="1">VLOOKUP(A215,Sheet2!C:E,3,0)</f>
        <v>0</v>
      </c>
      <c r="H215" s="2" t="str">
        <f ca="1">VLOOKUP(A215,Sheet2!A:F,6,0)</f>
        <v>mohamedyahya1921@gmail.com</v>
      </c>
      <c r="I215" s="2" t="str">
        <f ca="1">VLOOKUP(A215,Sheet2!C:G,5,0)</f>
        <v>01013531223 - 01123214248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3" t="s">
        <v>238</v>
      </c>
      <c r="B216" s="1">
        <v>357106149247</v>
      </c>
      <c r="C216" s="1" t="s">
        <v>85</v>
      </c>
      <c r="D216" s="3" t="s">
        <v>63</v>
      </c>
      <c r="E216" s="1" t="s">
        <v>14</v>
      </c>
      <c r="F216" s="4">
        <f ca="1">VLOOKUP(A216,Sheet2!C:D,2,0)</f>
        <v>2224</v>
      </c>
      <c r="G216" s="2">
        <f ca="1">VLOOKUP(A216,Sheet2!C:E,3,0)</f>
        <v>0</v>
      </c>
      <c r="H216" s="2" t="str">
        <f ca="1">VLOOKUP(A216,Sheet2!A:F,6,0)</f>
        <v>‪nahedfathy192@gmail.com</v>
      </c>
      <c r="I216" s="2" t="str">
        <f ca="1">VLOOKUP(A216,Sheet2!C:G,5,0)</f>
        <v>01025801482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3" t="s">
        <v>239</v>
      </c>
      <c r="B217" s="1">
        <v>802121935313</v>
      </c>
      <c r="C217" s="1" t="s">
        <v>85</v>
      </c>
      <c r="D217" s="3" t="s">
        <v>63</v>
      </c>
      <c r="E217" s="1" t="s">
        <v>14</v>
      </c>
      <c r="F217" s="2">
        <f ca="1">VLOOKUP(A217,Sheet2!C:D,2,0)</f>
        <v>2405</v>
      </c>
      <c r="G217" s="2" t="str">
        <f ca="1">VLOOKUP(A217,Sheet2!C:E,3,0)</f>
        <v>EG04-EG05-EG06-EG07-EG08-EG09</v>
      </c>
      <c r="H217" s="2" t="str">
        <f ca="1">VLOOKUP(A217,Sheet2!A:F,6,0)</f>
        <v>missdoaanagy@gmail.com</v>
      </c>
      <c r="I217" s="2" t="str">
        <f ca="1">VLOOKUP(A217,Sheet2!C:G,5,0)</f>
        <v>01066558103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3" t="s">
        <v>240</v>
      </c>
      <c r="B218" s="1">
        <v>873194273252</v>
      </c>
      <c r="C218" s="1" t="s">
        <v>85</v>
      </c>
      <c r="D218" s="3" t="s">
        <v>63</v>
      </c>
      <c r="E218" s="1" t="s">
        <v>12</v>
      </c>
      <c r="F218" s="2">
        <f ca="1">VLOOKUP(A218,Sheet2!C:D,2,0)</f>
        <v>2520</v>
      </c>
      <c r="G218" s="2" t="str">
        <f ca="1">VLOOKUP(A218,Sheet2!C:E,3,0)</f>
        <v>EG03-EG04-EG05-EG06</v>
      </c>
      <c r="H218" s="2" t="str">
        <f ca="1">VLOOKUP(A218,Sheet2!A:F,6,0)</f>
        <v>yarahassan2027@gmail.com</v>
      </c>
      <c r="I218" s="2" t="str">
        <f ca="1">VLOOKUP(A218,Sheet2!C:G,5,0)</f>
        <v>01014975043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3" t="s">
        <v>241</v>
      </c>
      <c r="B219" s="1">
        <v>410125641839</v>
      </c>
      <c r="C219" s="1" t="s">
        <v>85</v>
      </c>
      <c r="D219" s="3" t="s">
        <v>63</v>
      </c>
      <c r="E219" s="1" t="s">
        <v>14</v>
      </c>
      <c r="F219" s="2">
        <f ca="1">VLOOKUP(A219,Sheet2!C:D,2,0)</f>
        <v>2437</v>
      </c>
      <c r="G219" s="2" t="str">
        <f ca="1">VLOOKUP(A219,Sheet2!C:E,3,0)</f>
        <v>EG04-EG05-EG06</v>
      </c>
      <c r="H219" s="2" t="str">
        <f ca="1">VLOOKUP(A219,Sheet2!A:F,6,0)</f>
        <v>abdonet777@yahoo.com</v>
      </c>
      <c r="I219" s="2" t="str">
        <f ca="1">VLOOKUP(A219,Sheet2!C:G,5,0)</f>
        <v>01069344824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3" t="s">
        <v>242</v>
      </c>
      <c r="B220" s="1">
        <v>498189587153</v>
      </c>
      <c r="C220" s="1" t="s">
        <v>85</v>
      </c>
      <c r="D220" s="3" t="s">
        <v>63</v>
      </c>
      <c r="E220" s="1" t="s">
        <v>14</v>
      </c>
      <c r="F220" s="2">
        <f ca="1">VLOOKUP(A220,Sheet2!C:D,2,0)</f>
        <v>2450</v>
      </c>
      <c r="G220" s="2" t="str">
        <f ca="1">VLOOKUP(A220,Sheet2!C:E,3,0)</f>
        <v>EG04-EG05-EG06</v>
      </c>
      <c r="H220" s="2" t="str">
        <f ca="1">VLOOKUP(A220,Sheet2!A:F,6,0)</f>
        <v>samarana2654@gmail.com</v>
      </c>
      <c r="I220" s="2" t="str">
        <f ca="1">VLOOKUP(A220,Sheet2!C:G,5,0)</f>
        <v>01225233745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3" t="s">
        <v>243</v>
      </c>
      <c r="B221" s="1">
        <v>413139051352</v>
      </c>
      <c r="C221" s="1" t="s">
        <v>85</v>
      </c>
      <c r="D221" s="3" t="s">
        <v>63</v>
      </c>
      <c r="E221" s="1" t="s">
        <v>12</v>
      </c>
      <c r="F221" s="2">
        <f ca="1">VLOOKUP(A221,Sheet2!C:D,2,0)</f>
        <v>2506</v>
      </c>
      <c r="G221" s="2" t="str">
        <f ca="1">VLOOKUP(A221,Sheet2!C:E,3,0)</f>
        <v>EG4-EG5-EG6</v>
      </c>
      <c r="H221" s="2" t="str">
        <f ca="1">VLOOKUP(A221,Sheet2!A:F,6,0)</f>
        <v>mahaelhamzay@gmail.com</v>
      </c>
      <c r="I221" s="2">
        <f ca="1">VLOOKUP(A221,Sheet2!C:G,5,0)</f>
        <v>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3" t="s">
        <v>244</v>
      </c>
      <c r="B222" s="1">
        <v>459169091647</v>
      </c>
      <c r="C222" s="1" t="s">
        <v>85</v>
      </c>
      <c r="D222" s="3" t="s">
        <v>63</v>
      </c>
      <c r="E222" s="1" t="s">
        <v>14</v>
      </c>
      <c r="F222" s="2">
        <f ca="1">VLOOKUP(A222,Sheet2!C:D,2,0)</f>
        <v>2663</v>
      </c>
      <c r="G222" s="2" t="str">
        <f ca="1">VLOOKUP(A222,Sheet2!C:E,3,0)</f>
        <v>EG04-EG05-EG06</v>
      </c>
      <c r="H222" s="2" t="str">
        <f ca="1">VLOOKUP(A222,Sheet2!A:F,6,0)</f>
        <v>mb4940749@gmail.com</v>
      </c>
      <c r="I222" s="2" t="str">
        <f ca="1">VLOOKUP(A222,Sheet2!C:G,5,0)</f>
        <v>01005056280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3" t="s">
        <v>245</v>
      </c>
      <c r="B223" s="1">
        <v>289184740127</v>
      </c>
      <c r="C223" s="1" t="s">
        <v>85</v>
      </c>
      <c r="D223" s="3" t="s">
        <v>63</v>
      </c>
      <c r="E223" s="1" t="s">
        <v>14</v>
      </c>
      <c r="F223" s="2">
        <f ca="1">VLOOKUP(A223,Sheet2!C:D,2,0)</f>
        <v>2729</v>
      </c>
      <c r="G223" s="2" t="str">
        <f ca="1">VLOOKUP(A223,Sheet2!C:E,3,0)</f>
        <v>EG03-EG04-EG05-EG06</v>
      </c>
      <c r="H223" s="2" t="str">
        <f ca="1">VLOOKUP(A223,Sheet2!A:F,6,0)</f>
        <v>2025jd04@gmail.com</v>
      </c>
      <c r="I223" s="2" t="str">
        <f ca="1">VLOOKUP(A223,Sheet2!C:G,5,0)</f>
        <v>01288701449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3" t="s">
        <v>246</v>
      </c>
      <c r="B224" s="1">
        <v>952197671641</v>
      </c>
      <c r="C224" s="1" t="s">
        <v>85</v>
      </c>
      <c r="D224" s="3" t="s">
        <v>63</v>
      </c>
      <c r="E224" s="1" t="s">
        <v>14</v>
      </c>
      <c r="F224" s="2">
        <f ca="1">VLOOKUP(A224,Sheet2!C:D,2,0)</f>
        <v>2634</v>
      </c>
      <c r="G224" s="2" t="str">
        <f ca="1">VLOOKUP(A224,Sheet2!C:E,3,0)</f>
        <v>EG04-EG05-EG06</v>
      </c>
      <c r="H224" s="2" t="str">
        <f ca="1">VLOOKUP(A224,Sheet2!A:F,6,0)</f>
        <v>mostafagamalmetwally@gmail.com</v>
      </c>
      <c r="I224" s="2">
        <f ca="1">VLOOKUP(A224,Sheet2!C:G,5,0)</f>
        <v>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3" t="s">
        <v>247</v>
      </c>
      <c r="B225" s="1">
        <v>578138935094</v>
      </c>
      <c r="C225" s="1" t="s">
        <v>85</v>
      </c>
      <c r="D225" s="3" t="s">
        <v>248</v>
      </c>
      <c r="E225" s="1" t="s">
        <v>14</v>
      </c>
      <c r="F225" s="4" t="str">
        <f ca="1">VLOOKUP(A225,Sheet2!C:D,2,0)</f>
        <v>1897</v>
      </c>
      <c r="G225" s="2" t="str">
        <f ca="1">VLOOKUP(A225,Sheet2!C:E,3,0)</f>
        <v>EG01-EG02-EG03-EG04-EG05-EG06</v>
      </c>
      <c r="H225" s="2" t="str">
        <f ca="1">VLOOKUP(A225,Sheet2!A:F,6,0)</f>
        <v>rahmasaeed600@gmail.com</v>
      </c>
      <c r="I225" s="2" t="str">
        <f ca="1">VLOOKUP(A225,Sheet2!C:G,5,0)</f>
        <v>01140946934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3" t="s">
        <v>249</v>
      </c>
      <c r="B226" s="1">
        <v>870105869516</v>
      </c>
      <c r="C226" s="1" t="s">
        <v>85</v>
      </c>
      <c r="D226" s="3" t="s">
        <v>248</v>
      </c>
      <c r="E226" s="1" t="s">
        <v>14</v>
      </c>
      <c r="F226" s="4" t="str">
        <f ca="1">VLOOKUP(A226,Sheet2!C:D,2,0)</f>
        <v>1968</v>
      </c>
      <c r="G226" s="2" t="str">
        <f ca="1">VLOOKUP(A226,Sheet2!C:E,3,0)</f>
        <v>EG04-EG05-EG06-EG07</v>
      </c>
      <c r="H226" s="2" t="str">
        <f ca="1">VLOOKUP(A226,Sheet2!A:F,6,0)</f>
        <v>aalhamaqi@gmail.com</v>
      </c>
      <c r="I226" s="2" t="str">
        <f ca="1">VLOOKUP(A226,Sheet2!C:G,5,0)</f>
        <v>01097689004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3" t="s">
        <v>250</v>
      </c>
      <c r="B227" s="1">
        <v>267179017974</v>
      </c>
      <c r="C227" s="1" t="s">
        <v>85</v>
      </c>
      <c r="D227" s="3" t="s">
        <v>248</v>
      </c>
      <c r="E227" s="1" t="s">
        <v>14</v>
      </c>
      <c r="F227" s="4" t="str">
        <f ca="1">VLOOKUP(A227,Sheet2!C:D,2,0)</f>
        <v>1984</v>
      </c>
      <c r="G227" s="2" t="str">
        <f ca="1">VLOOKUP(A227,Sheet2!C:E,3,0)</f>
        <v>EG04-EG05-EG06-EG07-EG08-EG09</v>
      </c>
      <c r="H227" s="2" t="str">
        <f ca="1">VLOOKUP(A227,Sheet2!A:F,6,0)</f>
        <v>raniashabanmohamed99@gmail.com</v>
      </c>
      <c r="I227" s="2">
        <f ca="1">VLOOKUP(A227,Sheet2!C:G,5,0)</f>
        <v>1091702720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3" t="s">
        <v>251</v>
      </c>
      <c r="B228" s="1">
        <v>502103896890</v>
      </c>
      <c r="C228" s="1" t="s">
        <v>85</v>
      </c>
      <c r="D228" s="3" t="s">
        <v>248</v>
      </c>
      <c r="E228" s="1" t="s">
        <v>14</v>
      </c>
      <c r="F228" s="4" t="str">
        <f ca="1">VLOOKUP(A228,Sheet2!C:D,2,0)</f>
        <v>2138</v>
      </c>
      <c r="G228" s="2" t="str">
        <f ca="1">VLOOKUP(A228,Sheet2!C:E,3,0)</f>
        <v>EG04-EG05</v>
      </c>
      <c r="H228" s="2" t="str">
        <f ca="1">VLOOKUP(A228,Sheet2!A:F,6,0)</f>
        <v>sarahhesham7777@gmail.com</v>
      </c>
      <c r="I228" s="2" t="str">
        <f ca="1">VLOOKUP(A228,Sheet2!C:G,5,0)</f>
        <v>01024197640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3" t="s">
        <v>252</v>
      </c>
      <c r="B229" s="1">
        <v>615157028363</v>
      </c>
      <c r="C229" s="1" t="s">
        <v>85</v>
      </c>
      <c r="D229" s="3" t="s">
        <v>248</v>
      </c>
      <c r="E229" s="1" t="s">
        <v>14</v>
      </c>
      <c r="F229" s="4" t="str">
        <f ca="1">VLOOKUP(A229,Sheet2!C:D,2,0)</f>
        <v>2169</v>
      </c>
      <c r="G229" s="2" t="str">
        <f ca="1">VLOOKUP(A229,Sheet2!C:E,3,0)</f>
        <v>EG04-EG05-EG06</v>
      </c>
      <c r="H229" s="2" t="str">
        <f ca="1">VLOOKUP(A229,Sheet2!A:F,6,0)</f>
        <v>mariamjohn2016@gmail.com</v>
      </c>
      <c r="I229" s="2" t="str">
        <f ca="1">VLOOKUP(A229,Sheet2!C:G,5,0)</f>
        <v>01204817452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3" t="s">
        <v>253</v>
      </c>
      <c r="B230" s="1">
        <v>980129038038</v>
      </c>
      <c r="C230" s="1" t="s">
        <v>85</v>
      </c>
      <c r="D230" s="3" t="s">
        <v>248</v>
      </c>
      <c r="E230" s="1" t="s">
        <v>14</v>
      </c>
      <c r="F230" s="2">
        <f ca="1">VLOOKUP(A230,Sheet2!C:D,2,0)</f>
        <v>2238</v>
      </c>
      <c r="G230" s="2" t="str">
        <f ca="1">VLOOKUP(A230,Sheet2!C:E,3,0)</f>
        <v>EG04-EG05-EG06</v>
      </c>
      <c r="H230" s="2" t="str">
        <f ca="1">VLOOKUP(A230,Sheet2!A:F,6,0)</f>
        <v>noursadek219@gmail.com</v>
      </c>
      <c r="I230" s="2" t="str">
        <f ca="1">VLOOKUP(A230,Sheet2!C:G,5,0)</f>
        <v>01200935348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3" t="s">
        <v>254</v>
      </c>
      <c r="B231" s="1">
        <v>679176560982</v>
      </c>
      <c r="C231" s="1" t="s">
        <v>85</v>
      </c>
      <c r="D231" s="3" t="s">
        <v>248</v>
      </c>
      <c r="E231" s="1" t="s">
        <v>14</v>
      </c>
      <c r="F231" s="2">
        <f ca="1">VLOOKUP(A231,Sheet2!C:D,2,0)</f>
        <v>2251</v>
      </c>
      <c r="G231" s="2" t="str">
        <f ca="1">VLOOKUP(A231,Sheet2!C:E,3,0)</f>
        <v>EG04-EG05-EG06-EG07</v>
      </c>
      <c r="H231" s="2" t="str">
        <f ca="1">VLOOKUP(A231,Sheet2!A:F,6,0)</f>
        <v>mostafa.raafat.mr@gmail.com</v>
      </c>
      <c r="I231" s="2" t="str">
        <f ca="1">VLOOKUP(A231,Sheet2!C:G,5,0)</f>
        <v>01127246518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3" t="s">
        <v>255</v>
      </c>
      <c r="B232" s="1">
        <v>959156023193</v>
      </c>
      <c r="C232" s="1" t="s">
        <v>85</v>
      </c>
      <c r="D232" s="3" t="s">
        <v>248</v>
      </c>
      <c r="E232" s="1" t="s">
        <v>14</v>
      </c>
      <c r="F232" s="2">
        <f ca="1">VLOOKUP(A232,Sheet2!C:D,2,0)</f>
        <v>2309</v>
      </c>
      <c r="G232" s="2" t="str">
        <f ca="1">VLOOKUP(A232,Sheet2!C:E,3,0)</f>
        <v>EG04-EG05-EG06</v>
      </c>
      <c r="H232" s="2" t="str">
        <f ca="1">VLOOKUP(A232,Sheet2!A:F,6,0)</f>
        <v>sondosibrahimmohamed50@gmail.com</v>
      </c>
      <c r="I232" s="2" t="str">
        <f ca="1">VLOOKUP(A232,Sheet2!C:G,5,0)</f>
        <v>01148230103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3" t="s">
        <v>256</v>
      </c>
      <c r="B233" s="1">
        <v>727157584915</v>
      </c>
      <c r="C233" s="1" t="s">
        <v>85</v>
      </c>
      <c r="D233" s="3" t="s">
        <v>248</v>
      </c>
      <c r="E233" s="1" t="s">
        <v>14</v>
      </c>
      <c r="F233" s="2">
        <f ca="1">VLOOKUP(A233,Sheet2!C:D,2,0)</f>
        <v>2354</v>
      </c>
      <c r="G233" s="2" t="str">
        <f ca="1">VLOOKUP(A233,Sheet2!C:E,3,0)</f>
        <v>EG04-EG05</v>
      </c>
      <c r="H233" s="2" t="str">
        <f ca="1">VLOOKUP(A233,Sheet2!A:F,6,0)</f>
        <v>emanhamdy9876@gmail.com</v>
      </c>
      <c r="I233" s="2" t="str">
        <f ca="1">VLOOKUP(A233,Sheet2!C:G,5,0)</f>
        <v>01118049112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3" t="s">
        <v>257</v>
      </c>
      <c r="B234" s="1">
        <v>858151472598</v>
      </c>
      <c r="C234" s="1" t="s">
        <v>85</v>
      </c>
      <c r="D234" s="3" t="s">
        <v>248</v>
      </c>
      <c r="E234" s="1" t="s">
        <v>14</v>
      </c>
      <c r="F234" s="2">
        <f ca="1">VLOOKUP(A234,Sheet2!C:D,2,0)</f>
        <v>2477</v>
      </c>
      <c r="G234" s="2" t="str">
        <f ca="1">VLOOKUP(A234,Sheet2!C:E,3,0)</f>
        <v>EG01-EG02-EG03-EG04-EG05-EG06</v>
      </c>
      <c r="H234" s="2" t="str">
        <f ca="1">VLOOKUP(A234,Sheet2!A:F,6,0)</f>
        <v>maryamabogourab98@gmail.com</v>
      </c>
      <c r="I234" s="2" t="str">
        <f ca="1">VLOOKUP(A234,Sheet2!C:G,5,0)</f>
        <v>01024705051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3" t="s">
        <v>258</v>
      </c>
      <c r="B235" s="1">
        <v>213134791302</v>
      </c>
      <c r="C235" s="1" t="s">
        <v>85</v>
      </c>
      <c r="D235" s="3" t="s">
        <v>248</v>
      </c>
      <c r="E235" s="1" t="s">
        <v>12</v>
      </c>
      <c r="F235" s="2">
        <f ca="1">VLOOKUP(A235,Sheet2!C:D,2,0)</f>
        <v>2511</v>
      </c>
      <c r="G235" s="2" t="str">
        <f ca="1">VLOOKUP(A235,Sheet2!C:E,3,0)</f>
        <v>EG04-EG05-EG06-EG07-EG08-EG09</v>
      </c>
      <c r="H235" s="2" t="str">
        <f ca="1">VLOOKUP(A235,Sheet2!A:F,6,0)</f>
        <v>shimaasayed7796@gmail.com</v>
      </c>
      <c r="I235" s="2" t="str">
        <f ca="1">VLOOKUP(A235,Sheet2!C:G,5,0)</f>
        <v>01014038811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3" t="s">
        <v>259</v>
      </c>
      <c r="B236" s="1">
        <v>653189026206</v>
      </c>
      <c r="C236" s="1" t="s">
        <v>85</v>
      </c>
      <c r="D236" s="3" t="s">
        <v>248</v>
      </c>
      <c r="E236" s="1" t="s">
        <v>12</v>
      </c>
      <c r="F236" s="2">
        <f ca="1">VLOOKUP(A236,Sheet2!C:D,2,0)</f>
        <v>2521</v>
      </c>
      <c r="G236" s="2" t="str">
        <f ca="1">VLOOKUP(A236,Sheet2!C:E,3,0)</f>
        <v>EG04-EG05-EG06</v>
      </c>
      <c r="H236" s="2" t="str">
        <f ca="1">VLOOKUP(A236,Sheet2!A:F,6,0)</f>
        <v>carolineezak250@gmail.com</v>
      </c>
      <c r="I236" s="2" t="str">
        <f ca="1">VLOOKUP(A236,Sheet2!C:G,5,0)</f>
        <v>01200451640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3" t="s">
        <v>260</v>
      </c>
      <c r="B237" s="1">
        <v>423152568123</v>
      </c>
      <c r="C237" s="1" t="s">
        <v>85</v>
      </c>
      <c r="D237" s="3" t="s">
        <v>248</v>
      </c>
      <c r="E237" s="1" t="s">
        <v>12</v>
      </c>
      <c r="F237" s="2">
        <f ca="1">VLOOKUP(A237,Sheet2!C:D,2,0)</f>
        <v>2674</v>
      </c>
      <c r="G237" s="2" t="str">
        <f ca="1">VLOOKUP(A237,Sheet2!C:E,3,0)</f>
        <v>EG04-EG05-EG06</v>
      </c>
      <c r="H237" s="2" t="str">
        <f ca="1">VLOOKUP(A237,Sheet2!A:F,6,0)</f>
        <v>ns5603341@gmail.com</v>
      </c>
      <c r="I237" s="2">
        <f ca="1">VLOOKUP(A237,Sheet2!C:G,5,0)</f>
        <v>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3" t="s">
        <v>261</v>
      </c>
      <c r="B238" s="1">
        <v>543127859795</v>
      </c>
      <c r="C238" s="1" t="s">
        <v>85</v>
      </c>
      <c r="D238" s="3" t="s">
        <v>248</v>
      </c>
      <c r="E238" s="1" t="s">
        <v>14</v>
      </c>
      <c r="F238" s="2">
        <f ca="1">VLOOKUP(A238,Sheet2!C:D,2,0)</f>
        <v>2601</v>
      </c>
      <c r="G238" s="2" t="str">
        <f ca="1">VLOOKUP(A238,Sheet2!C:E,3,0)</f>
        <v>EG04-EG05-EG06-EG07-EG08</v>
      </c>
      <c r="H238" s="2" t="str">
        <f ca="1">VLOOKUP(A238,Sheet2!A:F,6,0)</f>
        <v>hasnaa.seen@gmail.com</v>
      </c>
      <c r="I238" s="2">
        <f ca="1">VLOOKUP(A238,Sheet2!C:G,5,0)</f>
        <v>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3" t="s">
        <v>262</v>
      </c>
      <c r="B239" s="1">
        <v>318197043548</v>
      </c>
      <c r="C239" s="1" t="s">
        <v>85</v>
      </c>
      <c r="D239" s="3" t="s">
        <v>248</v>
      </c>
      <c r="E239" s="1" t="s">
        <v>12</v>
      </c>
      <c r="F239" s="2">
        <f ca="1">VLOOKUP(A239,Sheet2!C:D,2,0)</f>
        <v>2705</v>
      </c>
      <c r="G239" s="2" t="str">
        <f ca="1">VLOOKUP(A239,Sheet2!C:E,3,0)</f>
        <v>EG04-EG05-EG06-EG07-EG08-EG09</v>
      </c>
      <c r="H239" s="2" t="str">
        <f ca="1">VLOOKUP(A239,Sheet2!A:F,6,0)</f>
        <v>gehadmousa786@gmail.com</v>
      </c>
      <c r="I239" s="2" t="str">
        <f ca="1">VLOOKUP(A239,Sheet2!C:G,5,0)</f>
        <v>01022451628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3" t="s">
        <v>263</v>
      </c>
      <c r="B240" s="1">
        <v>927107160421</v>
      </c>
      <c r="C240" s="1" t="s">
        <v>85</v>
      </c>
      <c r="D240" s="3" t="s">
        <v>248</v>
      </c>
      <c r="E240" s="1" t="s">
        <v>12</v>
      </c>
      <c r="F240" s="2">
        <f ca="1">VLOOKUP(A240,Sheet2!C:D,2,0)</f>
        <v>2760</v>
      </c>
      <c r="G240" s="2" t="str">
        <f ca="1">VLOOKUP(A240,Sheet2!C:E,3,0)</f>
        <v>EG01-EG02-EG03-EG04-EG05-EG06</v>
      </c>
      <c r="H240" s="2" t="str">
        <f ca="1">VLOOKUP(A240,Sheet2!A:F,6,0)</f>
        <v>asmaaa.elaimy@gmail.com</v>
      </c>
      <c r="I240" s="2" t="str">
        <f ca="1">VLOOKUP(A240,Sheet2!C:G,5,0)</f>
        <v>01066612687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3" t="s">
        <v>264</v>
      </c>
      <c r="B241" s="1">
        <v>130151805637</v>
      </c>
      <c r="C241" s="1" t="s">
        <v>85</v>
      </c>
      <c r="D241" s="3" t="s">
        <v>69</v>
      </c>
      <c r="E241" s="1" t="s">
        <v>14</v>
      </c>
      <c r="F241" s="4" t="str">
        <f ca="1">VLOOKUP(A241,Sheet2!C:D,2,0)</f>
        <v>145</v>
      </c>
      <c r="G241" s="2" t="str">
        <f ca="1">VLOOKUP(A241,Sheet2!C:E,3,0)</f>
        <v>EG04-EG05-EG06-EG07-EG08-EG09-EG10-EG11-EG12</v>
      </c>
      <c r="H241" s="2" t="str">
        <f ca="1">VLOOKUP(A241,Sheet2!A:F,6,0)</f>
        <v>abdallah.moeenn@gmail.com</v>
      </c>
      <c r="I241" s="2">
        <f ca="1">VLOOKUP(A241,Sheet2!C:G,5,0)</f>
        <v>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3" t="s">
        <v>265</v>
      </c>
      <c r="B242" s="1">
        <v>143165762069</v>
      </c>
      <c r="C242" s="1" t="s">
        <v>85</v>
      </c>
      <c r="D242" s="3" t="s">
        <v>69</v>
      </c>
      <c r="E242" s="1" t="s">
        <v>14</v>
      </c>
      <c r="F242" s="4" t="str">
        <f ca="1">VLOOKUP(A242,Sheet2!C:D,2,0)</f>
        <v>737</v>
      </c>
      <c r="G242" s="2" t="str">
        <f ca="1">VLOOKUP(A242,Sheet2!C:E,3,0)</f>
        <v>EG04-EG05-EG06-EG07-EG08-EG09-EG10-EG11-EG12</v>
      </c>
      <c r="H242" s="2" t="str">
        <f ca="1">VLOOKUP(A242,Sheet2!A:F,6,0)</f>
        <v>mohamed.eid@nagwa.com</v>
      </c>
      <c r="I242" s="2">
        <f ca="1">VLOOKUP(A242,Sheet2!C:G,5,0)</f>
        <v>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3" t="s">
        <v>266</v>
      </c>
      <c r="B243" s="1">
        <v>598191375412</v>
      </c>
      <c r="C243" s="1" t="s">
        <v>85</v>
      </c>
      <c r="D243" s="3" t="s">
        <v>69</v>
      </c>
      <c r="E243" s="1" t="s">
        <v>14</v>
      </c>
      <c r="F243" s="4" t="str">
        <f ca="1">VLOOKUP(A243,Sheet2!C:D,2,0)</f>
        <v>1869</v>
      </c>
      <c r="G243" s="2" t="str">
        <f ca="1">VLOOKUP(A243,Sheet2!C:E,3,0)</f>
        <v>EG04-EG05-EG06-EG07-EG08-EG09</v>
      </c>
      <c r="H243" s="2" t="str">
        <f ca="1">VLOOKUP(A243,Sheet2!A:F,6,0)</f>
        <v>ibrahim.altrawey@gmail.com</v>
      </c>
      <c r="I243" s="2" t="str">
        <f ca="1">VLOOKUP(A243,Sheet2!C:G,5,0)</f>
        <v>01228286453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3" t="s">
        <v>267</v>
      </c>
      <c r="B244" s="1">
        <v>296150317528</v>
      </c>
      <c r="C244" s="1" t="s">
        <v>85</v>
      </c>
      <c r="D244" s="3" t="s">
        <v>69</v>
      </c>
      <c r="E244" s="1" t="s">
        <v>14</v>
      </c>
      <c r="F244" s="4" t="str">
        <f ca="1">VLOOKUP(A244,Sheet2!C:D,2,0)</f>
        <v>1714</v>
      </c>
      <c r="G244" s="2" t="str">
        <f ca="1">VLOOKUP(A244,Sheet2!C:E,3,0)</f>
        <v>EG04-EG05-EG06-EG07</v>
      </c>
      <c r="H244" s="2" t="str">
        <f ca="1">VLOOKUP(A244,Sheet2!A:F,6,0)</f>
        <v>faten4.sayed@gmail.com</v>
      </c>
      <c r="I244" s="2">
        <f ca="1">VLOOKUP(A244,Sheet2!C:G,5,0)</f>
        <v>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3" t="s">
        <v>268</v>
      </c>
      <c r="B245" s="1">
        <v>429127969509</v>
      </c>
      <c r="C245" s="1" t="s">
        <v>85</v>
      </c>
      <c r="D245" s="3" t="s">
        <v>69</v>
      </c>
      <c r="E245" s="1" t="s">
        <v>14</v>
      </c>
      <c r="F245" s="4" t="str">
        <f ca="1">VLOOKUP(A245,Sheet2!C:D,2,0)</f>
        <v>1964</v>
      </c>
      <c r="G245" s="2" t="str">
        <f ca="1">VLOOKUP(A245,Sheet2!C:E,3,0)</f>
        <v>EG04-EG05-EG06-EG07-EG08-EG09</v>
      </c>
      <c r="H245" s="2" t="str">
        <f ca="1">VLOOKUP(A245,Sheet2!A:F,6,0)</f>
        <v>m.moharam91@gmail.com</v>
      </c>
      <c r="I245" s="2" t="str">
        <f ca="1">VLOOKUP(A245,Sheet2!C:G,5,0)</f>
        <v>01009005365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3" t="s">
        <v>269</v>
      </c>
      <c r="B246" s="1">
        <v>649109540563</v>
      </c>
      <c r="C246" s="1" t="s">
        <v>85</v>
      </c>
      <c r="D246" s="3" t="s">
        <v>69</v>
      </c>
      <c r="E246" s="1" t="s">
        <v>14</v>
      </c>
      <c r="F246" s="4" t="str">
        <f ca="1">VLOOKUP(A246,Sheet2!C:D,2,0)</f>
        <v>2081</v>
      </c>
      <c r="G246" s="2" t="str">
        <f ca="1">VLOOKUP(A246,Sheet2!C:E,3,0)</f>
        <v>EG04-EG05-EG06</v>
      </c>
      <c r="H246" s="2" t="str">
        <f ca="1">VLOOKUP(A246,Sheet2!A:F,6,0)</f>
        <v>apoapdo3000@gmail.com</v>
      </c>
      <c r="I246" s="2" t="str">
        <f ca="1">VLOOKUP(A246,Sheet2!C:G,5,0)</f>
        <v>01119730825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3" t="s">
        <v>270</v>
      </c>
      <c r="B247" s="1">
        <v>972182920695</v>
      </c>
      <c r="C247" s="1" t="s">
        <v>85</v>
      </c>
      <c r="D247" s="3" t="s">
        <v>69</v>
      </c>
      <c r="E247" s="1" t="s">
        <v>14</v>
      </c>
      <c r="F247" s="4" t="str">
        <f ca="1">VLOOKUP(A247,Sheet2!C:D,2,0)</f>
        <v>1137</v>
      </c>
      <c r="G247" s="2" t="str">
        <f ca="1">VLOOKUP(A247,Sheet2!C:E,3,0)</f>
        <v>EG04-EG05-EG06-EG07-EG08-EG09-EG10-EG11-EG12</v>
      </c>
      <c r="H247" s="2" t="str">
        <f ca="1">VLOOKUP(A247,Sheet2!A:F,6,0)</f>
        <v>ahmedsalem6060@gmail.com</v>
      </c>
      <c r="I247" s="2" t="str">
        <f ca="1">VLOOKUP(A247,Sheet2!C:G,5,0)</f>
        <v>01143409562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3" t="s">
        <v>271</v>
      </c>
      <c r="B248" s="1">
        <v>357181684840</v>
      </c>
      <c r="C248" s="1" t="s">
        <v>85</v>
      </c>
      <c r="D248" s="3" t="s">
        <v>69</v>
      </c>
      <c r="E248" s="1" t="s">
        <v>14</v>
      </c>
      <c r="F248" s="4" t="str">
        <f ca="1">VLOOKUP(A248,Sheet2!C:D,2,0)</f>
        <v>2104</v>
      </c>
      <c r="G248" s="2" t="str">
        <f ca="1">VLOOKUP(A248,Sheet2!C:E,3,0)</f>
        <v>EG04-EG05-EG06-EG07-EG08-EG09</v>
      </c>
      <c r="H248" s="2" t="str">
        <f ca="1">VLOOKUP(A248,Sheet2!A:F,6,0)</f>
        <v>ibrahimroshdy20202021@gmail.com</v>
      </c>
      <c r="I248" s="2" t="str">
        <f ca="1">VLOOKUP(A248,Sheet2!C:G,5,0)</f>
        <v>01092350359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3" t="s">
        <v>272</v>
      </c>
      <c r="B249" s="1">
        <v>405161986485</v>
      </c>
      <c r="C249" s="1" t="s">
        <v>85</v>
      </c>
      <c r="D249" s="3" t="s">
        <v>69</v>
      </c>
      <c r="E249" s="1" t="s">
        <v>14</v>
      </c>
      <c r="F249" s="4" t="str">
        <f ca="1">VLOOKUP(A249,Sheet2!C:D,2,0)</f>
        <v>2313</v>
      </c>
      <c r="G249" s="2" t="str">
        <f ca="1">VLOOKUP(A249,Sheet2!C:E,3,0)</f>
        <v>EG04-EG05-EG06</v>
      </c>
      <c r="H249" s="2" t="str">
        <f ca="1">VLOOKUP(A249,Sheet2!A:F,6,0)</f>
        <v>afathy123654@gmail.com</v>
      </c>
      <c r="I249" s="2" t="str">
        <f ca="1">VLOOKUP(A249,Sheet2!C:G,5,0)</f>
        <v>01150395089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3" t="s">
        <v>273</v>
      </c>
      <c r="B250" s="1">
        <v>795196170456</v>
      </c>
      <c r="C250" s="1" t="s">
        <v>85</v>
      </c>
      <c r="D250" s="3" t="s">
        <v>69</v>
      </c>
      <c r="E250" s="1" t="s">
        <v>14</v>
      </c>
      <c r="F250" s="4" t="str">
        <f ca="1">VLOOKUP(A250,Sheet2!C:D,2,0)</f>
        <v>2307</v>
      </c>
      <c r="G250" s="2" t="str">
        <f ca="1">VLOOKUP(A250,Sheet2!C:E,3,0)</f>
        <v>EG04-EG05-EG06-EG07</v>
      </c>
      <c r="H250" s="2" t="str">
        <f ca="1">VLOOKUP(A250,Sheet2!A:F,6,0)</f>
        <v>mahmoudkhamees2@gmail.com</v>
      </c>
      <c r="I250" s="2" t="str">
        <f ca="1">VLOOKUP(A250,Sheet2!C:G,5,0)</f>
        <v>01016063128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3" t="s">
        <v>274</v>
      </c>
      <c r="B251" s="1">
        <v>792190383878</v>
      </c>
      <c r="C251" s="1" t="s">
        <v>85</v>
      </c>
      <c r="D251" s="3" t="s">
        <v>69</v>
      </c>
      <c r="E251" s="1" t="s">
        <v>14</v>
      </c>
      <c r="F251" s="4" t="str">
        <f ca="1">VLOOKUP(A251,Sheet2!C:D,2,0)</f>
        <v>2319</v>
      </c>
      <c r="G251" s="2" t="str">
        <f ca="1">VLOOKUP(A251,Sheet2!C:E,3,0)</f>
        <v>EG04-EG05-EG06</v>
      </c>
      <c r="H251" s="2" t="str">
        <f ca="1">VLOOKUP(A251,Sheet2!A:F,6,0)</f>
        <v>saraharaby90@gmail.com</v>
      </c>
      <c r="I251" s="2" t="str">
        <f ca="1">VLOOKUP(A251,Sheet2!C:G,5,0)</f>
        <v>01118843325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3" t="s">
        <v>275</v>
      </c>
      <c r="B252" s="1">
        <v>626109078528</v>
      </c>
      <c r="C252" s="1" t="s">
        <v>85</v>
      </c>
      <c r="D252" s="3" t="s">
        <v>69</v>
      </c>
      <c r="E252" s="1" t="s">
        <v>14</v>
      </c>
      <c r="F252" s="2">
        <f ca="1">VLOOKUP(A252,Sheet2!C:D,2,0)</f>
        <v>2345</v>
      </c>
      <c r="G252" s="2" t="str">
        <f ca="1">VLOOKUP(A252,Sheet2!C:E,3,0)</f>
        <v>EG04-EG05-EG06-EG07</v>
      </c>
      <c r="H252" s="2" t="str">
        <f ca="1">VLOOKUP(A252,Sheet2!A:F,6,0)</f>
        <v>islamsba98@gmail.com</v>
      </c>
      <c r="I252" s="2" t="str">
        <f ca="1">VLOOKUP(A252,Sheet2!C:G,5,0)</f>
        <v>01018015076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3" t="s">
        <v>276</v>
      </c>
      <c r="B253" s="1">
        <v>832192515851</v>
      </c>
      <c r="C253" s="1" t="s">
        <v>85</v>
      </c>
      <c r="D253" s="3" t="s">
        <v>69</v>
      </c>
      <c r="E253" s="1" t="s">
        <v>14</v>
      </c>
      <c r="F253" s="2">
        <f ca="1">VLOOKUP(A253,Sheet2!C:D,2,0)</f>
        <v>2344</v>
      </c>
      <c r="G253" s="2" t="str">
        <f ca="1">VLOOKUP(A253,Sheet2!C:E,3,0)</f>
        <v>EG03-EG04-EG05-EG06-EG07-EG08-EG09</v>
      </c>
      <c r="H253" s="2" t="str">
        <f ca="1">VLOOKUP(A253,Sheet2!A:F,6,0)</f>
        <v>ebsmoab@gmail.com</v>
      </c>
      <c r="I253" s="2" t="str">
        <f ca="1">VLOOKUP(A253,Sheet2!C:G,5,0)</f>
        <v>01123330493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3" t="s">
        <v>277</v>
      </c>
      <c r="B254" s="1">
        <v>529163026412</v>
      </c>
      <c r="C254" s="1" t="s">
        <v>85</v>
      </c>
      <c r="D254" s="3" t="s">
        <v>69</v>
      </c>
      <c r="E254" s="1" t="s">
        <v>14</v>
      </c>
      <c r="F254" s="2">
        <f ca="1">VLOOKUP(A254,Sheet2!C:D,2,0)</f>
        <v>2416</v>
      </c>
      <c r="G254" s="2" t="str">
        <f ca="1">VLOOKUP(A254,Sheet2!C:E,3,0)</f>
        <v>EG04-EG05-EG06</v>
      </c>
      <c r="H254" s="2" t="str">
        <f ca="1">VLOOKUP(A254,Sheet2!A:F,6,0)</f>
        <v>fatma25nady@gmail.com</v>
      </c>
      <c r="I254" s="2" t="str">
        <f ca="1">VLOOKUP(A254,Sheet2!C:G,5,0)</f>
        <v>01028758529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3" t="s">
        <v>278</v>
      </c>
      <c r="B255" s="1">
        <v>182137368351</v>
      </c>
      <c r="C255" s="1" t="s">
        <v>85</v>
      </c>
      <c r="D255" s="3" t="s">
        <v>69</v>
      </c>
      <c r="E255" s="1" t="s">
        <v>14</v>
      </c>
      <c r="F255" s="2">
        <f ca="1">VLOOKUP(A255,Sheet2!C:D,2,0)</f>
        <v>2462</v>
      </c>
      <c r="G255" s="2" t="str">
        <f ca="1">VLOOKUP(A255,Sheet2!C:E,3,0)</f>
        <v>EG03-EG04-EG05-EG06-EG07</v>
      </c>
      <c r="H255" s="2" t="str">
        <f ca="1">VLOOKUP(A255,Sheet2!A:F,6,0)</f>
        <v>meramera192333@gmail.com</v>
      </c>
      <c r="I255" s="2" t="str">
        <f ca="1">VLOOKUP(A255,Sheet2!C:G,5,0)</f>
        <v>01123054991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3" t="s">
        <v>279</v>
      </c>
      <c r="B256" s="1">
        <v>265124381798</v>
      </c>
      <c r="C256" s="1" t="s">
        <v>85</v>
      </c>
      <c r="D256" s="3" t="s">
        <v>69</v>
      </c>
      <c r="E256" s="1" t="s">
        <v>12</v>
      </c>
      <c r="F256" s="2">
        <f ca="1">VLOOKUP(A256,Sheet2!C:D,2,0)</f>
        <v>2474</v>
      </c>
      <c r="G256" s="2" t="str">
        <f ca="1">VLOOKUP(A256,Sheet2!C:E,3,0)</f>
        <v>EG01-EG02-EG03-EG04-EG05-EG06-EG07</v>
      </c>
      <c r="H256" s="2" t="str">
        <f ca="1">VLOOKUP(A256,Sheet2!A:F,6,0)</f>
        <v>enahany4@gmail.com</v>
      </c>
      <c r="I256" s="2" t="str">
        <f ca="1">VLOOKUP(A256,Sheet2!C:G,5,0)</f>
        <v>01096788156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3" t="s">
        <v>280</v>
      </c>
      <c r="B257" s="1">
        <v>520172853627</v>
      </c>
      <c r="C257" s="1" t="s">
        <v>85</v>
      </c>
      <c r="D257" s="3" t="s">
        <v>69</v>
      </c>
      <c r="E257" s="1" t="s">
        <v>14</v>
      </c>
      <c r="F257" s="2">
        <f ca="1">VLOOKUP(A257,Sheet2!C:D,2,0)</f>
        <v>2466</v>
      </c>
      <c r="G257" s="2" t="str">
        <f ca="1">VLOOKUP(A257,Sheet2!C:E,3,0)</f>
        <v>EG04-EG05-EG06-EG07</v>
      </c>
      <c r="H257" s="2" t="str">
        <f ca="1">VLOOKUP(A257,Sheet2!A:F,6,0)</f>
        <v>amrgamalhamdi@gmail.com</v>
      </c>
      <c r="I257" s="2" t="str">
        <f ca="1">VLOOKUP(A257,Sheet2!C:G,5,0)</f>
        <v>01060743606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3" t="s">
        <v>281</v>
      </c>
      <c r="B258" s="1">
        <v>258162458472</v>
      </c>
      <c r="C258" s="1" t="s">
        <v>85</v>
      </c>
      <c r="D258" s="3" t="s">
        <v>69</v>
      </c>
      <c r="E258" s="1" t="s">
        <v>14</v>
      </c>
      <c r="F258" s="2">
        <f ca="1">VLOOKUP(A258,Sheet2!C:D,2,0)</f>
        <v>2541</v>
      </c>
      <c r="G258" s="2" t="str">
        <f ca="1">VLOOKUP(A258,Sheet2!C:E,3,0)</f>
        <v>EG04-EG05-EG06-EG07</v>
      </c>
      <c r="H258" s="2" t="str">
        <f ca="1">VLOOKUP(A258,Sheet2!A:F,6,0)</f>
        <v>adelhalfawytea@gmail.com</v>
      </c>
      <c r="I258" s="2" t="str">
        <f ca="1">VLOOKUP(A258,Sheet2!C:G,5,0)</f>
        <v>01026332686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3" t="s">
        <v>282</v>
      </c>
      <c r="B259" s="1">
        <v>407189748903</v>
      </c>
      <c r="C259" s="1" t="s">
        <v>85</v>
      </c>
      <c r="D259" s="3" t="s">
        <v>69</v>
      </c>
      <c r="E259" s="1" t="s">
        <v>14</v>
      </c>
      <c r="F259" s="2">
        <f ca="1">VLOOKUP(A259,Sheet2!C:D,2,0)</f>
        <v>2544</v>
      </c>
      <c r="G259" s="2" t="str">
        <f ca="1">VLOOKUP(A259,Sheet2!C:E,3,0)</f>
        <v>EG04-EG05-EG06-EG07-EG08-EG09</v>
      </c>
      <c r="H259" s="2" t="str">
        <f ca="1">VLOOKUP(A259,Sheet2!A:F,6,0)</f>
        <v>hossam.kandel70@gmail.com</v>
      </c>
      <c r="I259" s="2" t="str">
        <f ca="1">VLOOKUP(A259,Sheet2!C:G,5,0)</f>
        <v>01227304602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3" t="s">
        <v>283</v>
      </c>
      <c r="B260" s="1">
        <v>379179346029</v>
      </c>
      <c r="C260" s="1" t="s">
        <v>85</v>
      </c>
      <c r="D260" s="3" t="s">
        <v>69</v>
      </c>
      <c r="E260" s="1" t="s">
        <v>14</v>
      </c>
      <c r="F260" s="2">
        <f ca="1">VLOOKUP(A260,Sheet2!C:D,2,0)</f>
        <v>2326</v>
      </c>
      <c r="G260" s="2" t="str">
        <f ca="1">VLOOKUP(A260,Sheet2!C:E,3,0)</f>
        <v>EG04-EG05-EG06-EG07-EG08</v>
      </c>
      <c r="H260" s="2" t="str">
        <f ca="1">VLOOKUP(A260,Sheet2!A:F,6,0)</f>
        <v>rababelhenawey@gmail.com</v>
      </c>
      <c r="I260" s="2">
        <f ca="1">VLOOKUP(A260,Sheet2!C:G,5,0)</f>
        <v>201111445648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3" t="s">
        <v>284</v>
      </c>
      <c r="B261" s="1">
        <v>524121597260</v>
      </c>
      <c r="C261" s="1" t="s">
        <v>85</v>
      </c>
      <c r="D261" s="3" t="s">
        <v>69</v>
      </c>
      <c r="E261" s="1" t="s">
        <v>12</v>
      </c>
      <c r="F261" s="2">
        <f ca="1">VLOOKUP(A261,Sheet2!C:D,2,0)</f>
        <v>2608</v>
      </c>
      <c r="G261" s="2" t="str">
        <f ca="1">VLOOKUP(A261,Sheet2!C:E,3,0)</f>
        <v>EG04-EG05-EG06-EG07-EG08</v>
      </c>
      <c r="H261" s="2" t="str">
        <f ca="1">VLOOKUP(A261,Sheet2!A:F,6,0)</f>
        <v>saadbehery13@gmail.com</v>
      </c>
      <c r="I261" s="2">
        <f ca="1">VLOOKUP(A261,Sheet2!C:G,5,0)</f>
        <v>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3" t="s">
        <v>285</v>
      </c>
      <c r="B262" s="1">
        <v>370154903174</v>
      </c>
      <c r="C262" s="1" t="s">
        <v>85</v>
      </c>
      <c r="D262" s="3" t="s">
        <v>69</v>
      </c>
      <c r="E262" s="1" t="s">
        <v>14</v>
      </c>
      <c r="F262" s="2">
        <f ca="1">VLOOKUP(A262,Sheet2!C:D,2,0)</f>
        <v>2733</v>
      </c>
      <c r="G262" s="2" t="str">
        <f ca="1">VLOOKUP(A262,Sheet2!C:E,3,0)</f>
        <v>EG04-EG05-EG06-EG07</v>
      </c>
      <c r="H262" s="2" t="str">
        <f ca="1">VLOOKUP(A262,Sheet2!A:F,6,0)</f>
        <v>reham.3adel@hotmail.com</v>
      </c>
      <c r="I262" s="2" t="str">
        <f ca="1">VLOOKUP(A262,Sheet2!C:G,5,0)</f>
        <v>01114564985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3" t="s">
        <v>286</v>
      </c>
      <c r="B263" s="1">
        <v>267120267316</v>
      </c>
      <c r="C263" s="1" t="s">
        <v>85</v>
      </c>
      <c r="D263" s="3" t="s">
        <v>69</v>
      </c>
      <c r="E263" s="1" t="s">
        <v>14</v>
      </c>
      <c r="F263" s="2">
        <f ca="1">VLOOKUP(A263,Sheet2!C:D,2,0)</f>
        <v>2731</v>
      </c>
      <c r="G263" s="2" t="str">
        <f ca="1">VLOOKUP(A263,Sheet2!C:E,3,0)</f>
        <v>EG03-EG04-EG05-EG06</v>
      </c>
      <c r="H263" s="2" t="str">
        <f ca="1">VLOOKUP(A263,Sheet2!A:F,6,0)</f>
        <v>nadiaabdalbast@outlook.com</v>
      </c>
      <c r="I263" s="2" t="str">
        <f ca="1">VLOOKUP(A263,Sheet2!C:G,5,0)</f>
        <v>01027624883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3" t="s">
        <v>287</v>
      </c>
      <c r="B264" s="1">
        <v>260139845925</v>
      </c>
      <c r="C264" s="1" t="s">
        <v>85</v>
      </c>
      <c r="D264" s="3" t="s">
        <v>69</v>
      </c>
      <c r="E264" s="1" t="s">
        <v>14</v>
      </c>
      <c r="F264" s="2">
        <f ca="1">VLOOKUP(A264,Sheet2!C:D,2,0)</f>
        <v>2708</v>
      </c>
      <c r="G264" s="2" t="str">
        <f ca="1">VLOOKUP(A264,Sheet2!C:E,3,0)</f>
        <v>EG03-EG04-EG05-EG06</v>
      </c>
      <c r="H264" s="2" t="str">
        <f ca="1">VLOOKUP(A264,Sheet2!A:F,6,0)</f>
        <v>fatmaalzhraa704@gmail.com</v>
      </c>
      <c r="I264" s="2" t="str">
        <f ca="1">VLOOKUP(A264,Sheet2!C:G,5,0)</f>
        <v>01011497610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3" t="s">
        <v>288</v>
      </c>
      <c r="B265" s="1">
        <v>493101971496</v>
      </c>
      <c r="C265" s="1" t="s">
        <v>85</v>
      </c>
      <c r="D265" s="3" t="s">
        <v>69</v>
      </c>
      <c r="E265" s="1" t="s">
        <v>12</v>
      </c>
      <c r="F265" s="2">
        <f ca="1">VLOOKUP(A265,Sheet2!C:D,2,0)</f>
        <v>2732</v>
      </c>
      <c r="G265" s="2" t="str">
        <f ca="1">VLOOKUP(A265,Sheet2!C:E,3,0)</f>
        <v>EG04-EG05-EG06</v>
      </c>
      <c r="H265" s="2" t="str">
        <f ca="1">VLOOKUP(A265,Sheet2!A:F,6,0)</f>
        <v>doniaalaaeldeen13@gmail.com</v>
      </c>
      <c r="I265" s="2" t="str">
        <f ca="1">VLOOKUP(A265,Sheet2!C:G,5,0)</f>
        <v>01127447490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3" t="s">
        <v>289</v>
      </c>
      <c r="B266" s="1">
        <v>706121920140</v>
      </c>
      <c r="C266" s="1" t="s">
        <v>85</v>
      </c>
      <c r="D266" s="3" t="s">
        <v>69</v>
      </c>
      <c r="E266" s="1" t="s">
        <v>12</v>
      </c>
      <c r="F266" s="2">
        <f ca="1">VLOOKUP(A266,Sheet2!C:D,2,0)</f>
        <v>2724</v>
      </c>
      <c r="G266" s="2" t="str">
        <f ca="1">VLOOKUP(A266,Sheet2!C:E,3,0)</f>
        <v>EG04-EG05-EG06-EG07</v>
      </c>
      <c r="H266" s="2" t="str">
        <f ca="1">VLOOKUP(A266,Sheet2!A:F,6,0)</f>
        <v>hanaaelamir7@gmail.com</v>
      </c>
      <c r="I266" s="2" t="str">
        <f ca="1">VLOOKUP(A266,Sheet2!C:G,5,0)</f>
        <v>01003088300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3" t="s">
        <v>290</v>
      </c>
      <c r="B267" s="1">
        <v>320151393513</v>
      </c>
      <c r="C267" s="1" t="s">
        <v>85</v>
      </c>
      <c r="D267" s="3" t="s">
        <v>69</v>
      </c>
      <c r="E267" s="1" t="s">
        <v>14</v>
      </c>
      <c r="F267" s="2">
        <f ca="1">VLOOKUP(A267,Sheet2!C:D,2,0)</f>
        <v>2706</v>
      </c>
      <c r="G267" s="2" t="str">
        <f ca="1">VLOOKUP(A267,Sheet2!C:E,3,0)</f>
        <v>EG01-EG02-EG03-EG04-EG05-EG06</v>
      </c>
      <c r="H267" s="2" t="str">
        <f ca="1">VLOOKUP(A267,Sheet2!A:F,6,0)</f>
        <v>amalomara78@gmail.com</v>
      </c>
      <c r="I267" s="2" t="str">
        <f ca="1">VLOOKUP(A267,Sheet2!C:G,5,0)</f>
        <v>01278856104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3" t="s">
        <v>291</v>
      </c>
      <c r="B268" s="1">
        <v>279170372636</v>
      </c>
      <c r="C268" s="1" t="s">
        <v>85</v>
      </c>
      <c r="D268" s="3" t="s">
        <v>69</v>
      </c>
      <c r="E268" s="1" t="s">
        <v>12</v>
      </c>
      <c r="F268" s="2">
        <f ca="1">VLOOKUP(A268,Sheet2!C:D,2,0)</f>
        <v>2677</v>
      </c>
      <c r="G268" s="2" t="str">
        <f ca="1">VLOOKUP(A268,Sheet2!C:E,3,0)</f>
        <v>EG03-EG04-EG05-EG06-EG07</v>
      </c>
      <c r="H268" s="2" t="str">
        <f ca="1">VLOOKUP(A268,Sheet2!A:F,6,0)</f>
        <v>nehadsalahalsakka@gmail.com</v>
      </c>
      <c r="I268" s="2" t="str">
        <f ca="1">VLOOKUP(A268,Sheet2!C:G,5,0)</f>
        <v>01067349853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3" t="s">
        <v>292</v>
      </c>
      <c r="B269" s="1">
        <v>105143030564</v>
      </c>
      <c r="C269" s="1" t="s">
        <v>85</v>
      </c>
      <c r="D269" s="3" t="s">
        <v>69</v>
      </c>
      <c r="E269" s="1" t="s">
        <v>14</v>
      </c>
      <c r="F269" s="2">
        <f ca="1">VLOOKUP(A269,Sheet2!C:D,2,0)</f>
        <v>2753</v>
      </c>
      <c r="G269" s="2" t="str">
        <f ca="1">VLOOKUP(A269,Sheet2!C:E,3,0)</f>
        <v>EG01-EG02-EG03-EG04-EG05-EG06</v>
      </c>
      <c r="H269" s="2" t="str">
        <f ca="1">VLOOKUP(A269,Sheet2!A:F,6,0)</f>
        <v>asmaa.hashim88@gmail.com</v>
      </c>
      <c r="I269" s="2" t="str">
        <f ca="1">VLOOKUP(A269,Sheet2!C:G,5,0)</f>
        <v>01098052277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3" t="s">
        <v>293</v>
      </c>
      <c r="B270" s="1">
        <v>706169030428</v>
      </c>
      <c r="C270" s="1" t="s">
        <v>85</v>
      </c>
      <c r="D270" s="3" t="s">
        <v>69</v>
      </c>
      <c r="E270" s="1" t="s">
        <v>14</v>
      </c>
      <c r="F270" s="2">
        <f ca="1">VLOOKUP(A270,Sheet2!C:D,2,0)</f>
        <v>2610</v>
      </c>
      <c r="G270" s="2" t="str">
        <f ca="1">VLOOKUP(A270,Sheet2!C:E,3,0)</f>
        <v>EG01-EG02-EG03-EG04-EG05-EG06</v>
      </c>
      <c r="H270" s="2" t="str">
        <f ca="1">VLOOKUP(A270,Sheet2!A:F,6,0)</f>
        <v>modeayamode@gmail.com</v>
      </c>
      <c r="I270" s="2">
        <f ca="1">VLOOKUP(A270,Sheet2!C:G,5,0)</f>
        <v>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3" t="s">
        <v>294</v>
      </c>
      <c r="B271" s="1">
        <v>415120941851</v>
      </c>
      <c r="C271" s="1" t="s">
        <v>85</v>
      </c>
      <c r="D271" s="3" t="s">
        <v>69</v>
      </c>
      <c r="E271" s="1" t="s">
        <v>14</v>
      </c>
      <c r="F271" s="2">
        <f ca="1">VLOOKUP(A271,Sheet2!C:D,2,0)</f>
        <v>2699</v>
      </c>
      <c r="G271" s="2" t="str">
        <f ca="1">VLOOKUP(A271,Sheet2!C:E,3,0)</f>
        <v>EG01-EG02-EG03-EG04-EG05-EG06</v>
      </c>
      <c r="H271" s="2" t="str">
        <f ca="1">VLOOKUP(A271,Sheet2!A:F,6,0)</f>
        <v>randaelbedaya02@gmail.com</v>
      </c>
      <c r="I271" s="2">
        <f ca="1">VLOOKUP(A271,Sheet2!C:G,5,0)</f>
        <v>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3" t="s">
        <v>295</v>
      </c>
      <c r="B272" s="1">
        <v>787132953842</v>
      </c>
      <c r="C272" s="1" t="s">
        <v>85</v>
      </c>
      <c r="D272" s="3" t="s">
        <v>69</v>
      </c>
      <c r="E272" s="1" t="s">
        <v>12</v>
      </c>
      <c r="F272" s="2">
        <f ca="1">VLOOKUP(A272,Sheet2!C:D,2,0)</f>
        <v>2631</v>
      </c>
      <c r="G272" s="2" t="str">
        <f ca="1">VLOOKUP(A272,Sheet2!C:E,3,0)</f>
        <v>EG04-EG05-EG06-EG07-EG08</v>
      </c>
      <c r="H272" s="2" t="str">
        <f ca="1">VLOOKUP(A272,Sheet2!A:F,6,0)</f>
        <v>aymanbesso81@gmail.com</v>
      </c>
      <c r="I272" s="2">
        <f ca="1">VLOOKUP(A272,Sheet2!C:G,5,0)</f>
        <v>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3" t="s">
        <v>296</v>
      </c>
      <c r="B273" s="1">
        <v>867195425601</v>
      </c>
      <c r="C273" s="1" t="s">
        <v>85</v>
      </c>
      <c r="D273" s="3" t="s">
        <v>69</v>
      </c>
      <c r="E273" s="1" t="s">
        <v>12</v>
      </c>
      <c r="F273" s="2">
        <f ca="1">VLOOKUP(A273,Sheet2!C:D,2,0)</f>
        <v>2806</v>
      </c>
      <c r="G273" s="2" t="str">
        <f ca="1">VLOOKUP(A273,Sheet2!C:E,3,0)</f>
        <v>EG01-EG02-EG03-EG04-EG05-EG06</v>
      </c>
      <c r="H273" s="2" t="str">
        <f ca="1">VLOOKUP(A273,Sheet2!A:F,6,0)</f>
        <v>naglaaradwan99@gmail.com</v>
      </c>
      <c r="I273" s="2">
        <f ca="1">VLOOKUP(A273,Sheet2!C:G,5,0)</f>
        <v>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3" t="s">
        <v>297</v>
      </c>
      <c r="B274" s="1">
        <v>976123902784</v>
      </c>
      <c r="C274" s="1" t="s">
        <v>85</v>
      </c>
      <c r="D274" s="3" t="s">
        <v>298</v>
      </c>
      <c r="E274" s="1" t="s">
        <v>14</v>
      </c>
      <c r="F274" s="4" t="str">
        <f ca="1">VLOOKUP(A274,Sheet2!C:D,2,0)</f>
        <v>2296</v>
      </c>
      <c r="G274" s="2">
        <f ca="1">VLOOKUP(A274,Sheet2!C:E,3,0)</f>
        <v>0</v>
      </c>
      <c r="H274" s="2" t="str">
        <f ca="1">VLOOKUP(A274,Sheet2!A:F,6,0)</f>
        <v>hazemabdulrahman99@gmail.com</v>
      </c>
      <c r="I274" s="2" t="str">
        <f ca="1">VLOOKUP(A274,Sheet2!C:G,5,0)</f>
        <v>01126374221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3" t="s">
        <v>299</v>
      </c>
      <c r="B275" s="1">
        <v>345151236382</v>
      </c>
      <c r="C275" s="1" t="s">
        <v>85</v>
      </c>
      <c r="D275" s="3" t="s">
        <v>298</v>
      </c>
      <c r="E275" s="1" t="s">
        <v>14</v>
      </c>
      <c r="F275" s="4" t="str">
        <f ca="1">VLOOKUP(A275,Sheet2!C:D,2,0)</f>
        <v>2271</v>
      </c>
      <c r="G275" s="2">
        <f ca="1">VLOOKUP(A275,Sheet2!C:E,3,0)</f>
        <v>0</v>
      </c>
      <c r="H275" s="2" t="str">
        <f ca="1">VLOOKUP(A275,Sheet2!A:F,6,0)</f>
        <v>smahmoudnagaty@gmail.com</v>
      </c>
      <c r="I275" s="2" t="str">
        <f ca="1">VLOOKUP(A275,Sheet2!C:G,5,0)</f>
        <v>01125927483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3" t="s">
        <v>300</v>
      </c>
      <c r="B276" s="1">
        <v>213156056568</v>
      </c>
      <c r="C276" s="1" t="s">
        <v>301</v>
      </c>
      <c r="D276" s="1" t="s">
        <v>25</v>
      </c>
      <c r="E276" s="1" t="s">
        <v>14</v>
      </c>
      <c r="F276" s="4" t="str">
        <f ca="1">VLOOKUP(A276,Sheet2!C:D,2,0)</f>
        <v>1911</v>
      </c>
      <c r="G276" s="2">
        <f ca="1">VLOOKUP(A276,Sheet2!C:E,3,0)</f>
        <v>0</v>
      </c>
      <c r="H276" s="2" t="str">
        <f ca="1">VLOOKUP(A276,Sheet2!A:F,6,0)</f>
        <v>jess.hisham@gmail.com</v>
      </c>
      <c r="I276" s="2" t="str">
        <f ca="1">VLOOKUP(A276,Sheet2!C:G,5,0)</f>
        <v>01000347446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3" t="s">
        <v>302</v>
      </c>
      <c r="B277" s="1">
        <v>718163107616</v>
      </c>
      <c r="C277" s="1" t="s">
        <v>301</v>
      </c>
      <c r="D277" s="1" t="s">
        <v>25</v>
      </c>
      <c r="E277" s="1" t="s">
        <v>14</v>
      </c>
      <c r="F277" s="4" t="str">
        <f ca="1">VLOOKUP(A277,Sheet2!C:D,2,0)</f>
        <v>1942</v>
      </c>
      <c r="G277" s="2">
        <f ca="1">VLOOKUP(A277,Sheet2!C:E,3,0)</f>
        <v>0</v>
      </c>
      <c r="H277" s="2" t="str">
        <f ca="1">VLOOKUP(A277,Sheet2!A:F,6,0)</f>
        <v>hossamhs2@gmail.com</v>
      </c>
      <c r="I277" s="2" t="str">
        <f ca="1">VLOOKUP(A277,Sheet2!C:G,5,0)</f>
        <v>01140444210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3" t="s">
        <v>303</v>
      </c>
      <c r="B278" s="1">
        <v>506129791876</v>
      </c>
      <c r="C278" s="1" t="s">
        <v>301</v>
      </c>
      <c r="D278" s="1" t="s">
        <v>25</v>
      </c>
      <c r="E278" s="1" t="s">
        <v>12</v>
      </c>
      <c r="F278" s="4">
        <f ca="1">VLOOKUP(A278,Sheet2!C:D,2,0)</f>
        <v>2306</v>
      </c>
      <c r="G278" s="2">
        <f ca="1">VLOOKUP(A278,Sheet2!C:E,3,0)</f>
        <v>0</v>
      </c>
      <c r="H278" s="2" t="str">
        <f ca="1">VLOOKUP(A278,Sheet2!A:F,6,0)</f>
        <v>etimadwasef.hurg@gmail.com</v>
      </c>
      <c r="I278" s="2" t="str">
        <f ca="1">VLOOKUP(A278,Sheet2!C:G,5,0)</f>
        <v>01206008424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3" t="s">
        <v>304</v>
      </c>
      <c r="B279" s="1">
        <v>272137480185</v>
      </c>
      <c r="C279" s="1" t="s">
        <v>301</v>
      </c>
      <c r="D279" s="1" t="s">
        <v>25</v>
      </c>
      <c r="E279" s="1" t="s">
        <v>14</v>
      </c>
      <c r="F279" s="2">
        <f ca="1">VLOOKUP(A279,Sheet2!C:D,2,0)</f>
        <v>2358</v>
      </c>
      <c r="G279" s="2" t="str">
        <f ca="1">VLOOKUP(A279,Sheet2!C:E,3,0)</f>
        <v>EG07-EG08-EG09-EG10-EG11</v>
      </c>
      <c r="H279" s="2" t="str">
        <f ca="1">VLOOKUP(A279,Sheet2!A:F,6,0)</f>
        <v>magdi.younis@yahoo.com</v>
      </c>
      <c r="I279" s="2">
        <f ca="1">VLOOKUP(A279,Sheet2!C:G,5,0)</f>
        <v>1097660471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3" t="s">
        <v>305</v>
      </c>
      <c r="B280" s="1">
        <v>146150758976</v>
      </c>
      <c r="C280" s="1" t="s">
        <v>301</v>
      </c>
      <c r="D280" s="1" t="s">
        <v>25</v>
      </c>
      <c r="E280" s="1" t="s">
        <v>14</v>
      </c>
      <c r="F280" s="2">
        <f ca="1">VLOOKUP(A280,Sheet2!C:D,2,0)</f>
        <v>2375</v>
      </c>
      <c r="G280" s="2" t="str">
        <f ca="1">VLOOKUP(A280,Sheet2!C:E,3,0)</f>
        <v>EG04-EG05-EG06-EG07-EG08-EG09</v>
      </c>
      <c r="H280" s="2" t="str">
        <f ca="1">VLOOKUP(A280,Sheet2!A:F,6,0)</f>
        <v>emanyassen175@gmail.com</v>
      </c>
      <c r="I280" s="2" t="str">
        <f ca="1">VLOOKUP(A280,Sheet2!C:G,5,0)</f>
        <v>01124999968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3" t="s">
        <v>306</v>
      </c>
      <c r="B281" s="1">
        <v>969125749578</v>
      </c>
      <c r="C281" s="1" t="s">
        <v>301</v>
      </c>
      <c r="D281" s="1" t="s">
        <v>25</v>
      </c>
      <c r="E281" s="1" t="s">
        <v>14</v>
      </c>
      <c r="F281" s="2">
        <f ca="1">VLOOKUP(A281,Sheet2!C:D,2,0)</f>
        <v>2398</v>
      </c>
      <c r="G281" s="2" t="str">
        <f ca="1">VLOOKUP(A281,Sheet2!C:E,3,0)</f>
        <v>EG04-EG05-EG06-EG07-EG08-EG09</v>
      </c>
      <c r="H281" s="2" t="str">
        <f ca="1">VLOOKUP(A281,Sheet2!A:F,6,0)</f>
        <v>greenocean1221@gmail.com</v>
      </c>
      <c r="I281" s="2" t="str">
        <f ca="1">VLOOKUP(A281,Sheet2!C:G,5,0)</f>
        <v>01004480246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3" t="s">
        <v>307</v>
      </c>
      <c r="B282" s="1">
        <v>304190123013</v>
      </c>
      <c r="C282" s="1" t="s">
        <v>301</v>
      </c>
      <c r="D282" s="1" t="s">
        <v>25</v>
      </c>
      <c r="E282" s="1" t="s">
        <v>12</v>
      </c>
      <c r="F282" s="2">
        <f ca="1">VLOOKUP(A282,Sheet2!C:D,2,0)</f>
        <v>2420</v>
      </c>
      <c r="G282" s="2" t="str">
        <f ca="1">VLOOKUP(A282,Sheet2!C:E,3,0)</f>
        <v>EG04-EG05-EG06-EG07-EG08-EG09-EG10</v>
      </c>
      <c r="H282" s="2" t="str">
        <f ca="1">VLOOKUP(A282,Sheet2!A:F,6,0)</f>
        <v>abderrahman.adel1994@gmail.com</v>
      </c>
      <c r="I282" s="2" t="str">
        <f ca="1">VLOOKUP(A282,Sheet2!C:G,5,0)</f>
        <v>01023436456 - 01121192433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3" t="s">
        <v>308</v>
      </c>
      <c r="B283" s="1">
        <v>618181648630</v>
      </c>
      <c r="C283" s="1" t="s">
        <v>301</v>
      </c>
      <c r="D283" s="1" t="s">
        <v>25</v>
      </c>
      <c r="E283" s="1" t="s">
        <v>14</v>
      </c>
      <c r="F283" s="2">
        <f ca="1">VLOOKUP(A283,Sheet2!C:D,2,0)</f>
        <v>2373</v>
      </c>
      <c r="G283" s="2" t="str">
        <f ca="1">VLOOKUP(A283,Sheet2!C:E,3,0)</f>
        <v>EG04-EG05-EG06-EG07-EG08-EG09</v>
      </c>
      <c r="H283" s="2" t="str">
        <f ca="1">VLOOKUP(A283,Sheet2!A:F,6,0)</f>
        <v>samyalhadad1971@gmail.com</v>
      </c>
      <c r="I283" s="2" t="str">
        <f ca="1">VLOOKUP(A283,Sheet2!C:G,5,0)</f>
        <v>0127 6656531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3" t="s">
        <v>309</v>
      </c>
      <c r="B284" s="1">
        <v>864160753024</v>
      </c>
      <c r="C284" s="1" t="s">
        <v>301</v>
      </c>
      <c r="D284" s="1" t="s">
        <v>25</v>
      </c>
      <c r="E284" s="1" t="s">
        <v>14</v>
      </c>
      <c r="F284" s="2">
        <f ca="1">VLOOKUP(A284,Sheet2!C:D,2,0)</f>
        <v>2424</v>
      </c>
      <c r="G284" s="2" t="str">
        <f ca="1">VLOOKUP(A284,Sheet2!C:E,3,0)</f>
        <v>EG07-EG08-EG09-EG10-EG11</v>
      </c>
      <c r="H284" s="2" t="str">
        <f ca="1">VLOOKUP(A284,Sheet2!A:F,6,0)</f>
        <v>abdollahbakry84@gmail.com</v>
      </c>
      <c r="I284" s="2" t="str">
        <f ca="1">VLOOKUP(A284,Sheet2!C:G,5,0)</f>
        <v>01280483249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3" t="s">
        <v>310</v>
      </c>
      <c r="B285" s="1">
        <v>707135059424</v>
      </c>
      <c r="C285" s="1" t="s">
        <v>301</v>
      </c>
      <c r="D285" s="1" t="s">
        <v>25</v>
      </c>
      <c r="E285" s="1" t="s">
        <v>14</v>
      </c>
      <c r="F285" s="2">
        <f ca="1">VLOOKUP(A285,Sheet2!C:D,2,0)</f>
        <v>2497</v>
      </c>
      <c r="G285" s="2" t="str">
        <f ca="1">VLOOKUP(A285,Sheet2!C:E,3,0)</f>
        <v>EG07-EG08-EG09-EG10-EG11-EG12</v>
      </c>
      <c r="H285" s="2" t="str">
        <f ca="1">VLOOKUP(A285,Sheet2!A:F,6,0)</f>
        <v>rzsa33@gmail.com</v>
      </c>
      <c r="I285" s="2" t="str">
        <f ca="1">VLOOKUP(A285,Sheet2!C:G,5,0)</f>
        <v>01228046146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3" t="s">
        <v>311</v>
      </c>
      <c r="B286" s="1">
        <v>206148501987</v>
      </c>
      <c r="C286" s="1" t="s">
        <v>301</v>
      </c>
      <c r="D286" s="1" t="s">
        <v>25</v>
      </c>
      <c r="E286" s="1" t="s">
        <v>14</v>
      </c>
      <c r="F286" s="2">
        <f ca="1">VLOOKUP(A286,Sheet2!C:D,2,0)</f>
        <v>2496</v>
      </c>
      <c r="G286" s="2" t="str">
        <f ca="1">VLOOKUP(A286,Sheet2!C:E,3,0)</f>
        <v>EG07-EG08-EG09-EG10</v>
      </c>
      <c r="H286" s="2" t="str">
        <f ca="1">VLOOKUP(A286,Sheet2!A:F,6,0)</f>
        <v>aabdelwanis10@gmail.com</v>
      </c>
      <c r="I286" s="2" t="str">
        <f ca="1">VLOOKUP(A286,Sheet2!C:G,5,0)</f>
        <v>01277938694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3" t="s">
        <v>312</v>
      </c>
      <c r="B287" s="1">
        <v>809150758018</v>
      </c>
      <c r="C287" s="1" t="s">
        <v>301</v>
      </c>
      <c r="D287" s="1" t="s">
        <v>25</v>
      </c>
      <c r="E287" s="1" t="s">
        <v>14</v>
      </c>
      <c r="F287" s="2">
        <f ca="1">VLOOKUP(A287,Sheet2!C:D,2,0)</f>
        <v>2564</v>
      </c>
      <c r="G287" s="2" t="str">
        <f ca="1">VLOOKUP(A287,Sheet2!C:E,3,0)</f>
        <v>EG07-EG08-EG09-EG10-EG11-EG12</v>
      </c>
      <c r="H287" s="2" t="str">
        <f ca="1">VLOOKUP(A287,Sheet2!A:F,6,0)</f>
        <v>mm.hh7238@gmail.com</v>
      </c>
      <c r="I287" s="2" t="str">
        <f ca="1">VLOOKUP(A287,Sheet2!C:G,5,0)</f>
        <v>01098964450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3" t="s">
        <v>313</v>
      </c>
      <c r="B288" s="1">
        <v>816138159850</v>
      </c>
      <c r="C288" s="1" t="s">
        <v>301</v>
      </c>
      <c r="D288" s="1" t="s">
        <v>25</v>
      </c>
      <c r="E288" s="1" t="s">
        <v>14</v>
      </c>
      <c r="F288" s="2">
        <f ca="1">VLOOKUP(A288,Sheet2!C:D,2,0)</f>
        <v>2661</v>
      </c>
      <c r="G288" s="2" t="str">
        <f ca="1">VLOOKUP(A288,Sheet2!C:E,3,0)</f>
        <v>EG07-EG08-EG09-EG10-EG11</v>
      </c>
      <c r="H288" s="2" t="str">
        <f ca="1">VLOOKUP(A288,Sheet2!A:F,6,0)</f>
        <v>abouelhassan777@gmail.com</v>
      </c>
      <c r="I288" s="2" t="str">
        <f ca="1">VLOOKUP(A288,Sheet2!C:G,5,0)</f>
        <v>01143319486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3" t="s">
        <v>314</v>
      </c>
      <c r="B289" s="1">
        <v>840176714634</v>
      </c>
      <c r="C289" s="1" t="s">
        <v>301</v>
      </c>
      <c r="D289" s="1" t="s">
        <v>25</v>
      </c>
      <c r="E289" s="1" t="s">
        <v>12</v>
      </c>
      <c r="F289" s="2">
        <f ca="1">VLOOKUP(A289,Sheet2!C:D,2,0)</f>
        <v>2584</v>
      </c>
      <c r="G289" s="2" t="str">
        <f ca="1">VLOOKUP(A289,Sheet2!C:E,3,0)</f>
        <v>EG07-EG08-EG09-EG10-EG11-EG12</v>
      </c>
      <c r="H289" s="2" t="str">
        <f ca="1">VLOOKUP(A289,Sheet2!A:F,6,0)</f>
        <v>ali.tantawy10@icloud.com</v>
      </c>
      <c r="I289" s="2" t="str">
        <f ca="1">VLOOKUP(A289,Sheet2!C:G,5,0)</f>
        <v>01069571410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3" t="s">
        <v>315</v>
      </c>
      <c r="B290" s="1">
        <v>270138641795</v>
      </c>
      <c r="C290" s="1" t="s">
        <v>301</v>
      </c>
      <c r="D290" s="1" t="s">
        <v>25</v>
      </c>
      <c r="E290" s="1" t="s">
        <v>14</v>
      </c>
      <c r="F290" s="2">
        <f ca="1">VLOOKUP(A290,Sheet2!C:D,2,0)</f>
        <v>2612</v>
      </c>
      <c r="G290" s="2" t="str">
        <f ca="1">VLOOKUP(A290,Sheet2!C:E,3,0)</f>
        <v>EG07-EG08-EG09</v>
      </c>
      <c r="H290" s="2" t="str">
        <f ca="1">VLOOKUP(A290,Sheet2!A:F,6,0)</f>
        <v>dr.english007@gmail.com</v>
      </c>
      <c r="I290" s="2">
        <f ca="1">VLOOKUP(A290,Sheet2!C:G,5,0)</f>
        <v>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3" t="s">
        <v>316</v>
      </c>
      <c r="B291" s="1">
        <v>623198675307</v>
      </c>
      <c r="C291" s="1" t="s">
        <v>301</v>
      </c>
      <c r="D291" s="1" t="s">
        <v>25</v>
      </c>
      <c r="E291" s="1" t="s">
        <v>12</v>
      </c>
      <c r="F291" s="2">
        <f ca="1">VLOOKUP(A291,Sheet2!C:D,2,0)</f>
        <v>2613</v>
      </c>
      <c r="G291" s="2" t="str">
        <f ca="1">VLOOKUP(A291,Sheet2!C:E,3,0)</f>
        <v>EG07-EG08-EG09</v>
      </c>
      <c r="H291" s="2" t="str">
        <f ca="1">VLOOKUP(A291,Sheet2!A:F,6,0)</f>
        <v>emanalaahassan@gmail.com</v>
      </c>
      <c r="I291" s="2" t="str">
        <f ca="1">VLOOKUP(A291,Sheet2!C:G,5,0)</f>
        <v>01092570623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3" t="s">
        <v>317</v>
      </c>
      <c r="B292" s="1">
        <v>972107636075</v>
      </c>
      <c r="C292" s="1" t="s">
        <v>301</v>
      </c>
      <c r="D292" s="1" t="s">
        <v>25</v>
      </c>
      <c r="E292" s="1" t="s">
        <v>14</v>
      </c>
      <c r="F292" s="2">
        <f ca="1">VLOOKUP(A292,Sheet2!C:D,2,0)</f>
        <v>2621</v>
      </c>
      <c r="G292" s="2" t="str">
        <f ca="1">VLOOKUP(A292,Sheet2!C:E,3,0)</f>
        <v>EG07-EG08-EG09-EG10-EG11-EG12</v>
      </c>
      <c r="H292" s="2" t="str">
        <f ca="1">VLOOKUP(A292,Sheet2!A:F,6,0)</f>
        <v>nohaabdelrahman840@gmail.com</v>
      </c>
      <c r="I292" s="2">
        <f ca="1">VLOOKUP(A292,Sheet2!C:G,5,0)</f>
        <v>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3" t="s">
        <v>318</v>
      </c>
      <c r="B293" s="1">
        <v>164181742498</v>
      </c>
      <c r="C293" s="1" t="s">
        <v>301</v>
      </c>
      <c r="D293" s="1" t="s">
        <v>25</v>
      </c>
      <c r="E293" s="1" t="s">
        <v>14</v>
      </c>
      <c r="F293" s="2">
        <f ca="1">VLOOKUP(A293,Sheet2!C:D,2,0)</f>
        <v>2554</v>
      </c>
      <c r="G293" s="2" t="str">
        <f ca="1">VLOOKUP(A293,Sheet2!C:E,3,0)</f>
        <v>EG07-EG08</v>
      </c>
      <c r="H293" s="2" t="str">
        <f ca="1">VLOOKUP(A293,Sheet2!A:F,6,0)</f>
        <v>catherinezaki90@gmail.com</v>
      </c>
      <c r="I293" s="2">
        <f ca="1">VLOOKUP(A293,Sheet2!C:G,5,0)</f>
        <v>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3" t="s">
        <v>319</v>
      </c>
      <c r="B294" s="1">
        <v>576150576975</v>
      </c>
      <c r="C294" s="1" t="s">
        <v>301</v>
      </c>
      <c r="D294" s="1" t="s">
        <v>25</v>
      </c>
      <c r="E294" s="1" t="s">
        <v>14</v>
      </c>
      <c r="F294" s="2">
        <f ca="1">VLOOKUP(A294,Sheet2!C:D,2,0)</f>
        <v>2615</v>
      </c>
      <c r="G294" s="2" t="str">
        <f ca="1">VLOOKUP(A294,Sheet2!C:E,3,0)</f>
        <v>EG07-EG08-EG09</v>
      </c>
      <c r="H294" s="2" t="str">
        <f ca="1">VLOOKUP(A294,Sheet2!A:F,6,0)</f>
        <v>michel.emad17@gmail.com</v>
      </c>
      <c r="I294" s="2">
        <f ca="1">VLOOKUP(A294,Sheet2!C:G,5,0)</f>
        <v>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3" t="s">
        <v>320</v>
      </c>
      <c r="B295" s="1">
        <v>430136109307</v>
      </c>
      <c r="C295" s="1" t="s">
        <v>301</v>
      </c>
      <c r="D295" s="1" t="s">
        <v>25</v>
      </c>
      <c r="E295" s="1" t="s">
        <v>14</v>
      </c>
      <c r="F295" s="2">
        <f ca="1">VLOOKUP(A295,Sheet2!C:D,2,0)</f>
        <v>2664</v>
      </c>
      <c r="G295" s="2" t="str">
        <f ca="1">VLOOKUP(A295,Sheet2!C:E,3,0)</f>
        <v xml:space="preserve">EG07-EG08-EG09 </v>
      </c>
      <c r="H295" s="2" t="str">
        <f ca="1">VLOOKUP(A295,Sheet2!A:F,6,0)</f>
        <v>abdelaalhalawa@gmail.com</v>
      </c>
      <c r="I295" s="2" t="str">
        <f ca="1">VLOOKUP(A295,Sheet2!C:G,5,0)</f>
        <v>01227050389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3" t="s">
        <v>321</v>
      </c>
      <c r="B296" s="1">
        <v>147134575647</v>
      </c>
      <c r="C296" s="1" t="s">
        <v>301</v>
      </c>
      <c r="D296" s="1" t="s">
        <v>25</v>
      </c>
      <c r="E296" s="1" t="s">
        <v>14</v>
      </c>
      <c r="F296" s="2">
        <f ca="1">VLOOKUP(A296,Sheet2!C:D,2,0)</f>
        <v>2611</v>
      </c>
      <c r="G296" s="2" t="str">
        <f ca="1">VLOOKUP(A296,Sheet2!C:E,3,0)</f>
        <v>EG07-EG08-EG09</v>
      </c>
      <c r="H296" s="2" t="str">
        <f ca="1">VLOOKUP(A296,Sheet2!A:F,6,0)</f>
        <v>hebagamal121@gmail.com</v>
      </c>
      <c r="I296" s="2">
        <f ca="1">VLOOKUP(A296,Sheet2!C:G,5,0)</f>
        <v>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3" t="s">
        <v>322</v>
      </c>
      <c r="B297" s="1">
        <v>615125769823</v>
      </c>
      <c r="C297" s="1" t="s">
        <v>301</v>
      </c>
      <c r="D297" s="1" t="s">
        <v>25</v>
      </c>
      <c r="E297" s="1" t="s">
        <v>14</v>
      </c>
      <c r="F297" s="2">
        <f ca="1">VLOOKUP(A297,Sheet2!C:D,2,0)</f>
        <v>2660</v>
      </c>
      <c r="G297" s="2" t="str">
        <f ca="1">VLOOKUP(A297,Sheet2!C:E,3,0)</f>
        <v>EG07-EG08-EG09-EG10-EG11-EG12</v>
      </c>
      <c r="H297" s="2" t="str">
        <f ca="1">VLOOKUP(A297,Sheet2!A:F,6,0)</f>
        <v>suzanabdelfattah997@gmail.com</v>
      </c>
      <c r="I297" s="2">
        <f ca="1">VLOOKUP(A297,Sheet2!C:G,5,0)</f>
        <v>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3" t="s">
        <v>323</v>
      </c>
      <c r="B298" s="1">
        <v>502143048426</v>
      </c>
      <c r="C298" s="1" t="s">
        <v>301</v>
      </c>
      <c r="D298" s="1" t="s">
        <v>25</v>
      </c>
      <c r="E298" s="1" t="s">
        <v>14</v>
      </c>
      <c r="F298" s="2">
        <f ca="1">VLOOKUP(A298,Sheet2!C:D,2,0)</f>
        <v>2700</v>
      </c>
      <c r="G298" s="2" t="str">
        <f ca="1">VLOOKUP(A298,Sheet2!C:E,3,0)</f>
        <v>EG07-EG08-EG09-EG10-EG11-EG12</v>
      </c>
      <c r="H298" s="2" t="str">
        <f ca="1">VLOOKUP(A298,Sheet2!A:F,6,0)</f>
        <v>amirayounes800@gmail.com</v>
      </c>
      <c r="I298" s="2">
        <f ca="1">VLOOKUP(A298,Sheet2!C:G,5,0)</f>
        <v>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3" t="s">
        <v>324</v>
      </c>
      <c r="B299" s="1">
        <v>625156230340</v>
      </c>
      <c r="C299" s="1" t="s">
        <v>301</v>
      </c>
      <c r="D299" s="1" t="s">
        <v>25</v>
      </c>
      <c r="E299" s="1" t="s">
        <v>12</v>
      </c>
      <c r="F299" s="2">
        <f ca="1">VLOOKUP(A299,Sheet2!C:D,2,0)</f>
        <v>2620</v>
      </c>
      <c r="G299" s="2" t="str">
        <f ca="1">VLOOKUP(A299,Sheet2!C:E,3,0)</f>
        <v>EG07-EG08-EG09</v>
      </c>
      <c r="H299" s="2" t="str">
        <f ca="1">VLOOKUP(A299,Sheet2!A:F,6,0)</f>
        <v>7kheir@gmail.com</v>
      </c>
      <c r="I299" s="2" t="str">
        <f ca="1">VLOOKUP(A299,Sheet2!C:G,5,0)</f>
        <v>01040261145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3" t="s">
        <v>325</v>
      </c>
      <c r="B300" s="1">
        <v>698108096794</v>
      </c>
      <c r="C300" s="1" t="s">
        <v>301</v>
      </c>
      <c r="D300" s="1" t="s">
        <v>47</v>
      </c>
      <c r="E300" s="1" t="s">
        <v>14</v>
      </c>
      <c r="F300" s="4" t="str">
        <f ca="1">VLOOKUP(A300,Sheet2!C:D,2,0)</f>
        <v>1776</v>
      </c>
      <c r="G300" s="2">
        <f ca="1">VLOOKUP(A300,Sheet2!C:E,3,0)</f>
        <v>0</v>
      </c>
      <c r="H300" s="2" t="str">
        <f ca="1">VLOOKUP(A300,Sheet2!A:F,6,0)</f>
        <v>seniormaths25@gmail.com</v>
      </c>
      <c r="I300" s="2" t="str">
        <f ca="1">VLOOKUP(A300,Sheet2!C:G,5,0)</f>
        <v>01129242524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3" t="s">
        <v>326</v>
      </c>
      <c r="B301" s="1">
        <v>493132436783</v>
      </c>
      <c r="C301" s="1" t="s">
        <v>301</v>
      </c>
      <c r="D301" s="1" t="s">
        <v>47</v>
      </c>
      <c r="E301" s="1" t="s">
        <v>12</v>
      </c>
      <c r="F301" s="4" t="str">
        <f ca="1">VLOOKUP(A301,Sheet2!C:D,2,0)</f>
        <v>1847</v>
      </c>
      <c r="G301" s="2">
        <f ca="1">VLOOKUP(A301,Sheet2!C:E,3,0)</f>
        <v>0</v>
      </c>
      <c r="H301" s="2" t="str">
        <f ca="1">VLOOKUP(A301,Sheet2!A:F,6,0)</f>
        <v>mathteacher37age@gmail.com</v>
      </c>
      <c r="I301" s="2" t="str">
        <f ca="1">VLOOKUP(A301,Sheet2!C:G,5,0)</f>
        <v>01068212833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3" t="s">
        <v>327</v>
      </c>
      <c r="B302" s="1">
        <v>490182879383</v>
      </c>
      <c r="C302" s="1" t="s">
        <v>301</v>
      </c>
      <c r="D302" s="1" t="s">
        <v>47</v>
      </c>
      <c r="E302" s="1" t="s">
        <v>14</v>
      </c>
      <c r="F302" s="4" t="str">
        <f ca="1">VLOOKUP(A302,Sheet2!C:D,2,0)</f>
        <v>1848</v>
      </c>
      <c r="G302" s="2">
        <f ca="1">VLOOKUP(A302,Sheet2!C:E,3,0)</f>
        <v>0</v>
      </c>
      <c r="H302" s="2" t="str">
        <f ca="1">VLOOKUP(A302,Sheet2!A:F,6,0)</f>
        <v>ahmad.azaba@yahoo.com</v>
      </c>
      <c r="I302" s="2" t="str">
        <f ca="1">VLOOKUP(A302,Sheet2!C:G,5,0)</f>
        <v>01154891562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3" t="s">
        <v>328</v>
      </c>
      <c r="B303" s="1">
        <v>512143279207</v>
      </c>
      <c r="C303" s="1" t="s">
        <v>301</v>
      </c>
      <c r="D303" s="1" t="s">
        <v>47</v>
      </c>
      <c r="E303" s="1" t="s">
        <v>14</v>
      </c>
      <c r="F303" s="4" t="str">
        <f ca="1">VLOOKUP(A303,Sheet2!C:D,2,0)</f>
        <v>1901</v>
      </c>
      <c r="G303" s="2">
        <f ca="1">VLOOKUP(A303,Sheet2!C:E,3,0)</f>
        <v>0</v>
      </c>
      <c r="H303" s="2" t="str">
        <f ca="1">VLOOKUP(A303,Sheet2!A:F,6,0)</f>
        <v>mr.eslamelsyed@gmail.com</v>
      </c>
      <c r="I303" s="2" t="str">
        <f ca="1">VLOOKUP(A303,Sheet2!C:G,5,0)</f>
        <v>01004928895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3" t="s">
        <v>329</v>
      </c>
      <c r="B304" s="1">
        <v>289190751325</v>
      </c>
      <c r="C304" s="1" t="s">
        <v>301</v>
      </c>
      <c r="D304" s="1" t="s">
        <v>47</v>
      </c>
      <c r="E304" s="1" t="s">
        <v>14</v>
      </c>
      <c r="F304" s="4" t="str">
        <f ca="1">VLOOKUP(A304,Sheet2!C:D,2,0)</f>
        <v>1959</v>
      </c>
      <c r="G304" s="2">
        <f ca="1">VLOOKUP(A304,Sheet2!C:E,3,0)</f>
        <v>0</v>
      </c>
      <c r="H304" s="2" t="str">
        <f ca="1">VLOOKUP(A304,Sheet2!A:F,6,0)</f>
        <v>maged0bebawy@gmail.com</v>
      </c>
      <c r="I304" s="2" t="str">
        <f ca="1">VLOOKUP(A304,Sheet2!C:G,5,0)</f>
        <v>01271303012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3" t="s">
        <v>330</v>
      </c>
      <c r="B305" s="1">
        <v>270108515474</v>
      </c>
      <c r="C305" s="1" t="s">
        <v>301</v>
      </c>
      <c r="D305" s="1" t="s">
        <v>47</v>
      </c>
      <c r="E305" s="1" t="s">
        <v>14</v>
      </c>
      <c r="F305" s="4" t="str">
        <f ca="1">VLOOKUP(A305,Sheet2!C:D,2,0)</f>
        <v>2052</v>
      </c>
      <c r="G305" s="2">
        <f ca="1">VLOOKUP(A305,Sheet2!C:E,3,0)</f>
        <v>0</v>
      </c>
      <c r="H305" s="2" t="str">
        <f ca="1">VLOOKUP(A305,Sheet2!A:F,6,0)</f>
        <v>galalmohamed33@gmail.com</v>
      </c>
      <c r="I305" s="2" t="str">
        <f ca="1">VLOOKUP(A305,Sheet2!C:G,5,0)</f>
        <v>+201069423949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3" t="s">
        <v>331</v>
      </c>
      <c r="B306" s="1">
        <v>134186426410</v>
      </c>
      <c r="C306" s="1" t="s">
        <v>301</v>
      </c>
      <c r="D306" s="1" t="s">
        <v>47</v>
      </c>
      <c r="E306" s="1" t="s">
        <v>14</v>
      </c>
      <c r="F306" s="2">
        <f ca="1">VLOOKUP(A306,Sheet2!C:D,2,0)</f>
        <v>2046</v>
      </c>
      <c r="G306" s="2" t="str">
        <f ca="1">VLOOKUP(A306,Sheet2!C:E,3,0)</f>
        <v>EG07-EG08-EG09</v>
      </c>
      <c r="H306" s="2" t="str">
        <f ca="1">VLOOKUP(A306,Sheet2!A:F,6,0)</f>
        <v>a0112020620@gmail.com</v>
      </c>
      <c r="I306" s="2" t="str">
        <f ca="1">VLOOKUP(A306,Sheet2!C:G,5,0)</f>
        <v>01224567255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3" t="s">
        <v>332</v>
      </c>
      <c r="B307" s="1">
        <v>402149131917</v>
      </c>
      <c r="C307" s="1" t="s">
        <v>301</v>
      </c>
      <c r="D307" s="1" t="s">
        <v>47</v>
      </c>
      <c r="E307" s="1" t="s">
        <v>14</v>
      </c>
      <c r="F307" s="2">
        <f ca="1">VLOOKUP(A307,Sheet2!C:D,2,0)</f>
        <v>2073</v>
      </c>
      <c r="G307" s="2">
        <f ca="1">VLOOKUP(A307,Sheet2!C:E,3,0)</f>
        <v>0</v>
      </c>
      <c r="H307" s="2" t="str">
        <f ca="1">VLOOKUP(A307,Sheet2!A:F,6,0)</f>
        <v>hodaaly3008@gmail.com</v>
      </c>
      <c r="I307" s="2" t="str">
        <f ca="1">VLOOKUP(A307,Sheet2!C:G,5,0)</f>
        <v>01208548997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3" t="s">
        <v>333</v>
      </c>
      <c r="B308" s="1">
        <v>462139893202</v>
      </c>
      <c r="C308" s="1" t="s">
        <v>301</v>
      </c>
      <c r="D308" s="1" t="s">
        <v>47</v>
      </c>
      <c r="E308" s="1" t="s">
        <v>14</v>
      </c>
      <c r="F308" s="2">
        <f ca="1">VLOOKUP(A308,Sheet2!C:D,2,0)</f>
        <v>2413</v>
      </c>
      <c r="G308" s="2" t="str">
        <f ca="1">VLOOKUP(A308,Sheet2!C:E,3,0)</f>
        <v>EG07-EG08-EG09</v>
      </c>
      <c r="H308" s="2" t="str">
        <f ca="1">VLOOKUP(A308,Sheet2!A:F,6,0)</f>
        <v>marwa.kamal.core@gmail.com</v>
      </c>
      <c r="I308" s="2" t="str">
        <f ca="1">VLOOKUP(A308,Sheet2!C:G,5,0)</f>
        <v>01112024700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3" t="s">
        <v>334</v>
      </c>
      <c r="B309" s="1">
        <v>828145048729</v>
      </c>
      <c r="C309" s="1" t="s">
        <v>301</v>
      </c>
      <c r="D309" s="1" t="s">
        <v>47</v>
      </c>
      <c r="E309" s="1" t="s">
        <v>14</v>
      </c>
      <c r="F309" s="2">
        <f ca="1">VLOOKUP(A309,Sheet2!C:D,2,0)</f>
        <v>2429</v>
      </c>
      <c r="G309" s="2" t="str">
        <f ca="1">VLOOKUP(A309,Sheet2!C:E,3,0)</f>
        <v>EG07-EG08-EG09</v>
      </c>
      <c r="H309" s="2" t="str">
        <f ca="1">VLOOKUP(A309,Sheet2!A:F,6,0)</f>
        <v>arakha119@gmail.com</v>
      </c>
      <c r="I309" s="2" t="str">
        <f ca="1">VLOOKUP(A309,Sheet2!C:G,5,0)</f>
        <v>01062336833 - 01229867543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3" t="s">
        <v>335</v>
      </c>
      <c r="B310" s="1">
        <v>619178602629</v>
      </c>
      <c r="C310" s="1" t="s">
        <v>301</v>
      </c>
      <c r="D310" s="1" t="s">
        <v>47</v>
      </c>
      <c r="E310" s="1" t="s">
        <v>12</v>
      </c>
      <c r="F310" s="2">
        <f ca="1">VLOOKUP(A310,Sheet2!C:D,2,0)</f>
        <v>2470</v>
      </c>
      <c r="G310" s="2" t="str">
        <f ca="1">VLOOKUP(A310,Sheet2!C:E,3,0)</f>
        <v>EG07-EG08-EG09</v>
      </c>
      <c r="H310" s="2" t="str">
        <f ca="1">VLOOKUP(A310,Sheet2!A:F,6,0)</f>
        <v>shaymaagaber.sg@gmail.com</v>
      </c>
      <c r="I310" s="2">
        <f ca="1">VLOOKUP(A310,Sheet2!C:G,5,0)</f>
        <v>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3" t="s">
        <v>336</v>
      </c>
      <c r="B311" s="1">
        <v>718123675934</v>
      </c>
      <c r="C311" s="1" t="s">
        <v>301</v>
      </c>
      <c r="D311" s="1" t="s">
        <v>47</v>
      </c>
      <c r="E311" s="1" t="s">
        <v>14</v>
      </c>
      <c r="F311" s="2">
        <f ca="1">VLOOKUP(A311,Sheet2!C:D,2,0)</f>
        <v>2449</v>
      </c>
      <c r="G311" s="2" t="str">
        <f ca="1">VLOOKUP(A311,Sheet2!C:E,3,0)</f>
        <v>EG07-EG08-EG09</v>
      </c>
      <c r="H311" s="2" t="str">
        <f ca="1">VLOOKUP(A311,Sheet2!A:F,6,0)</f>
        <v>mohamed.fahmy0190@gmail.com</v>
      </c>
      <c r="I311" s="2" t="str">
        <f ca="1">VLOOKUP(A311,Sheet2!C:G,5,0)</f>
        <v>01110995621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3" t="s">
        <v>337</v>
      </c>
      <c r="B312" s="1">
        <v>796147347235</v>
      </c>
      <c r="C312" s="1" t="s">
        <v>301</v>
      </c>
      <c r="D312" s="1" t="s">
        <v>47</v>
      </c>
      <c r="E312" s="1" t="s">
        <v>14</v>
      </c>
      <c r="F312" s="2">
        <f ca="1">VLOOKUP(A312,Sheet2!C:D,2,0)</f>
        <v>2457</v>
      </c>
      <c r="G312" s="2" t="str">
        <f ca="1">VLOOKUP(A312,Sheet2!C:E,3,0)</f>
        <v>EG07-EG08-EG09</v>
      </c>
      <c r="H312" s="2" t="str">
        <f ca="1">VLOOKUP(A312,Sheet2!A:F,6,0)</f>
        <v>rabiea1222@gmail.com</v>
      </c>
      <c r="I312" s="2" t="str">
        <f ca="1">VLOOKUP(A312,Sheet2!C:G,5,0)</f>
        <v>01095228365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3" t="s">
        <v>338</v>
      </c>
      <c r="B313" s="1">
        <v>186169282803</v>
      </c>
      <c r="C313" s="1" t="s">
        <v>301</v>
      </c>
      <c r="D313" s="1" t="s">
        <v>47</v>
      </c>
      <c r="E313" s="1" t="s">
        <v>14</v>
      </c>
      <c r="F313" s="2">
        <f ca="1">VLOOKUP(A313,Sheet2!C:D,2,0)</f>
        <v>2044</v>
      </c>
      <c r="G313" s="2" t="str">
        <f ca="1">VLOOKUP(A313,Sheet2!C:E,3,0)</f>
        <v>EG07-EG08-EG09</v>
      </c>
      <c r="H313" s="2" t="str">
        <f ca="1">VLOOKUP(A313,Sheet2!A:F,6,0)</f>
        <v>hossammath@yahoo.com</v>
      </c>
      <c r="I313" s="2" t="str">
        <f ca="1">VLOOKUP(A313,Sheet2!C:G,5,0)</f>
        <v>01006233576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3" t="s">
        <v>339</v>
      </c>
      <c r="B314" s="1">
        <v>403198357923</v>
      </c>
      <c r="C314" s="1" t="s">
        <v>301</v>
      </c>
      <c r="D314" s="1" t="s">
        <v>47</v>
      </c>
      <c r="E314" s="1" t="s">
        <v>12</v>
      </c>
      <c r="F314" s="2">
        <f ca="1">VLOOKUP(A314,Sheet2!C:D,2,0)</f>
        <v>2516</v>
      </c>
      <c r="G314" s="2" t="str">
        <f ca="1">VLOOKUP(A314,Sheet2!C:E,3,0)</f>
        <v>EG07-EG08-EG09</v>
      </c>
      <c r="H314" s="2" t="str">
        <f ca="1">VLOOKUP(A314,Sheet2!A:F,6,0)</f>
        <v>galalgalal185@gmail.com</v>
      </c>
      <c r="I314" s="2" t="str">
        <f ca="1">VLOOKUP(A314,Sheet2!C:G,5,0)</f>
        <v>01006486535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3" t="s">
        <v>340</v>
      </c>
      <c r="B315" s="1">
        <v>125147363253</v>
      </c>
      <c r="C315" s="1" t="s">
        <v>301</v>
      </c>
      <c r="D315" s="1" t="s">
        <v>47</v>
      </c>
      <c r="E315" s="1" t="s">
        <v>14</v>
      </c>
      <c r="F315" s="2">
        <f ca="1">VLOOKUP(A315,Sheet2!C:D,2,0)</f>
        <v>2050</v>
      </c>
      <c r="G315" s="2" t="str">
        <f ca="1">VLOOKUP(A315,Sheet2!C:E,3,0)</f>
        <v>EG07-EG08-EG09</v>
      </c>
      <c r="H315" s="2" t="str">
        <f ca="1">VLOOKUP(A315,Sheet2!A:F,6,0)</f>
        <v>mrsherifsalah85@gmail.com</v>
      </c>
      <c r="I315" s="2" t="str">
        <f ca="1">VLOOKUP(A315,Sheet2!C:G,5,0)</f>
        <v>01020165124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3" t="s">
        <v>341</v>
      </c>
      <c r="B316" s="1">
        <v>485171368085</v>
      </c>
      <c r="C316" s="1" t="s">
        <v>301</v>
      </c>
      <c r="D316" s="1" t="s">
        <v>47</v>
      </c>
      <c r="E316" s="1" t="s">
        <v>12</v>
      </c>
      <c r="F316" s="2">
        <f ca="1">VLOOKUP(A316,Sheet2!C:D,2,0)</f>
        <v>2566</v>
      </c>
      <c r="G316" s="2" t="str">
        <f ca="1">VLOOKUP(A316,Sheet2!C:E,3,0)</f>
        <v>EG07-EG08-EG09</v>
      </c>
      <c r="H316" s="2" t="str">
        <f ca="1">VLOOKUP(A316,Sheet2!A:F,6,0)</f>
        <v>sally.khalledsamy@outlook.com</v>
      </c>
      <c r="I316" s="2" t="str">
        <f ca="1">VLOOKUP(A316,Sheet2!C:G,5,0)</f>
        <v>01149979990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3" t="s">
        <v>342</v>
      </c>
      <c r="B317" s="1">
        <v>876195784914</v>
      </c>
      <c r="C317" s="1" t="s">
        <v>301</v>
      </c>
      <c r="D317" s="1" t="s">
        <v>47</v>
      </c>
      <c r="E317" s="1" t="s">
        <v>12</v>
      </c>
      <c r="F317" s="2">
        <f ca="1">VLOOKUP(A317,Sheet2!C:D,2,0)</f>
        <v>2553</v>
      </c>
      <c r="G317" s="2" t="str">
        <f ca="1">VLOOKUP(A317,Sheet2!C:E,3,0)</f>
        <v>EG07-EG08-EG09</v>
      </c>
      <c r="H317" s="2" t="str">
        <f ca="1">VLOOKUP(A317,Sheet2!A:F,6,0)</f>
        <v>dr.eslam.h.i@gmail.com</v>
      </c>
      <c r="I317" s="2" t="str">
        <f ca="1">VLOOKUP(A317,Sheet2!C:G,5,0)</f>
        <v>01002501821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3" t="s">
        <v>343</v>
      </c>
      <c r="B318" s="1">
        <v>472125058909</v>
      </c>
      <c r="C318" s="1" t="s">
        <v>301</v>
      </c>
      <c r="D318" s="1" t="s">
        <v>47</v>
      </c>
      <c r="E318" s="1" t="s">
        <v>14</v>
      </c>
      <c r="F318" s="2">
        <f ca="1">VLOOKUP(A318,Sheet2!C:D,2,0)</f>
        <v>2578</v>
      </c>
      <c r="G318" s="2" t="str">
        <f ca="1">VLOOKUP(A318,Sheet2!C:E,3,0)</f>
        <v>EG04-EG06-EG07-EG08-EG09</v>
      </c>
      <c r="H318" s="2" t="str">
        <f ca="1">VLOOKUP(A318,Sheet2!A:F,6,0)</f>
        <v>a.abdallah.depd@gmail.com</v>
      </c>
      <c r="I318" s="2" t="str">
        <f ca="1">VLOOKUP(A318,Sheet2!C:G,5,0)</f>
        <v>01118300659 - 01225781819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3" t="s">
        <v>344</v>
      </c>
      <c r="B319" s="1">
        <v>463137028567</v>
      </c>
      <c r="C319" s="1" t="s">
        <v>301</v>
      </c>
      <c r="D319" s="1" t="s">
        <v>47</v>
      </c>
      <c r="E319" s="1" t="s">
        <v>12</v>
      </c>
      <c r="F319" s="2">
        <f ca="1">VLOOKUP(A319,Sheet2!C:D,2,0)</f>
        <v>2563</v>
      </c>
      <c r="G319" s="2" t="str">
        <f ca="1">VLOOKUP(A319,Sheet2!C:E,3,0)</f>
        <v>EG07-EG08</v>
      </c>
      <c r="H319" s="2" t="str">
        <f ca="1">VLOOKUP(A319,Sheet2!A:F,6,0)</f>
        <v>nouranlotfy63@gmail.com</v>
      </c>
      <c r="I319" s="2" t="str">
        <f ca="1">VLOOKUP(A319,Sheet2!C:G,5,0)</f>
        <v>01001625777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3" t="s">
        <v>345</v>
      </c>
      <c r="B320" s="1">
        <v>697109284394</v>
      </c>
      <c r="C320" s="1" t="s">
        <v>301</v>
      </c>
      <c r="D320" s="1" t="s">
        <v>47</v>
      </c>
      <c r="E320" s="1" t="s">
        <v>12</v>
      </c>
      <c r="F320" s="2">
        <f ca="1">VLOOKUP(A320,Sheet2!C:D,2,0)</f>
        <v>2586</v>
      </c>
      <c r="G320" s="2" t="str">
        <f ca="1">VLOOKUP(A320,Sheet2!C:E,3,0)</f>
        <v>EG07-EG08-EG09</v>
      </c>
      <c r="H320" s="2" t="str">
        <f ca="1">VLOOKUP(A320,Sheet2!A:F,6,0)</f>
        <v>rehamaly.76@gmail.com</v>
      </c>
      <c r="I320" s="2" t="str">
        <f ca="1">VLOOKUP(A320,Sheet2!C:G,5,0)</f>
        <v>01206255208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3" t="s">
        <v>346</v>
      </c>
      <c r="B321" s="1">
        <v>897136858074</v>
      </c>
      <c r="C321" s="1" t="s">
        <v>301</v>
      </c>
      <c r="D321" s="1" t="s">
        <v>47</v>
      </c>
      <c r="E321" s="1" t="s">
        <v>14</v>
      </c>
      <c r="F321" s="2">
        <f ca="1">VLOOKUP(A321,Sheet2!C:D,2,0)</f>
        <v>2768</v>
      </c>
      <c r="G321" s="2" t="str">
        <f ca="1">VLOOKUP(A321,Sheet2!C:E,3,0)</f>
        <v>EG07-EG08-EG09</v>
      </c>
      <c r="H321" s="2" t="str">
        <f ca="1">VLOOKUP(A321,Sheet2!A:F,6,0)</f>
        <v>elsaiid99@live.com</v>
      </c>
      <c r="I321" s="2" t="str">
        <f ca="1">VLOOKUP(A321,Sheet2!C:G,5,0)</f>
        <v>01126789926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3" t="s">
        <v>347</v>
      </c>
      <c r="B322" s="1">
        <v>396138480561</v>
      </c>
      <c r="C322" s="1" t="s">
        <v>301</v>
      </c>
      <c r="D322" s="1" t="s">
        <v>47</v>
      </c>
      <c r="E322" s="1" t="s">
        <v>12</v>
      </c>
      <c r="F322" s="2">
        <f ca="1">VLOOKUP(A322,Sheet2!C:D,2,0)</f>
        <v>2047</v>
      </c>
      <c r="G322" s="2" t="str">
        <f ca="1">VLOOKUP(A322,Sheet2!C:E,3,0)</f>
        <v>EG07-EG08-EG09</v>
      </c>
      <c r="H322" s="2" t="str">
        <f ca="1">VLOOKUP(A322,Sheet2!A:F,6,0)</f>
        <v>sherifzaiton218@gmail.com</v>
      </c>
      <c r="I322" s="2">
        <f ca="1">VLOOKUP(A322,Sheet2!C:G,5,0)</f>
        <v>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3" t="s">
        <v>348</v>
      </c>
      <c r="B323" s="1">
        <v>417127195646</v>
      </c>
      <c r="C323" s="1" t="s">
        <v>301</v>
      </c>
      <c r="D323" s="1" t="s">
        <v>170</v>
      </c>
      <c r="E323" s="1" t="s">
        <v>14</v>
      </c>
      <c r="F323" s="4" t="str">
        <f ca="1">VLOOKUP(A323,Sheet2!C:D,2,0)</f>
        <v>1788</v>
      </c>
      <c r="G323" s="2" t="str">
        <f ca="1">VLOOKUP(A323,Sheet2!C:E,3,0)</f>
        <v>EG07-EG08-EG09</v>
      </c>
      <c r="H323" s="2" t="str">
        <f ca="1">VLOOKUP(A323,Sheet2!A:F,6,0)</f>
        <v>andrewtharwatfikry@gmail.com</v>
      </c>
      <c r="I323" s="2" t="str">
        <f ca="1">VLOOKUP(A323,Sheet2!C:G,5,0)</f>
        <v>01205947696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3" t="s">
        <v>349</v>
      </c>
      <c r="B324" s="1">
        <v>980198527154</v>
      </c>
      <c r="C324" s="1" t="s">
        <v>301</v>
      </c>
      <c r="D324" s="1" t="s">
        <v>170</v>
      </c>
      <c r="E324" s="1" t="s">
        <v>14</v>
      </c>
      <c r="F324" s="4" t="str">
        <f ca="1">VLOOKUP(A324,Sheet2!C:D,2,0)</f>
        <v>1851</v>
      </c>
      <c r="G324" s="2" t="str">
        <f ca="1">VLOOKUP(A324,Sheet2!C:E,3,0)</f>
        <v>EG07-EG08-EG09</v>
      </c>
      <c r="H324" s="2" t="str">
        <f ca="1">VLOOKUP(A324,Sheet2!A:F,6,0)</f>
        <v>zahraasawy@gmail.com</v>
      </c>
      <c r="I324" s="2" t="str">
        <f ca="1">VLOOKUP(A324,Sheet2!C:G,5,0)</f>
        <v>01146935411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3" t="s">
        <v>350</v>
      </c>
      <c r="B325" s="1">
        <v>630168374236</v>
      </c>
      <c r="C325" s="1" t="s">
        <v>301</v>
      </c>
      <c r="D325" s="1" t="s">
        <v>170</v>
      </c>
      <c r="E325" s="1" t="s">
        <v>14</v>
      </c>
      <c r="F325" s="4" t="str">
        <f ca="1">VLOOKUP(A325,Sheet2!C:D,2,0)</f>
        <v>1930</v>
      </c>
      <c r="G325" s="2" t="str">
        <f ca="1">VLOOKUP(A325,Sheet2!C:E,3,0)</f>
        <v>EG06-EG07-EG08-EG09-EG10</v>
      </c>
      <c r="H325" s="2" t="str">
        <f ca="1">VLOOKUP(A325,Sheet2!A:F,6,0)</f>
        <v>veroniamamdouh332@gmail.com</v>
      </c>
      <c r="I325" s="2" t="str">
        <f ca="1">VLOOKUP(A325,Sheet2!C:G,5,0)</f>
        <v>01285314528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3" t="s">
        <v>351</v>
      </c>
      <c r="B326" s="1">
        <v>586171628191</v>
      </c>
      <c r="C326" s="1" t="s">
        <v>301</v>
      </c>
      <c r="D326" s="1" t="s">
        <v>170</v>
      </c>
      <c r="E326" s="1" t="s">
        <v>14</v>
      </c>
      <c r="F326" s="4" t="str">
        <f ca="1">VLOOKUP(A326,Sheet2!C:D,2,0)</f>
        <v>2042</v>
      </c>
      <c r="G326" s="2" t="str">
        <f ca="1">VLOOKUP(A326,Sheet2!C:E,3,0)</f>
        <v>EG07-EG08-EG09</v>
      </c>
      <c r="H326" s="2" t="str">
        <f ca="1">VLOOKUP(A326,Sheet2!A:F,6,0)</f>
        <v>meneimpharma@gmail.com</v>
      </c>
      <c r="I326" s="2" t="str">
        <f ca="1">VLOOKUP(A326,Sheet2!C:G,5,0)</f>
        <v>01225606274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3" t="s">
        <v>352</v>
      </c>
      <c r="B327" s="1">
        <v>769151943943</v>
      </c>
      <c r="C327" s="1" t="s">
        <v>301</v>
      </c>
      <c r="D327" s="1" t="s">
        <v>170</v>
      </c>
      <c r="E327" s="1" t="s">
        <v>14</v>
      </c>
      <c r="F327" s="4" t="str">
        <f ca="1">VLOOKUP(A327,Sheet2!C:D,2,0)</f>
        <v>2098</v>
      </c>
      <c r="G327" s="2" t="str">
        <f ca="1">VLOOKUP(A327,Sheet2!C:E,3,0)</f>
        <v>EG04-EG05-EG06-EG07-EG08-EG09</v>
      </c>
      <c r="H327" s="2" t="str">
        <f ca="1">VLOOKUP(A327,Sheet2!A:F,6,0)</f>
        <v>theresanaguib84@gmail.com</v>
      </c>
      <c r="I327" s="2" t="str">
        <f ca="1">VLOOKUP(A327,Sheet2!C:G,5,0)</f>
        <v>01272245620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3" t="s">
        <v>353</v>
      </c>
      <c r="B328" s="1">
        <v>258179016380</v>
      </c>
      <c r="C328" s="1" t="s">
        <v>301</v>
      </c>
      <c r="D328" s="1" t="s">
        <v>170</v>
      </c>
      <c r="E328" s="1" t="s">
        <v>14</v>
      </c>
      <c r="F328" s="4" t="str">
        <f ca="1">VLOOKUP(A328,Sheet2!C:D,2,0)</f>
        <v>2174</v>
      </c>
      <c r="G328" s="2" t="str">
        <f ca="1">VLOOKUP(A328,Sheet2!C:E,3,0)</f>
        <v>EG07-EG08-EG09-EG10</v>
      </c>
      <c r="H328" s="2" t="str">
        <f ca="1">VLOOKUP(A328,Sheet2!A:F,6,0)</f>
        <v>yumna_elnennah@yahoo.com</v>
      </c>
      <c r="I328" s="2" t="str">
        <f ca="1">VLOOKUP(A328,Sheet2!C:G,5,0)</f>
        <v>01013423508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3" t="s">
        <v>354</v>
      </c>
      <c r="B329" s="1">
        <v>862161701563</v>
      </c>
      <c r="C329" s="1" t="s">
        <v>301</v>
      </c>
      <c r="D329" s="1" t="s">
        <v>170</v>
      </c>
      <c r="E329" s="1" t="s">
        <v>14</v>
      </c>
      <c r="F329" s="4" t="str">
        <f ca="1">VLOOKUP(A329,Sheet2!C:D,2,0)</f>
        <v>2213</v>
      </c>
      <c r="G329" s="2" t="str">
        <f ca="1">VLOOKUP(A329,Sheet2!C:E,3,0)</f>
        <v>EG07-EG08-EG09</v>
      </c>
      <c r="H329" s="2" t="str">
        <f ca="1">VLOOKUP(A329,Sheet2!A:F,6,0)</f>
        <v>enabil24@gmail.com</v>
      </c>
      <c r="I329" s="2" t="str">
        <f ca="1">VLOOKUP(A329,Sheet2!C:G,5,0)</f>
        <v>01204477722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3" t="s">
        <v>355</v>
      </c>
      <c r="B330" s="1">
        <v>240148989127</v>
      </c>
      <c r="C330" s="1" t="s">
        <v>301</v>
      </c>
      <c r="D330" s="1" t="s">
        <v>170</v>
      </c>
      <c r="E330" s="1" t="s">
        <v>12</v>
      </c>
      <c r="F330" s="4" t="str">
        <f ca="1">VLOOKUP(A330,Sheet2!C:D,2,0)</f>
        <v>2282</v>
      </c>
      <c r="G330" s="2" t="str">
        <f ca="1">VLOOKUP(A330,Sheet2!C:E,3,0)</f>
        <v>EG07-EG08-EG09-EG10</v>
      </c>
      <c r="H330" s="2" t="str">
        <f ca="1">VLOOKUP(A330,Sheet2!A:F,6,0)</f>
        <v>ayaserry@hotmail.com</v>
      </c>
      <c r="I330" s="2" t="str">
        <f ca="1">VLOOKUP(A330,Sheet2!C:G,5,0)</f>
        <v>01033449440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3" t="s">
        <v>356</v>
      </c>
      <c r="B331" s="1">
        <v>817125197474</v>
      </c>
      <c r="C331" s="1" t="s">
        <v>301</v>
      </c>
      <c r="D331" s="1" t="s">
        <v>170</v>
      </c>
      <c r="E331" s="1" t="s">
        <v>14</v>
      </c>
      <c r="F331" s="4" t="str">
        <f ca="1">VLOOKUP(A331,Sheet2!C:D,2,0)</f>
        <v>2281</v>
      </c>
      <c r="G331" s="2" t="str">
        <f ca="1">VLOOKUP(A331,Sheet2!C:E,3,0)</f>
        <v>EG07-EG08-EG09</v>
      </c>
      <c r="H331" s="2" t="str">
        <f ca="1">VLOOKUP(A331,Sheet2!A:F,6,0)</f>
        <v>mhmodasem@yahoo.com</v>
      </c>
      <c r="I331" s="2" t="str">
        <f ca="1">VLOOKUP(A331,Sheet2!C:G,5,0)</f>
        <v>01555039810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3" t="s">
        <v>357</v>
      </c>
      <c r="B332" s="1">
        <v>806123732506</v>
      </c>
      <c r="C332" s="1" t="s">
        <v>301</v>
      </c>
      <c r="D332" s="1" t="s">
        <v>170</v>
      </c>
      <c r="E332" s="1" t="s">
        <v>14</v>
      </c>
      <c r="F332" s="2">
        <f ca="1">VLOOKUP(A332,Sheet2!C:D,2,0)</f>
        <v>2308</v>
      </c>
      <c r="G332" s="2" t="str">
        <f ca="1">VLOOKUP(A332,Sheet2!C:E,3,0)</f>
        <v>EG07-EG08-EG09</v>
      </c>
      <c r="H332" s="2" t="str">
        <f ca="1">VLOOKUP(A332,Sheet2!A:F,6,0)</f>
        <v>sohilayousry160@gmail.com</v>
      </c>
      <c r="I332" s="2" t="str">
        <f ca="1">VLOOKUP(A332,Sheet2!C:G,5,0)</f>
        <v>01147701242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3" t="s">
        <v>358</v>
      </c>
      <c r="B333" s="1">
        <v>543195809524</v>
      </c>
      <c r="C333" s="1" t="s">
        <v>301</v>
      </c>
      <c r="D333" s="1" t="s">
        <v>170</v>
      </c>
      <c r="E333" s="1" t="s">
        <v>14</v>
      </c>
      <c r="F333" s="2">
        <f ca="1">VLOOKUP(A333,Sheet2!C:D,2,0)</f>
        <v>2352</v>
      </c>
      <c r="G333" s="2" t="str">
        <f ca="1">VLOOKUP(A333,Sheet2!C:E,3,0)</f>
        <v>EG07-EG08-EG09</v>
      </c>
      <c r="H333" s="2" t="str">
        <f ca="1">VLOOKUP(A333,Sheet2!A:F,6,0)</f>
        <v>albertibrahim30@gmail.com</v>
      </c>
      <c r="I333" s="2" t="str">
        <f ca="1">VLOOKUP(A333,Sheet2!C:G,5,0)</f>
        <v>01276626044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3" t="s">
        <v>359</v>
      </c>
      <c r="B334" s="1">
        <v>373148148671</v>
      </c>
      <c r="C334" s="1" t="s">
        <v>301</v>
      </c>
      <c r="D334" s="1" t="s">
        <v>170</v>
      </c>
      <c r="E334" s="1" t="s">
        <v>12</v>
      </c>
      <c r="F334" s="2">
        <f ca="1">VLOOKUP(A334,Sheet2!C:D,2,0)</f>
        <v>2396</v>
      </c>
      <c r="G334" s="2" t="str">
        <f ca="1">VLOOKUP(A334,Sheet2!C:E,3,0)</f>
        <v>EG07-EG08-EG09</v>
      </c>
      <c r="H334" s="2" t="str">
        <f ca="1">VLOOKUP(A334,Sheet2!A:F,6,0)</f>
        <v>johnmalakzaki@gmail.com</v>
      </c>
      <c r="I334" s="2" t="str">
        <f ca="1">VLOOKUP(A334,Sheet2!C:G,5,0)</f>
        <v>01021748033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3" t="s">
        <v>360</v>
      </c>
      <c r="B335" s="1">
        <v>697164912817</v>
      </c>
      <c r="C335" s="1" t="s">
        <v>301</v>
      </c>
      <c r="D335" s="1" t="s">
        <v>170</v>
      </c>
      <c r="E335" s="1" t="s">
        <v>14</v>
      </c>
      <c r="F335" s="2">
        <f ca="1">VLOOKUP(A335,Sheet2!C:D,2,0)</f>
        <v>2455</v>
      </c>
      <c r="G335" s="2" t="str">
        <f ca="1">VLOOKUP(A335,Sheet2!C:E,3,0)</f>
        <v>EG07-EG08-EG09</v>
      </c>
      <c r="H335" s="2" t="str">
        <f ca="1">VLOOKUP(A335,Sheet2!A:F,6,0)</f>
        <v>ahmeddeif79@gmail.com</v>
      </c>
      <c r="I335" s="2" t="str">
        <f ca="1">VLOOKUP(A335,Sheet2!C:G,5,0)</f>
        <v>01552762209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3" t="s">
        <v>361</v>
      </c>
      <c r="B336" s="1">
        <v>983140839457</v>
      </c>
      <c r="C336" s="1" t="s">
        <v>301</v>
      </c>
      <c r="D336" s="1" t="s">
        <v>170</v>
      </c>
      <c r="E336" s="1" t="s">
        <v>12</v>
      </c>
      <c r="F336" s="2">
        <f ca="1">VLOOKUP(A336,Sheet2!C:D,2,0)</f>
        <v>2482</v>
      </c>
      <c r="G336" s="2" t="str">
        <f ca="1">VLOOKUP(A336,Sheet2!C:E,3,0)</f>
        <v>EG07-EG08-EG09</v>
      </c>
      <c r="H336" s="2" t="str">
        <f ca="1">VLOOKUP(A336,Sheet2!A:F,6,0)</f>
        <v>shimaamaged436@gmail.com</v>
      </c>
      <c r="I336" s="2" t="str">
        <f ca="1">VLOOKUP(A336,Sheet2!C:G,5,0)</f>
        <v>01271024461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3" t="s">
        <v>362</v>
      </c>
      <c r="B337" s="1">
        <v>434196242350</v>
      </c>
      <c r="C337" s="1" t="s">
        <v>301</v>
      </c>
      <c r="D337" s="1" t="s">
        <v>170</v>
      </c>
      <c r="E337" s="1" t="s">
        <v>12</v>
      </c>
      <c r="F337" s="2">
        <f ca="1">VLOOKUP(A337,Sheet2!C:D,2,0)</f>
        <v>2478</v>
      </c>
      <c r="G337" s="2" t="str">
        <f ca="1">VLOOKUP(A337,Sheet2!C:E,3,0)</f>
        <v>EG07-EG08-EG09</v>
      </c>
      <c r="H337" s="2" t="str">
        <f ca="1">VLOOKUP(A337,Sheet2!A:F,6,0)</f>
        <v>nm1238991@gmail.com</v>
      </c>
      <c r="I337" s="2" t="str">
        <f ca="1">VLOOKUP(A337,Sheet2!C:G,5,0)</f>
        <v>01069534013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3" t="s">
        <v>363</v>
      </c>
      <c r="B338" s="1">
        <v>982159721983</v>
      </c>
      <c r="C338" s="1" t="s">
        <v>301</v>
      </c>
      <c r="D338" s="1" t="s">
        <v>170</v>
      </c>
      <c r="E338" s="1" t="s">
        <v>14</v>
      </c>
      <c r="F338" s="2">
        <f ca="1">VLOOKUP(A338,Sheet2!C:D,2,0)</f>
        <v>2658</v>
      </c>
      <c r="G338" s="2" t="str">
        <f ca="1">VLOOKUP(A338,Sheet2!C:E,3,0)</f>
        <v>EG07-EG08-EG09-EG10</v>
      </c>
      <c r="H338" s="2" t="str">
        <f ca="1">VLOOKUP(A338,Sheet2!A:F,6,0)</f>
        <v>melfar836@gmail.com</v>
      </c>
      <c r="I338" s="2" t="str">
        <f ca="1">VLOOKUP(A338,Sheet2!C:G,5,0)</f>
        <v>+201289807074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3" t="s">
        <v>364</v>
      </c>
      <c r="B339" s="1">
        <v>782154150214</v>
      </c>
      <c r="C339" s="1" t="s">
        <v>301</v>
      </c>
      <c r="D339" s="1" t="s">
        <v>170</v>
      </c>
      <c r="E339" s="1" t="s">
        <v>14</v>
      </c>
      <c r="F339" s="2">
        <f ca="1">VLOOKUP(A339,Sheet2!C:D,2,0)</f>
        <v>2678</v>
      </c>
      <c r="G339" s="2" t="str">
        <f ca="1">VLOOKUP(A339,Sheet2!C:E,3,0)</f>
        <v>EG07-EG08-EG09</v>
      </c>
      <c r="H339" s="2" t="str">
        <f ca="1">VLOOKUP(A339,Sheet2!A:F,6,0)</f>
        <v>eng.nasrsaleh@gmail.com</v>
      </c>
      <c r="I339" s="2" t="str">
        <f ca="1">VLOOKUP(A339,Sheet2!C:G,5,0)</f>
        <v>01008960199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3" t="s">
        <v>365</v>
      </c>
      <c r="B340" s="1">
        <v>393183180213</v>
      </c>
      <c r="C340" s="1" t="s">
        <v>301</v>
      </c>
      <c r="D340" s="1" t="s">
        <v>170</v>
      </c>
      <c r="E340" s="1" t="s">
        <v>14</v>
      </c>
      <c r="F340" s="2">
        <f ca="1">VLOOKUP(A340,Sheet2!C:D,2,0)</f>
        <v>2602</v>
      </c>
      <c r="G340" s="2" t="str">
        <f ca="1">VLOOKUP(A340,Sheet2!C:E,3,0)</f>
        <v>EG07-EG08-EG09-EG10</v>
      </c>
      <c r="H340" s="2" t="str">
        <f ca="1">VLOOKUP(A340,Sheet2!A:F,6,0)</f>
        <v>hebahamza662202@gmail.com</v>
      </c>
      <c r="I340" s="2">
        <f ca="1">VLOOKUP(A340,Sheet2!C:G,5,0)</f>
        <v>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3" t="s">
        <v>366</v>
      </c>
      <c r="B341" s="1">
        <v>856163762784</v>
      </c>
      <c r="C341" s="1" t="s">
        <v>301</v>
      </c>
      <c r="D341" s="1" t="s">
        <v>170</v>
      </c>
      <c r="E341" s="1" t="s">
        <v>12</v>
      </c>
      <c r="F341" s="2">
        <f ca="1">VLOOKUP(A341,Sheet2!C:D,2,0)</f>
        <v>2710</v>
      </c>
      <c r="G341" s="2" t="str">
        <f ca="1">VLOOKUP(A341,Sheet2!C:E,3,0)</f>
        <v>EG04-EG05-EG06-EG07-EG08-EG09</v>
      </c>
      <c r="H341" s="2" t="str">
        <f ca="1">VLOOKUP(A341,Sheet2!A:F,6,0)</f>
        <v>sci.epistimi@gmail.com</v>
      </c>
      <c r="I341" s="2">
        <f ca="1">VLOOKUP(A341,Sheet2!C:G,5,0)</f>
        <v>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3" t="s">
        <v>367</v>
      </c>
      <c r="B342" s="1">
        <v>609168138349</v>
      </c>
      <c r="C342" s="1" t="s">
        <v>301</v>
      </c>
      <c r="D342" s="1" t="s">
        <v>170</v>
      </c>
      <c r="E342" s="1" t="s">
        <v>12</v>
      </c>
      <c r="F342" s="2">
        <f ca="1">VLOOKUP(A342,Sheet2!C:D,2,0)</f>
        <v>2630</v>
      </c>
      <c r="G342" s="2" t="str">
        <f ca="1">VLOOKUP(A342,Sheet2!C:E,3,0)</f>
        <v>EG07-EG08-EG09</v>
      </c>
      <c r="H342" s="2" t="str">
        <f ca="1">VLOOKUP(A342,Sheet2!A:F,6,0)</f>
        <v>soheirmamdouh4190@gmail.com</v>
      </c>
      <c r="I342" s="2">
        <f ca="1">VLOOKUP(A342,Sheet2!C:G,5,0)</f>
        <v>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3" t="s">
        <v>368</v>
      </c>
      <c r="B343" s="1">
        <v>729109646242</v>
      </c>
      <c r="C343" s="1" t="s">
        <v>301</v>
      </c>
      <c r="D343" s="1" t="s">
        <v>170</v>
      </c>
      <c r="E343" s="1" t="s">
        <v>12</v>
      </c>
      <c r="F343" s="2">
        <f ca="1">VLOOKUP(A343,Sheet2!C:D,2,0)</f>
        <v>2697</v>
      </c>
      <c r="G343" s="2" t="str">
        <f ca="1">VLOOKUP(A343,Sheet2!C:E,3,0)</f>
        <v>EG07-EG08-EG09</v>
      </c>
      <c r="H343" s="2" t="str">
        <f ca="1">VLOOKUP(A343,Sheet2!A:F,6,0)</f>
        <v>mennamohamed89166@gmail.com</v>
      </c>
      <c r="I343" s="2">
        <f ca="1">VLOOKUP(A343,Sheet2!C:G,5,0)</f>
        <v>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3" t="s">
        <v>369</v>
      </c>
      <c r="B344" s="1">
        <v>715147613634</v>
      </c>
      <c r="C344" s="1" t="s">
        <v>301</v>
      </c>
      <c r="D344" s="1" t="s">
        <v>170</v>
      </c>
      <c r="E344" s="1" t="s">
        <v>12</v>
      </c>
      <c r="F344" s="2">
        <f ca="1">VLOOKUP(A344,Sheet2!C:D,2,0)</f>
        <v>2721</v>
      </c>
      <c r="G344" s="2" t="str">
        <f ca="1">VLOOKUP(A344,Sheet2!C:E,3,0)</f>
        <v>EG07-EG08-EG09</v>
      </c>
      <c r="H344" s="2" t="str">
        <f ca="1">VLOOKUP(A344,Sheet2!A:F,6,0)</f>
        <v>rowida.fekri.3325@gmail.com</v>
      </c>
      <c r="I344" s="2">
        <f ca="1">VLOOKUP(A344,Sheet2!C:G,5,0)</f>
        <v>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3" t="s">
        <v>370</v>
      </c>
      <c r="B345" s="1">
        <v>986159246809</v>
      </c>
      <c r="C345" s="1" t="s">
        <v>301</v>
      </c>
      <c r="D345" s="3" t="s">
        <v>201</v>
      </c>
      <c r="E345" s="1" t="s">
        <v>14</v>
      </c>
      <c r="F345" s="4" t="str">
        <f ca="1">VLOOKUP(A345,Sheet2!C:D,2,0)</f>
        <v>1859</v>
      </c>
      <c r="G345" s="2" t="str">
        <f ca="1">VLOOKUP(A345,Sheet2!C:E,3,0)</f>
        <v>EG07-EG08-EG09</v>
      </c>
      <c r="H345" s="2" t="str">
        <f ca="1">VLOOKUP(A345,Sheet2!A:F,6,0)</f>
        <v>toka.karim22@gmail.com</v>
      </c>
      <c r="I345" s="2" t="str">
        <f ca="1">VLOOKUP(A345,Sheet2!C:G,5,0)</f>
        <v>01011609935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3" t="s">
        <v>371</v>
      </c>
      <c r="B346" s="1">
        <v>535169279095</v>
      </c>
      <c r="C346" s="1" t="s">
        <v>301</v>
      </c>
      <c r="D346" s="3" t="s">
        <v>201</v>
      </c>
      <c r="E346" s="1" t="s">
        <v>14</v>
      </c>
      <c r="F346" s="4" t="str">
        <f ca="1">VLOOKUP(A346,Sheet2!C:D,2,0)</f>
        <v>1861</v>
      </c>
      <c r="G346" s="2" t="str">
        <f ca="1">VLOOKUP(A346,Sheet2!C:E,3,0)</f>
        <v>EG07-EG08-EG09</v>
      </c>
      <c r="H346" s="2" t="str">
        <f ca="1">VLOOKUP(A346,Sheet2!A:F,6,0)</f>
        <v>alaahesham492@gmail.com</v>
      </c>
      <c r="I346" s="2" t="str">
        <f ca="1">VLOOKUP(A346,Sheet2!C:G,5,0)</f>
        <v>01204537345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3" t="s">
        <v>372</v>
      </c>
      <c r="B347" s="1">
        <v>262187939345</v>
      </c>
      <c r="C347" s="1" t="s">
        <v>301</v>
      </c>
      <c r="D347" s="3" t="s">
        <v>201</v>
      </c>
      <c r="E347" s="1" t="s">
        <v>14</v>
      </c>
      <c r="F347" s="4" t="str">
        <f ca="1">VLOOKUP(A347,Sheet2!C:D,2,0)</f>
        <v>1873</v>
      </c>
      <c r="G347" s="2">
        <f ca="1">VLOOKUP(A347,Sheet2!C:E,3,0)</f>
        <v>0</v>
      </c>
      <c r="H347" s="2" t="str">
        <f ca="1">VLOOKUP(A347,Sheet2!A:F,6,0)</f>
        <v>rehabtawfik8@gmail.com</v>
      </c>
      <c r="I347" s="2">
        <f ca="1">VLOOKUP(A347,Sheet2!C:G,5,0)</f>
        <v>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3" t="s">
        <v>373</v>
      </c>
      <c r="B348" s="1">
        <v>402170847265</v>
      </c>
      <c r="C348" s="1" t="s">
        <v>301</v>
      </c>
      <c r="D348" s="3" t="s">
        <v>201</v>
      </c>
      <c r="E348" s="1" t="s">
        <v>14</v>
      </c>
      <c r="F348" s="4" t="str">
        <f ca="1">VLOOKUP(A348,Sheet2!C:D,2,0)</f>
        <v>1883</v>
      </c>
      <c r="G348" s="2">
        <f ca="1">VLOOKUP(A348,Sheet2!C:E,3,0)</f>
        <v>0</v>
      </c>
      <c r="H348" s="2" t="str">
        <f ca="1">VLOOKUP(A348,Sheet2!A:F,6,0)</f>
        <v>lailaelsayed3@gmail.com</v>
      </c>
      <c r="I348" s="2">
        <f ca="1">VLOOKUP(A348,Sheet2!C:G,5,0)</f>
        <v>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3" t="s">
        <v>374</v>
      </c>
      <c r="B349" s="1">
        <v>529172543087</v>
      </c>
      <c r="C349" s="1" t="s">
        <v>301</v>
      </c>
      <c r="D349" s="3" t="s">
        <v>201</v>
      </c>
      <c r="E349" s="1" t="s">
        <v>14</v>
      </c>
      <c r="F349" s="4" t="str">
        <f ca="1">VLOOKUP(A349,Sheet2!C:D,2,0)</f>
        <v>1921</v>
      </c>
      <c r="G349" s="2">
        <f ca="1">VLOOKUP(A349,Sheet2!C:E,3,0)</f>
        <v>0</v>
      </c>
      <c r="H349" s="2" t="str">
        <f ca="1">VLOOKUP(A349,Sheet2!A:F,6,0)</f>
        <v>islamhozayen1@gmail.com</v>
      </c>
      <c r="I349" s="2" t="str">
        <f ca="1">VLOOKUP(A349,Sheet2!C:G,5,0)</f>
        <v>01000302485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3" t="s">
        <v>375</v>
      </c>
      <c r="B350" s="1">
        <v>724162474043</v>
      </c>
      <c r="C350" s="1" t="s">
        <v>301</v>
      </c>
      <c r="D350" s="3" t="s">
        <v>201</v>
      </c>
      <c r="E350" s="1" t="s">
        <v>14</v>
      </c>
      <c r="F350" s="4" t="str">
        <f ca="1">VLOOKUP(A350,Sheet2!C:D,2,0)</f>
        <v>1988</v>
      </c>
      <c r="G350" s="2">
        <f ca="1">VLOOKUP(A350,Sheet2!C:E,3,0)</f>
        <v>0</v>
      </c>
      <c r="H350" s="2" t="str">
        <f ca="1">VLOOKUP(A350,Sheet2!A:F,6,0)</f>
        <v>memawaly578@gmail.com</v>
      </c>
      <c r="I350" s="2" t="str">
        <f ca="1">VLOOKUP(A350,Sheet2!C:G,5,0)</f>
        <v>01030282653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3" t="s">
        <v>376</v>
      </c>
      <c r="B351" s="1">
        <v>573182638724</v>
      </c>
      <c r="C351" s="1" t="s">
        <v>301</v>
      </c>
      <c r="D351" s="3" t="s">
        <v>201</v>
      </c>
      <c r="E351" s="1" t="s">
        <v>14</v>
      </c>
      <c r="F351" s="4" t="str">
        <f ca="1">VLOOKUP(A351,Sheet2!C:D,2,0)</f>
        <v>2045</v>
      </c>
      <c r="G351" s="2">
        <f ca="1">VLOOKUP(A351,Sheet2!C:E,3,0)</f>
        <v>0</v>
      </c>
      <c r="H351" s="2" t="str">
        <f ca="1">VLOOKUP(A351,Sheet2!A:F,6,0)</f>
        <v>ahmedabdelshaheed88@gmail.com</v>
      </c>
      <c r="I351" s="2" t="str">
        <f ca="1">VLOOKUP(A351,Sheet2!C:G,5,0)</f>
        <v>01009361878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3" t="s">
        <v>377</v>
      </c>
      <c r="B352" s="1">
        <v>283104384369</v>
      </c>
      <c r="C352" s="1" t="s">
        <v>301</v>
      </c>
      <c r="D352" s="3" t="s">
        <v>201</v>
      </c>
      <c r="E352" s="1" t="s">
        <v>14</v>
      </c>
      <c r="F352" s="4" t="str">
        <f ca="1">VLOOKUP(A352,Sheet2!C:D,2,0)</f>
        <v>2083</v>
      </c>
      <c r="G352" s="2">
        <f ca="1">VLOOKUP(A352,Sheet2!C:E,3,0)</f>
        <v>0</v>
      </c>
      <c r="H352" s="2" t="str">
        <f ca="1">VLOOKUP(A352,Sheet2!A:F,6,0)</f>
        <v>mahmoud.mohameed26@gmail.com</v>
      </c>
      <c r="I352" s="2" t="str">
        <f ca="1">VLOOKUP(A352,Sheet2!C:G,5,0)</f>
        <v>01006764019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3" t="s">
        <v>378</v>
      </c>
      <c r="B353" s="1">
        <v>372149691918</v>
      </c>
      <c r="C353" s="1" t="s">
        <v>301</v>
      </c>
      <c r="D353" s="3" t="s">
        <v>201</v>
      </c>
      <c r="E353" s="1" t="s">
        <v>14</v>
      </c>
      <c r="F353" s="4" t="str">
        <f ca="1">VLOOKUP(A353,Sheet2!C:D,2,0)</f>
        <v>2084</v>
      </c>
      <c r="G353" s="2">
        <f ca="1">VLOOKUP(A353,Sheet2!C:E,3,0)</f>
        <v>0</v>
      </c>
      <c r="H353" s="2" t="str">
        <f ca="1">VLOOKUP(A353,Sheet2!A:F,6,0)</f>
        <v>naderwagdy666@gmail.com</v>
      </c>
      <c r="I353" s="2" t="str">
        <f ca="1">VLOOKUP(A353,Sheet2!C:G,5,0)</f>
        <v>01280490085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3" t="s">
        <v>379</v>
      </c>
      <c r="B354" s="1">
        <v>747194232493</v>
      </c>
      <c r="C354" s="1" t="s">
        <v>301</v>
      </c>
      <c r="D354" s="3" t="s">
        <v>201</v>
      </c>
      <c r="E354" s="1" t="s">
        <v>14</v>
      </c>
      <c r="F354" s="4" t="str">
        <f ca="1">VLOOKUP(A354,Sheet2!C:D,2,0)</f>
        <v>2181</v>
      </c>
      <c r="G354" s="2" t="str">
        <f ca="1">VLOOKUP(A354,Sheet2!C:E,3,0)</f>
        <v>EG07-EG08-EG09-EG10-EG11</v>
      </c>
      <c r="H354" s="2" t="str">
        <f ca="1">VLOOKUP(A354,Sheet2!A:F,6,0)</f>
        <v>muhannad.m.m.khalil@gmail.com</v>
      </c>
      <c r="I354" s="2" t="str">
        <f ca="1">VLOOKUP(A354,Sheet2!C:G,5,0)</f>
        <v>01114420263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3" t="s">
        <v>380</v>
      </c>
      <c r="B355" s="1">
        <v>864108372349</v>
      </c>
      <c r="C355" s="1" t="s">
        <v>301</v>
      </c>
      <c r="D355" s="3" t="s">
        <v>201</v>
      </c>
      <c r="E355" s="1" t="s">
        <v>14</v>
      </c>
      <c r="F355" s="4" t="str">
        <f ca="1">VLOOKUP(A355,Sheet2!C:D,2,0)</f>
        <v>2192</v>
      </c>
      <c r="G355" s="2" t="str">
        <f ca="1">VLOOKUP(A355,Sheet2!C:E,3,0)</f>
        <v>EG07-EG08-EG09-EG10-EG11</v>
      </c>
      <c r="H355" s="2" t="str">
        <f ca="1">VLOOKUP(A355,Sheet2!A:F,6,0)</f>
        <v>mohamedmagdi8000@gmail.com</v>
      </c>
      <c r="I355" s="2" t="str">
        <f ca="1">VLOOKUP(A355,Sheet2!C:G,5,0)</f>
        <v>01119389015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3" t="s">
        <v>381</v>
      </c>
      <c r="B356" s="1">
        <v>489123510390</v>
      </c>
      <c r="C356" s="1" t="s">
        <v>301</v>
      </c>
      <c r="D356" s="3" t="s">
        <v>201</v>
      </c>
      <c r="E356" s="1" t="s">
        <v>14</v>
      </c>
      <c r="F356" s="4" t="str">
        <f ca="1">VLOOKUP(A356,Sheet2!C:D,2,0)</f>
        <v>2183</v>
      </c>
      <c r="G356" s="2" t="str">
        <f ca="1">VLOOKUP(A356,Sheet2!C:E,3,0)</f>
        <v>EG04-EG05-EG06-EG07-EG08-EG09-EG10-EG11</v>
      </c>
      <c r="H356" s="2" t="str">
        <f ca="1">VLOOKUP(A356,Sheet2!A:F,6,0)</f>
        <v>marumoh44@gmail.com</v>
      </c>
      <c r="I356" s="2" t="str">
        <f ca="1">VLOOKUP(A356,Sheet2!C:G,5,0)</f>
        <v>01550859370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3" t="s">
        <v>382</v>
      </c>
      <c r="B357" s="1">
        <v>836130414695</v>
      </c>
      <c r="C357" s="1" t="s">
        <v>301</v>
      </c>
      <c r="D357" s="3" t="s">
        <v>201</v>
      </c>
      <c r="E357" s="1" t="s">
        <v>14</v>
      </c>
      <c r="F357" s="4">
        <f ca="1">VLOOKUP(A357,Sheet2!C:D,2,0)</f>
        <v>2220</v>
      </c>
      <c r="G357" s="2" t="str">
        <f ca="1">VLOOKUP(A357,Sheet2!C:E,3,0)</f>
        <v>EG07-EG08-EG09</v>
      </c>
      <c r="H357" s="2" t="str">
        <f ca="1">VLOOKUP(A357,Sheet2!A:F,6,0)</f>
        <v>elseadim@gmail.com</v>
      </c>
      <c r="I357" s="2" t="str">
        <f ca="1">VLOOKUP(A357,Sheet2!C:G,5,0)</f>
        <v>01032561184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3" t="s">
        <v>383</v>
      </c>
      <c r="B358" s="1">
        <v>157185923195</v>
      </c>
      <c r="C358" s="1" t="s">
        <v>301</v>
      </c>
      <c r="D358" s="3" t="s">
        <v>201</v>
      </c>
      <c r="E358" s="1" t="s">
        <v>12</v>
      </c>
      <c r="F358" s="4" t="str">
        <f ca="1">VLOOKUP(A358,Sheet2!C:D,2,0)</f>
        <v>2197</v>
      </c>
      <c r="G358" s="2" t="str">
        <f ca="1">VLOOKUP(A358,Sheet2!C:E,3,0)</f>
        <v>EG07-EG08-EG09-EG10-EG11</v>
      </c>
      <c r="H358" s="2" t="str">
        <f ca="1">VLOOKUP(A358,Sheet2!A:F,6,0)</f>
        <v>hossamnourahmed@gmail.com</v>
      </c>
      <c r="I358" s="2" t="str">
        <f ca="1">VLOOKUP(A358,Sheet2!C:G,5,0)</f>
        <v>01141205561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3" t="s">
        <v>384</v>
      </c>
      <c r="B359" s="1">
        <v>586103986059</v>
      </c>
      <c r="C359" s="1" t="s">
        <v>301</v>
      </c>
      <c r="D359" s="3" t="s">
        <v>201</v>
      </c>
      <c r="E359" s="1" t="s">
        <v>14</v>
      </c>
      <c r="F359" s="4" t="str">
        <f ca="1">VLOOKUP(A359,Sheet2!C:D,2,0)</f>
        <v>2218</v>
      </c>
      <c r="G359" s="2" t="str">
        <f ca="1">VLOOKUP(A359,Sheet2!C:E,3,0)</f>
        <v>EG07-EG08-EG9-EG10-EG11</v>
      </c>
      <c r="H359" s="2" t="str">
        <f ca="1">VLOOKUP(A359,Sheet2!A:F,6,0)</f>
        <v>fatmadahab55@gmail.com</v>
      </c>
      <c r="I359" s="2" t="str">
        <f ca="1">VLOOKUP(A359,Sheet2!C:G,5,0)</f>
        <v>01147619592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3" t="s">
        <v>385</v>
      </c>
      <c r="B360" s="1">
        <v>316181624372</v>
      </c>
      <c r="C360" s="1" t="s">
        <v>301</v>
      </c>
      <c r="D360" s="3" t="s">
        <v>201</v>
      </c>
      <c r="E360" s="1" t="s">
        <v>14</v>
      </c>
      <c r="F360" s="4" t="str">
        <f ca="1">VLOOKUP(A360,Sheet2!C:D,2,0)</f>
        <v>1734</v>
      </c>
      <c r="G360" s="2" t="str">
        <f ca="1">VLOOKUP(A360,Sheet2!C:E,3,0)</f>
        <v>EG07-EG08-EG09</v>
      </c>
      <c r="H360" s="2" t="str">
        <f ca="1">VLOOKUP(A360,Sheet2!A:F,6,0)</f>
        <v>mohamed291284@gmail.com</v>
      </c>
      <c r="I360" s="2">
        <f ca="1">VLOOKUP(A360,Sheet2!C:G,5,0)</f>
        <v>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3" t="s">
        <v>386</v>
      </c>
      <c r="B361" s="1">
        <v>814163407679</v>
      </c>
      <c r="C361" s="1" t="s">
        <v>301</v>
      </c>
      <c r="D361" s="3" t="s">
        <v>201</v>
      </c>
      <c r="E361" s="1" t="s">
        <v>14</v>
      </c>
      <c r="F361" s="4">
        <f ca="1">VLOOKUP(A361,Sheet2!C:D,2,0)</f>
        <v>2216</v>
      </c>
      <c r="G361" s="2">
        <f ca="1">VLOOKUP(A361,Sheet2!C:E,3,0)</f>
        <v>0</v>
      </c>
      <c r="H361" s="2" t="str">
        <f ca="1">VLOOKUP(A361,Sheet2!A:F,6,0)</f>
        <v>tarektoty101@gmail.com</v>
      </c>
      <c r="I361" s="2" t="str">
        <f ca="1">VLOOKUP(A361,Sheet2!C:G,5,0)</f>
        <v>01145921925 - 01557287290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3" t="s">
        <v>387</v>
      </c>
      <c r="B362" s="1">
        <v>980182127485</v>
      </c>
      <c r="C362" s="1" t="s">
        <v>301</v>
      </c>
      <c r="D362" s="3" t="s">
        <v>201</v>
      </c>
      <c r="E362" s="1" t="s">
        <v>14</v>
      </c>
      <c r="F362" s="2">
        <f ca="1">VLOOKUP(A362,Sheet2!C:D,2,0)</f>
        <v>2280</v>
      </c>
      <c r="G362" s="2" t="str">
        <f ca="1">VLOOKUP(A362,Sheet2!C:E,3,0)</f>
        <v>EG07-EG08-EG09</v>
      </c>
      <c r="H362" s="2" t="str">
        <f ca="1">VLOOKUP(A362,Sheet2!A:F,6,0)</f>
        <v>medo48902@gmail.com</v>
      </c>
      <c r="I362" s="2" t="str">
        <f ca="1">VLOOKUP(A362,Sheet2!C:G,5,0)</f>
        <v>01117021822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3" t="s">
        <v>388</v>
      </c>
      <c r="B363" s="1">
        <v>373156736453</v>
      </c>
      <c r="C363" s="1" t="s">
        <v>301</v>
      </c>
      <c r="D363" s="3" t="s">
        <v>201</v>
      </c>
      <c r="E363" s="1" t="s">
        <v>14</v>
      </c>
      <c r="F363" s="2">
        <f ca="1">VLOOKUP(A363,Sheet2!C:D,2,0)</f>
        <v>2340</v>
      </c>
      <c r="G363" s="2" t="str">
        <f ca="1">VLOOKUP(A363,Sheet2!C:E,3,0)</f>
        <v>EG07-EG08-EG09</v>
      </c>
      <c r="H363" s="2" t="str">
        <f ca="1">VLOOKUP(A363,Sheet2!A:F,6,0)</f>
        <v>elsaker79@hotmail.com</v>
      </c>
      <c r="I363" s="2">
        <f ca="1">VLOOKUP(A363,Sheet2!C:G,5,0)</f>
        <v>1011099883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3" t="s">
        <v>389</v>
      </c>
      <c r="B364" s="1">
        <v>375181892149</v>
      </c>
      <c r="C364" s="1" t="s">
        <v>301</v>
      </c>
      <c r="D364" s="3" t="s">
        <v>201</v>
      </c>
      <c r="E364" s="1" t="s">
        <v>14</v>
      </c>
      <c r="F364" s="2">
        <f ca="1">VLOOKUP(A364,Sheet2!C:D,2,0)</f>
        <v>2347</v>
      </c>
      <c r="G364" s="2" t="str">
        <f ca="1">VLOOKUP(A364,Sheet2!C:E,3,0)</f>
        <v>EG07-EG08-EG09</v>
      </c>
      <c r="H364" s="2" t="str">
        <f ca="1">VLOOKUP(A364,Sheet2!A:F,6,0)</f>
        <v>mohamedfawzyabdelrady@gmail.com</v>
      </c>
      <c r="I364" s="2" t="str">
        <f ca="1">VLOOKUP(A364,Sheet2!C:G,5,0)</f>
        <v>01033733035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3" t="s">
        <v>390</v>
      </c>
      <c r="B365" s="1">
        <v>835129836321</v>
      </c>
      <c r="C365" s="1" t="s">
        <v>301</v>
      </c>
      <c r="D365" s="3" t="s">
        <v>201</v>
      </c>
      <c r="E365" s="1" t="s">
        <v>14</v>
      </c>
      <c r="F365" s="4" t="str">
        <f ca="1">VLOOKUP(A365,Sheet2!C:D,2,0)</f>
        <v>2250</v>
      </c>
      <c r="G365" s="2" t="str">
        <f ca="1">VLOOKUP(A365,Sheet2!C:E,3,0)</f>
        <v>EG07-EG08-EG09</v>
      </c>
      <c r="H365" s="2" t="str">
        <f ca="1">VLOOKUP(A365,Sheet2!A:F,6,0)</f>
        <v>ahmeeddsayedd@gmail.com</v>
      </c>
      <c r="I365" s="2" t="str">
        <f ca="1">VLOOKUP(A365,Sheet2!C:G,5,0)</f>
        <v>01115362496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3" t="s">
        <v>391</v>
      </c>
      <c r="B366" s="1">
        <v>498171430513</v>
      </c>
      <c r="C366" s="1" t="s">
        <v>301</v>
      </c>
      <c r="D366" s="3" t="s">
        <v>201</v>
      </c>
      <c r="E366" s="1" t="s">
        <v>12</v>
      </c>
      <c r="F366" s="2">
        <f ca="1">VLOOKUP(A366,Sheet2!C:D,2,0)</f>
        <v>2349</v>
      </c>
      <c r="G366" s="2" t="str">
        <f ca="1">VLOOKUP(A366,Sheet2!C:E,3,0)</f>
        <v>EG04-EG05-EG06-EG07-EG08</v>
      </c>
      <c r="H366" s="2" t="str">
        <f ca="1">VLOOKUP(A366,Sheet2!A:F,6,0)</f>
        <v>abdelrahmanfathi003@gmail.com</v>
      </c>
      <c r="I366" s="2" t="str">
        <f ca="1">VLOOKUP(A366,Sheet2!C:G,5,0)</f>
        <v>01028192743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3" t="s">
        <v>392</v>
      </c>
      <c r="B367" s="1">
        <v>819179164789</v>
      </c>
      <c r="C367" s="1" t="s">
        <v>301</v>
      </c>
      <c r="D367" s="3" t="s">
        <v>201</v>
      </c>
      <c r="E367" s="1" t="s">
        <v>14</v>
      </c>
      <c r="F367" s="2">
        <f ca="1">VLOOKUP(A367,Sheet2!C:D,2,0)</f>
        <v>2527</v>
      </c>
      <c r="G367" s="2" t="str">
        <f ca="1">VLOOKUP(A367,Sheet2!C:E,3,0)</f>
        <v>EG07-EG08-EG09</v>
      </c>
      <c r="H367" s="2" t="str">
        <f ca="1">VLOOKUP(A367,Sheet2!A:F,6,0)</f>
        <v>bsamy3661@gmail.com</v>
      </c>
      <c r="I367" s="2" t="str">
        <f ca="1">VLOOKUP(A367,Sheet2!C:G,5,0)</f>
        <v>01022651019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3" t="s">
        <v>393</v>
      </c>
      <c r="B368" s="1">
        <v>605108626197</v>
      </c>
      <c r="C368" s="1" t="s">
        <v>301</v>
      </c>
      <c r="D368" s="3" t="s">
        <v>201</v>
      </c>
      <c r="E368" s="1" t="s">
        <v>14</v>
      </c>
      <c r="F368" s="2">
        <f ca="1">VLOOKUP(A368,Sheet2!C:D,2,0)</f>
        <v>2555</v>
      </c>
      <c r="G368" s="2" t="str">
        <f ca="1">VLOOKUP(A368,Sheet2!C:E,3,0)</f>
        <v>EG08-EG09</v>
      </c>
      <c r="H368" s="2" t="str">
        <f ca="1">VLOOKUP(A368,Sheet2!A:F,6,0)</f>
        <v>nehadyousry1984@gmail.com</v>
      </c>
      <c r="I368" s="2" t="str">
        <f ca="1">VLOOKUP(A368,Sheet2!C:G,5,0)</f>
        <v>01221944623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3" t="s">
        <v>394</v>
      </c>
      <c r="B369" s="1">
        <v>678162816468</v>
      </c>
      <c r="C369" s="1" t="s">
        <v>301</v>
      </c>
      <c r="D369" s="3" t="s">
        <v>201</v>
      </c>
      <c r="E369" s="1" t="s">
        <v>14</v>
      </c>
      <c r="F369" s="2">
        <f ca="1">VLOOKUP(A369,Sheet2!C:D,2,0)</f>
        <v>2579</v>
      </c>
      <c r="G369" s="2" t="str">
        <f ca="1">VLOOKUP(A369,Sheet2!C:E,3,0)</f>
        <v>EG07-EG08-EG09</v>
      </c>
      <c r="H369" s="2" t="str">
        <f ca="1">VLOOKUP(A369,Sheet2!A:F,6,0)</f>
        <v>mr_ahmedhosni@yahoo.com</v>
      </c>
      <c r="I369" s="2" t="str">
        <f ca="1">VLOOKUP(A369,Sheet2!C:G,5,0)</f>
        <v>01000120625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3" t="s">
        <v>395</v>
      </c>
      <c r="B370" s="1">
        <v>519197286720</v>
      </c>
      <c r="C370" s="1" t="s">
        <v>301</v>
      </c>
      <c r="D370" s="3" t="s">
        <v>201</v>
      </c>
      <c r="E370" s="1" t="s">
        <v>12</v>
      </c>
      <c r="F370" s="2">
        <f ca="1">VLOOKUP(A370,Sheet2!C:D,2,0)</f>
        <v>2694</v>
      </c>
      <c r="G370" s="2" t="str">
        <f ca="1">VLOOKUP(A370,Sheet2!C:E,3,0)</f>
        <v>EG07-EG08-EG09</v>
      </c>
      <c r="H370" s="2" t="str">
        <f ca="1">VLOOKUP(A370,Sheet2!A:F,6,0)</f>
        <v>abdallah.mahran124@gmail.com</v>
      </c>
      <c r="I370" s="2" t="str">
        <f ca="1">VLOOKUP(A370,Sheet2!C:G,5,0)</f>
        <v>01004189352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3" t="s">
        <v>396</v>
      </c>
      <c r="B371" s="1">
        <v>845178158571</v>
      </c>
      <c r="C371" s="1" t="s">
        <v>301</v>
      </c>
      <c r="D371" s="3" t="s">
        <v>201</v>
      </c>
      <c r="E371" s="1" t="s">
        <v>14</v>
      </c>
      <c r="F371" s="2">
        <f ca="1">VLOOKUP(A371,Sheet2!C:D,2,0)</f>
        <v>2766</v>
      </c>
      <c r="G371" s="2" t="str">
        <f ca="1">VLOOKUP(A371,Sheet2!C:E,3,0)</f>
        <v>EG4-EG5-EG6-EG7-EG8-EG9</v>
      </c>
      <c r="H371" s="2" t="str">
        <f ca="1">VLOOKUP(A371,Sheet2!A:F,6,0)</f>
        <v>mohamadatheer1@gmail.com</v>
      </c>
      <c r="I371" s="2" t="str">
        <f ca="1">VLOOKUP(A371,Sheet2!C:G,5,0)</f>
        <v>01282290201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3" t="s">
        <v>397</v>
      </c>
      <c r="B372" s="1">
        <v>765142805403</v>
      </c>
      <c r="C372" s="1" t="s">
        <v>301</v>
      </c>
      <c r="D372" s="3" t="s">
        <v>201</v>
      </c>
      <c r="E372" s="1" t="s">
        <v>12</v>
      </c>
      <c r="F372" s="2">
        <f ca="1">VLOOKUP(A372,Sheet2!C:D,2,0)</f>
        <v>2777</v>
      </c>
      <c r="G372" s="2" t="str">
        <f ca="1">VLOOKUP(A372,Sheet2!C:E,3,0)</f>
        <v>EG07-EG08-EG09</v>
      </c>
      <c r="H372" s="2" t="str">
        <f ca="1">VLOOKUP(A372,Sheet2!A:F,6,0)</f>
        <v>ahmedfalokas99@gmail.com</v>
      </c>
      <c r="I372" s="2" t="str">
        <f ca="1">VLOOKUP(A372,Sheet2!C:G,5,0)</f>
        <v>01125530074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3" t="s">
        <v>398</v>
      </c>
      <c r="B373" s="1">
        <v>257141843453</v>
      </c>
      <c r="C373" s="1" t="s">
        <v>301</v>
      </c>
      <c r="D373" s="3" t="s">
        <v>201</v>
      </c>
      <c r="E373" s="1" t="s">
        <v>12</v>
      </c>
      <c r="F373" s="2">
        <f ca="1">VLOOKUP(A373,Sheet2!C:D,2,0)</f>
        <v>2782</v>
      </c>
      <c r="G373" s="2" t="str">
        <f ca="1">VLOOKUP(A373,Sheet2!C:E,3,0)</f>
        <v>EG4-EG5-EG6-EG7-EG8-EG9</v>
      </c>
      <c r="H373" s="2" t="str">
        <f ca="1">VLOOKUP(A373,Sheet2!A:F,6,0)</f>
        <v>me3350047@gmail.com</v>
      </c>
      <c r="I373" s="2">
        <f ca="1">VLOOKUP(A373,Sheet2!C:G,5,0)</f>
        <v>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3" t="s">
        <v>399</v>
      </c>
      <c r="B374" s="1">
        <v>730148062985</v>
      </c>
      <c r="C374" s="1" t="s">
        <v>301</v>
      </c>
      <c r="D374" s="3" t="s">
        <v>201</v>
      </c>
      <c r="E374" s="1" t="s">
        <v>14</v>
      </c>
      <c r="F374" s="2">
        <f ca="1">VLOOKUP(A374,Sheet2!C:D,2,0)</f>
        <v>2692</v>
      </c>
      <c r="G374" s="2" t="str">
        <f ca="1">VLOOKUP(A374,Sheet2!C:E,3,0)</f>
        <v>EG07-EG08-EG09</v>
      </c>
      <c r="H374" s="2" t="str">
        <f ca="1">VLOOKUP(A374,Sheet2!A:F,6,0)</f>
        <v>mohamedsaid6622@gmail.com</v>
      </c>
      <c r="I374" s="2">
        <f ca="1">VLOOKUP(A374,Sheet2!C:G,5,0)</f>
        <v>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3" t="s">
        <v>400</v>
      </c>
      <c r="B375" s="1">
        <v>105170539032</v>
      </c>
      <c r="C375" s="1" t="s">
        <v>301</v>
      </c>
      <c r="D375" s="3" t="s">
        <v>201</v>
      </c>
      <c r="E375" s="1" t="s">
        <v>12</v>
      </c>
      <c r="F375" s="2">
        <f ca="1">VLOOKUP(A375,Sheet2!C:D,2,0)</f>
        <v>2734</v>
      </c>
      <c r="G375" s="2" t="str">
        <f ca="1">VLOOKUP(A375,Sheet2!C:E,3,0)</f>
        <v>EG07-EG08-EG09</v>
      </c>
      <c r="H375" s="2" t="str">
        <f ca="1">VLOOKUP(A375,Sheet2!A:F,6,0)</f>
        <v>michael.emil306@gmail.com</v>
      </c>
      <c r="I375" s="2">
        <f ca="1">VLOOKUP(A375,Sheet2!C:G,5,0)</f>
        <v>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3" t="s">
        <v>401</v>
      </c>
      <c r="B376" s="1">
        <v>537125814019</v>
      </c>
      <c r="C376" s="1" t="s">
        <v>301</v>
      </c>
      <c r="D376" s="3" t="s">
        <v>63</v>
      </c>
      <c r="E376" s="1" t="s">
        <v>14</v>
      </c>
      <c r="F376" s="4" t="str">
        <f ca="1">VLOOKUP(A376,Sheet2!C:D,2,0)</f>
        <v>1899</v>
      </c>
      <c r="G376" s="2">
        <f ca="1">VLOOKUP(A376,Sheet2!C:E,3,0)</f>
        <v>0</v>
      </c>
      <c r="H376" s="2" t="str">
        <f ca="1">VLOOKUP(A376,Sheet2!A:F,6,0)</f>
        <v>i.aboserie@gmail.com</v>
      </c>
      <c r="I376" s="2" t="str">
        <f ca="1">VLOOKUP(A376,Sheet2!C:G,5,0)</f>
        <v>01226531038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3" t="s">
        <v>402</v>
      </c>
      <c r="B377" s="1">
        <v>609123972619</v>
      </c>
      <c r="C377" s="1" t="s">
        <v>301</v>
      </c>
      <c r="D377" s="3" t="s">
        <v>63</v>
      </c>
      <c r="E377" s="1" t="s">
        <v>14</v>
      </c>
      <c r="F377" s="4" t="str">
        <f ca="1">VLOOKUP(A377,Sheet2!C:D,2,0)</f>
        <v>1944</v>
      </c>
      <c r="G377" s="2">
        <f ca="1">VLOOKUP(A377,Sheet2!C:E,3,0)</f>
        <v>0</v>
      </c>
      <c r="H377" s="2" t="str">
        <f ca="1">VLOOKUP(A377,Sheet2!A:F,6,0)</f>
        <v>aly121981@gmail.com</v>
      </c>
      <c r="I377" s="2" t="str">
        <f ca="1">VLOOKUP(A377,Sheet2!C:G,5,0)</f>
        <v>01026870040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3" t="s">
        <v>403</v>
      </c>
      <c r="B378" s="1">
        <v>439197564751</v>
      </c>
      <c r="C378" s="1" t="s">
        <v>301</v>
      </c>
      <c r="D378" s="3" t="s">
        <v>63</v>
      </c>
      <c r="E378" s="1" t="s">
        <v>14</v>
      </c>
      <c r="F378" s="4" t="str">
        <f ca="1">VLOOKUP(A378,Sheet2!C:D,2,0)</f>
        <v>1957</v>
      </c>
      <c r="G378" s="2">
        <f ca="1">VLOOKUP(A378,Sheet2!C:E,3,0)</f>
        <v>0</v>
      </c>
      <c r="H378" s="2" t="str">
        <f ca="1">VLOOKUP(A378,Sheet2!A:F,6,0)</f>
        <v>morsykhaledmorsy@outlook.com</v>
      </c>
      <c r="I378" s="2" t="str">
        <f ca="1">VLOOKUP(A378,Sheet2!C:G,5,0)</f>
        <v>01555050003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3" t="s">
        <v>404</v>
      </c>
      <c r="B379" s="1">
        <v>510130705852</v>
      </c>
      <c r="C379" s="1" t="s">
        <v>301</v>
      </c>
      <c r="D379" s="3" t="s">
        <v>63</v>
      </c>
      <c r="E379" s="1" t="s">
        <v>14</v>
      </c>
      <c r="F379" s="4" t="str">
        <f ca="1">VLOOKUP(A379,Sheet2!C:D,2,0)</f>
        <v>1966</v>
      </c>
      <c r="G379" s="2">
        <f ca="1">VLOOKUP(A379,Sheet2!C:E,3,0)</f>
        <v>0</v>
      </c>
      <c r="H379" s="2" t="str">
        <f ca="1">VLOOKUP(A379,Sheet2!A:F,6,0)</f>
        <v>emanfayezkhalil@gmail.com</v>
      </c>
      <c r="I379" s="2" t="str">
        <f ca="1">VLOOKUP(A379,Sheet2!C:G,5,0)</f>
        <v>01220761144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3" t="s">
        <v>405</v>
      </c>
      <c r="B380" s="1">
        <v>328148357020</v>
      </c>
      <c r="C380" s="1" t="s">
        <v>301</v>
      </c>
      <c r="D380" s="3" t="s">
        <v>63</v>
      </c>
      <c r="E380" s="1" t="s">
        <v>14</v>
      </c>
      <c r="F380" s="4" t="str">
        <f ca="1">VLOOKUP(A380,Sheet2!C:D,2,0)</f>
        <v>1998</v>
      </c>
      <c r="G380" s="2">
        <f ca="1">VLOOKUP(A380,Sheet2!C:E,3,0)</f>
        <v>0</v>
      </c>
      <c r="H380" s="2" t="str">
        <f ca="1">VLOOKUP(A380,Sheet2!A:F,6,0)</f>
        <v>maigamalhassan@gmail.com</v>
      </c>
      <c r="I380" s="2" t="str">
        <f ca="1">VLOOKUP(A380,Sheet2!C:G,5,0)</f>
        <v>01095502036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3" t="s">
        <v>406</v>
      </c>
      <c r="B381" s="1">
        <v>785152928659</v>
      </c>
      <c r="C381" s="1" t="s">
        <v>301</v>
      </c>
      <c r="D381" s="3" t="s">
        <v>63</v>
      </c>
      <c r="E381" s="1" t="s">
        <v>14</v>
      </c>
      <c r="F381" s="4" t="str">
        <f ca="1">VLOOKUP(A381,Sheet2!C:D,2,0)</f>
        <v>2039</v>
      </c>
      <c r="G381" s="2">
        <f ca="1">VLOOKUP(A381,Sheet2!C:E,3,0)</f>
        <v>0</v>
      </c>
      <c r="H381" s="2" t="str">
        <f ca="1">VLOOKUP(A381,Sheet2!A:F,6,0)</f>
        <v>remonseha009@gmail.com</v>
      </c>
      <c r="I381" s="2" t="str">
        <f ca="1">VLOOKUP(A381,Sheet2!C:G,5,0)</f>
        <v>01010341068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3" t="s">
        <v>407</v>
      </c>
      <c r="B382" s="1">
        <v>412128504012</v>
      </c>
      <c r="C382" s="1" t="s">
        <v>301</v>
      </c>
      <c r="D382" s="3" t="s">
        <v>63</v>
      </c>
      <c r="E382" s="1" t="s">
        <v>14</v>
      </c>
      <c r="F382" s="4" t="str">
        <f ca="1">VLOOKUP(A382,Sheet2!C:D,2,0)</f>
        <v>2261</v>
      </c>
      <c r="G382" s="2">
        <f ca="1">VLOOKUP(A382,Sheet2!C:E,3,0)</f>
        <v>0</v>
      </c>
      <c r="H382" s="2" t="str">
        <f ca="1">VLOOKUP(A382,Sheet2!A:F,6,0)</f>
        <v>jo4391170@gmail.com</v>
      </c>
      <c r="I382" s="2">
        <f ca="1">VLOOKUP(A382,Sheet2!C:G,5,0)</f>
        <v>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3" t="s">
        <v>408</v>
      </c>
      <c r="B383" s="1">
        <v>725137150313</v>
      </c>
      <c r="C383" s="1" t="s">
        <v>301</v>
      </c>
      <c r="D383" s="3" t="s">
        <v>63</v>
      </c>
      <c r="E383" s="1" t="s">
        <v>12</v>
      </c>
      <c r="F383" s="2">
        <f ca="1">VLOOKUP(A383,Sheet2!C:D,2,0)</f>
        <v>2536</v>
      </c>
      <c r="G383" s="2" t="str">
        <f ca="1">VLOOKUP(A383,Sheet2!C:E,3,0)</f>
        <v>EG10-EG11-EG12</v>
      </c>
      <c r="H383" s="2" t="str">
        <f ca="1">VLOOKUP(A383,Sheet2!A:F,6,0)</f>
        <v>mr.mostafayousef77@gmail.com</v>
      </c>
      <c r="I383" s="2" t="str">
        <f ca="1">VLOOKUP(A383,Sheet2!C:G,5,0)</f>
        <v>01007377906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3" t="s">
        <v>409</v>
      </c>
      <c r="B384" s="1">
        <v>950163761784</v>
      </c>
      <c r="C384" s="1" t="s">
        <v>301</v>
      </c>
      <c r="D384" s="3" t="s">
        <v>63</v>
      </c>
      <c r="E384" s="1" t="s">
        <v>12</v>
      </c>
      <c r="F384" s="2">
        <f ca="1">VLOOKUP(A384,Sheet2!C:D,2,0)</f>
        <v>2407</v>
      </c>
      <c r="G384" s="2" t="str">
        <f ca="1">VLOOKUP(A384,Sheet2!C:E,3,0)</f>
        <v>EG07-EG08-EG09</v>
      </c>
      <c r="H384" s="2" t="str">
        <f ca="1">VLOOKUP(A384,Sheet2!A:F,6,0)</f>
        <v>shawky.m1749501@gmail.com</v>
      </c>
      <c r="I384" s="2" t="str">
        <f ca="1">VLOOKUP(A384,Sheet2!C:G,5,0)</f>
        <v>01228870591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3" t="s">
        <v>410</v>
      </c>
      <c r="B385" s="1">
        <v>429170348610</v>
      </c>
      <c r="C385" s="1" t="s">
        <v>301</v>
      </c>
      <c r="D385" s="3" t="s">
        <v>63</v>
      </c>
      <c r="E385" s="1" t="s">
        <v>14</v>
      </c>
      <c r="F385" s="2">
        <f ca="1">VLOOKUP(A385,Sheet2!C:D,2,0)</f>
        <v>2402</v>
      </c>
      <c r="G385" s="2" t="str">
        <f ca="1">VLOOKUP(A385,Sheet2!C:E,3,0)</f>
        <v>EG07-EG08-EG09</v>
      </c>
      <c r="H385" s="2" t="str">
        <f ca="1">VLOOKUP(A385,Sheet2!A:F,6,0)</f>
        <v>ibrahimmorgan24@gmail.com</v>
      </c>
      <c r="I385" s="2" t="str">
        <f ca="1">VLOOKUP(A385,Sheet2!C:G,5,0)</f>
        <v>01062805362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3" t="s">
        <v>411</v>
      </c>
      <c r="B386" s="1">
        <v>589184652592</v>
      </c>
      <c r="C386" s="1" t="s">
        <v>301</v>
      </c>
      <c r="D386" s="3" t="s">
        <v>63</v>
      </c>
      <c r="E386" s="1" t="s">
        <v>12</v>
      </c>
      <c r="F386" s="2">
        <f ca="1">VLOOKUP(A386,Sheet2!C:D,2,0)</f>
        <v>2592</v>
      </c>
      <c r="G386" s="2" t="str">
        <f ca="1">VLOOKUP(A386,Sheet2!C:E,3,0)</f>
        <v>EG07-EG08-EG09</v>
      </c>
      <c r="H386" s="2" t="str">
        <f ca="1">VLOOKUP(A386,Sheet2!A:F,6,0)</f>
        <v>mohmednbih2019@gmail.com</v>
      </c>
      <c r="I386" s="2" t="str">
        <f ca="1">VLOOKUP(A386,Sheet2!C:G,5,0)</f>
        <v>01003911095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3" t="s">
        <v>412</v>
      </c>
      <c r="B387" s="1">
        <v>282156737906</v>
      </c>
      <c r="C387" s="1" t="s">
        <v>301</v>
      </c>
      <c r="D387" s="3" t="s">
        <v>63</v>
      </c>
      <c r="E387" s="1" t="s">
        <v>14</v>
      </c>
      <c r="F387" s="2">
        <f ca="1">VLOOKUP(A387,Sheet2!C:D,2,0)</f>
        <v>2635</v>
      </c>
      <c r="G387" s="2" t="str">
        <f ca="1">VLOOKUP(A387,Sheet2!C:E,3,0)</f>
        <v>EG07-EG08-EG09-EG10-EG11-EG12</v>
      </c>
      <c r="H387" s="2" t="str">
        <f ca="1">VLOOKUP(A387,Sheet2!A:F,6,0)</f>
        <v>saedmansut@gmail.com</v>
      </c>
      <c r="I387" s="2" t="str">
        <f ca="1">VLOOKUP(A387,Sheet2!C:G,5,0)</f>
        <v>01018846462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3" t="s">
        <v>413</v>
      </c>
      <c r="B388" s="1">
        <v>248148530686</v>
      </c>
      <c r="C388" s="1" t="s">
        <v>301</v>
      </c>
      <c r="D388" s="3" t="s">
        <v>63</v>
      </c>
      <c r="E388" s="1" t="s">
        <v>12</v>
      </c>
      <c r="F388" s="2">
        <f ca="1">VLOOKUP(A388,Sheet2!C:D,2,0)</f>
        <v>2645</v>
      </c>
      <c r="G388" s="2" t="str">
        <f ca="1">VLOOKUP(A388,Sheet2!C:E,3,0)</f>
        <v>EG07-EG08-EG09</v>
      </c>
      <c r="H388" s="2" t="str">
        <f ca="1">VLOOKUP(A388,Sheet2!A:F,6,0)</f>
        <v>jihadgag@gmail.com</v>
      </c>
      <c r="I388" s="2">
        <f ca="1">VLOOKUP(A388,Sheet2!C:G,5,0)</f>
        <v>1020719300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3" t="s">
        <v>414</v>
      </c>
      <c r="B389" s="1">
        <v>790141820907</v>
      </c>
      <c r="C389" s="1" t="s">
        <v>301</v>
      </c>
      <c r="D389" s="3" t="s">
        <v>63</v>
      </c>
      <c r="E389" s="1" t="s">
        <v>12</v>
      </c>
      <c r="F389" s="2">
        <f ca="1">VLOOKUP(A389,Sheet2!C:D,2,0)</f>
        <v>2747</v>
      </c>
      <c r="G389" s="2" t="str">
        <f ca="1">VLOOKUP(A389,Sheet2!C:E,3,0)</f>
        <v>EG07-EG08-EG09</v>
      </c>
      <c r="H389" s="2" t="str">
        <f ca="1">VLOOKUP(A389,Sheet2!A:F,6,0)</f>
        <v>weyso2030@gmail.com</v>
      </c>
      <c r="I389" s="2">
        <f ca="1">VLOOKUP(A389,Sheet2!C:G,5,0)</f>
        <v>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3" t="s">
        <v>415</v>
      </c>
      <c r="B390" s="1">
        <v>279170497570</v>
      </c>
      <c r="C390" s="1" t="s">
        <v>301</v>
      </c>
      <c r="D390" s="3" t="s">
        <v>248</v>
      </c>
      <c r="E390" s="1" t="s">
        <v>12</v>
      </c>
      <c r="F390" s="4" t="str">
        <f ca="1">VLOOKUP(A390,Sheet2!C:D,2,0)</f>
        <v>1243</v>
      </c>
      <c r="G390" s="2" t="str">
        <f ca="1">VLOOKUP(A390,Sheet2!C:E,3,0)</f>
        <v>EG04-EG05-EG06-G7-جيولوجيا EG12</v>
      </c>
      <c r="H390" s="2" t="str">
        <f ca="1">VLOOKUP(A390,Sheet2!A:F,6,0)</f>
        <v>mahmoud.aboelmagd@nagwa.com</v>
      </c>
      <c r="I390" s="2">
        <f ca="1">VLOOKUP(A390,Sheet2!C:G,5,0)</f>
        <v>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3" t="s">
        <v>416</v>
      </c>
      <c r="B391" s="1">
        <v>818193063651</v>
      </c>
      <c r="C391" s="1" t="s">
        <v>301</v>
      </c>
      <c r="D391" s="3" t="s">
        <v>248</v>
      </c>
      <c r="E391" s="1" t="s">
        <v>14</v>
      </c>
      <c r="F391" s="4" t="str">
        <f ca="1">VLOOKUP(A391,Sheet2!C:D,2,0)</f>
        <v>1898</v>
      </c>
      <c r="G391" s="2" t="str">
        <f ca="1">VLOOKUP(A391,Sheet2!C:E,3,0)</f>
        <v>EG07-EG08-EG09</v>
      </c>
      <c r="H391" s="2" t="str">
        <f ca="1">VLOOKUP(A391,Sheet2!A:F,6,0)</f>
        <v>saraabualm2121@gmail.com</v>
      </c>
      <c r="I391" s="2">
        <f ca="1">VLOOKUP(A391,Sheet2!C:G,5,0)</f>
        <v>1124777848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3" t="s">
        <v>417</v>
      </c>
      <c r="B392" s="1">
        <v>545169685360</v>
      </c>
      <c r="C392" s="1" t="s">
        <v>301</v>
      </c>
      <c r="D392" s="3" t="s">
        <v>248</v>
      </c>
      <c r="E392" s="1" t="s">
        <v>14</v>
      </c>
      <c r="F392" s="4" t="str">
        <f ca="1">VLOOKUP(A392,Sheet2!C:D,2,0)</f>
        <v>1916</v>
      </c>
      <c r="G392" s="2" t="str">
        <f ca="1">VLOOKUP(A392,Sheet2!C:E,3,0)</f>
        <v>EG07-EG08-EG09-EG10</v>
      </c>
      <c r="H392" s="2" t="str">
        <f ca="1">VLOOKUP(A392,Sheet2!A:F,6,0)</f>
        <v>ahmedabdelrazakmail@gmail.com</v>
      </c>
      <c r="I392" s="2" t="str">
        <f ca="1">VLOOKUP(A392,Sheet2!C:G,5,0)</f>
        <v>01144483106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3" t="s">
        <v>418</v>
      </c>
      <c r="B393" s="1">
        <v>876106203518</v>
      </c>
      <c r="C393" s="1" t="s">
        <v>301</v>
      </c>
      <c r="D393" s="3" t="s">
        <v>248</v>
      </c>
      <c r="E393" s="1" t="s">
        <v>14</v>
      </c>
      <c r="F393" s="4" t="str">
        <f ca="1">VLOOKUP(A393,Sheet2!C:D,2,0)</f>
        <v>1982</v>
      </c>
      <c r="G393" s="2" t="str">
        <f ca="1">VLOOKUP(A393,Sheet2!C:E,3,0)</f>
        <v>EG04-EG05-EG06-EG07-EG08</v>
      </c>
      <c r="H393" s="2" t="str">
        <f ca="1">VLOOKUP(A393,Sheet2!A:F,6,0)</f>
        <v>shereenhelmy710@gmail.com</v>
      </c>
      <c r="I393" s="2">
        <f ca="1">VLOOKUP(A393,Sheet2!C:G,5,0)</f>
        <v>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3" t="s">
        <v>419</v>
      </c>
      <c r="B394" s="1">
        <v>175120578185</v>
      </c>
      <c r="C394" s="1" t="s">
        <v>301</v>
      </c>
      <c r="D394" s="3" t="s">
        <v>248</v>
      </c>
      <c r="E394" s="1" t="s">
        <v>14</v>
      </c>
      <c r="F394" s="4" t="str">
        <f ca="1">VLOOKUP(A394,Sheet2!C:D,2,0)</f>
        <v>2001</v>
      </c>
      <c r="G394" s="2" t="str">
        <f ca="1">VLOOKUP(A394,Sheet2!C:E,3,0)</f>
        <v>EG07-EG08-EG09</v>
      </c>
      <c r="H394" s="2" t="str">
        <f ca="1">VLOOKUP(A394,Sheet2!A:F,6,0)</f>
        <v>kamelreda7815@gmail.com</v>
      </c>
      <c r="I394" s="2" t="str">
        <f ca="1">VLOOKUP(A394,Sheet2!C:G,5,0)</f>
        <v>01009142422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3" t="s">
        <v>420</v>
      </c>
      <c r="B395" s="1">
        <v>848121420401</v>
      </c>
      <c r="C395" s="1" t="s">
        <v>301</v>
      </c>
      <c r="D395" s="3" t="s">
        <v>248</v>
      </c>
      <c r="E395" s="1" t="s">
        <v>14</v>
      </c>
      <c r="F395" s="4" t="str">
        <f ca="1">VLOOKUP(A395,Sheet2!C:D,2,0)</f>
        <v>2012</v>
      </c>
      <c r="G395" s="2" t="str">
        <f ca="1">VLOOKUP(A395,Sheet2!C:E,3,0)</f>
        <v>EG07-EG08-EG09</v>
      </c>
      <c r="H395" s="2" t="str">
        <f ca="1">VLOOKUP(A395,Sheet2!A:F,6,0)</f>
        <v>sorormerona@gmail.com</v>
      </c>
      <c r="I395" s="2" t="str">
        <f ca="1">VLOOKUP(A395,Sheet2!C:G,5,0)</f>
        <v>01222986055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3" t="s">
        <v>421</v>
      </c>
      <c r="B396" s="1">
        <v>384108435424</v>
      </c>
      <c r="C396" s="1" t="s">
        <v>301</v>
      </c>
      <c r="D396" s="3" t="s">
        <v>248</v>
      </c>
      <c r="E396" s="1" t="s">
        <v>14</v>
      </c>
      <c r="F396" s="4" t="str">
        <f ca="1">VLOOKUP(A396,Sheet2!C:D,2,0)</f>
        <v>2029</v>
      </c>
      <c r="G396" s="2" t="str">
        <f ca="1">VLOOKUP(A396,Sheet2!C:E,3,0)</f>
        <v>EG07-EG08-EG09</v>
      </c>
      <c r="H396" s="2" t="str">
        <f ca="1">VLOOKUP(A396,Sheet2!A:F,6,0)</f>
        <v>cristinagerges44@gmail.com</v>
      </c>
      <c r="I396" s="2" t="str">
        <f ca="1">VLOOKUP(A396,Sheet2!C:G,5,0)</f>
        <v>01229505808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3" t="s">
        <v>422</v>
      </c>
      <c r="B397" s="1">
        <v>963182417149</v>
      </c>
      <c r="C397" s="1" t="s">
        <v>301</v>
      </c>
      <c r="D397" s="3" t="s">
        <v>248</v>
      </c>
      <c r="E397" s="1" t="s">
        <v>14</v>
      </c>
      <c r="F397" s="4" t="str">
        <f ca="1">VLOOKUP(A397,Sheet2!C:D,2,0)</f>
        <v>2173</v>
      </c>
      <c r="G397" s="2" t="str">
        <f ca="1">VLOOKUP(A397,Sheet2!C:E,3,0)</f>
        <v>EG07-EG08-EG09</v>
      </c>
      <c r="H397" s="2" t="str">
        <f ca="1">VLOOKUP(A397,Sheet2!A:F,6,0)</f>
        <v>daliaaraby810@gmail.com</v>
      </c>
      <c r="I397" s="2" t="str">
        <f ca="1">VLOOKUP(A397,Sheet2!C:G,5,0)</f>
        <v>01027661151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3" t="s">
        <v>423</v>
      </c>
      <c r="B398" s="1">
        <v>164127957037</v>
      </c>
      <c r="C398" s="1" t="s">
        <v>301</v>
      </c>
      <c r="D398" s="3" t="s">
        <v>248</v>
      </c>
      <c r="E398" s="1" t="s">
        <v>14</v>
      </c>
      <c r="F398" s="4" t="str">
        <f ca="1">VLOOKUP(A398,Sheet2!C:D,2,0)</f>
        <v>2234</v>
      </c>
      <c r="G398" s="2" t="str">
        <f ca="1">VLOOKUP(A398,Sheet2!C:E,3,0)</f>
        <v>EG07-EG08-EG09</v>
      </c>
      <c r="H398" s="2" t="str">
        <f ca="1">VLOOKUP(A398,Sheet2!A:F,6,0)</f>
        <v>mostafa.hero0001@gmail.com</v>
      </c>
      <c r="I398" s="2">
        <f ca="1">VLOOKUP(A398,Sheet2!C:G,5,0)</f>
        <v>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3" t="s">
        <v>424</v>
      </c>
      <c r="B399" s="1">
        <v>360178214932</v>
      </c>
      <c r="C399" s="1" t="s">
        <v>301</v>
      </c>
      <c r="D399" s="3" t="s">
        <v>248</v>
      </c>
      <c r="E399" s="1" t="s">
        <v>14</v>
      </c>
      <c r="F399" s="4" t="str">
        <f ca="1">VLOOKUP(A399,Sheet2!C:D,2,0)</f>
        <v>2249</v>
      </c>
      <c r="G399" s="2" t="str">
        <f ca="1">VLOOKUP(A399,Sheet2!C:E,3,0)</f>
        <v>EG04-EG05-EG06-EG07-EG08-EG09</v>
      </c>
      <c r="H399" s="2" t="str">
        <f ca="1">VLOOKUP(A399,Sheet2!A:F,6,0)</f>
        <v>tamermfadel@gmail.com</v>
      </c>
      <c r="I399" s="2" t="str">
        <f ca="1">VLOOKUP(A399,Sheet2!C:G,5,0)</f>
        <v>01220629701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3" t="s">
        <v>425</v>
      </c>
      <c r="B400" s="1">
        <v>867198159258</v>
      </c>
      <c r="C400" s="1" t="s">
        <v>301</v>
      </c>
      <c r="D400" s="3" t="s">
        <v>248</v>
      </c>
      <c r="E400" s="1" t="s">
        <v>14</v>
      </c>
      <c r="F400" s="2">
        <f ca="1">VLOOKUP(A400,Sheet2!C:D,2,0)</f>
        <v>2334</v>
      </c>
      <c r="G400" s="2" t="str">
        <f ca="1">VLOOKUP(A400,Sheet2!C:E,3,0)</f>
        <v>EG07-EG08-EG09</v>
      </c>
      <c r="H400" s="2" t="str">
        <f ca="1">VLOOKUP(A400,Sheet2!A:F,6,0)</f>
        <v>doaasawaby4@gmail.com</v>
      </c>
      <c r="I400" s="2" t="str">
        <f ca="1">VLOOKUP(A400,Sheet2!C:G,5,0)</f>
        <v>01092504801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3" t="s">
        <v>426</v>
      </c>
      <c r="B401" s="1">
        <v>328106361965</v>
      </c>
      <c r="C401" s="1" t="s">
        <v>301</v>
      </c>
      <c r="D401" s="3" t="s">
        <v>248</v>
      </c>
      <c r="E401" s="1" t="s">
        <v>14</v>
      </c>
      <c r="F401" s="2">
        <f ca="1">VLOOKUP(A401,Sheet2!C:D,2,0)</f>
        <v>2467</v>
      </c>
      <c r="G401" s="2" t="str">
        <f ca="1">VLOOKUP(A401,Sheet2!C:E,3,0)</f>
        <v>EG07-EG08-EG09</v>
      </c>
      <c r="H401" s="2" t="str">
        <f ca="1">VLOOKUP(A401,Sheet2!A:F,6,0)</f>
        <v>llnaglaall@gmail.com</v>
      </c>
      <c r="I401" s="2" t="str">
        <f ca="1">VLOOKUP(A401,Sheet2!C:G,5,0)</f>
        <v>01140851516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3" t="s">
        <v>427</v>
      </c>
      <c r="B402" s="1">
        <v>472132150306</v>
      </c>
      <c r="C402" s="1" t="s">
        <v>301</v>
      </c>
      <c r="D402" s="1" t="s">
        <v>170</v>
      </c>
      <c r="E402" s="1" t="s">
        <v>12</v>
      </c>
      <c r="F402" s="2">
        <f ca="1">VLOOKUP(A402,Sheet2!C:D,2,0)</f>
        <v>2485</v>
      </c>
      <c r="G402" s="2" t="str">
        <f ca="1">VLOOKUP(A402,Sheet2!C:E,3,0)</f>
        <v>EG04-EG05-EG06-EG07-EG08-EG09</v>
      </c>
      <c r="H402" s="2" t="str">
        <f ca="1">VLOOKUP(A402,Sheet2!A:F,6,0)</f>
        <v>dinaadel9623@gmail.com</v>
      </c>
      <c r="I402" s="2">
        <f ca="1">VLOOKUP(A402,Sheet2!C:G,5,0)</f>
        <v>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3" t="s">
        <v>428</v>
      </c>
      <c r="B403" s="1">
        <v>903167431715</v>
      </c>
      <c r="C403" s="1" t="s">
        <v>301</v>
      </c>
      <c r="D403" s="3" t="s">
        <v>248</v>
      </c>
      <c r="E403" s="1" t="s">
        <v>14</v>
      </c>
      <c r="F403" s="2">
        <f ca="1">VLOOKUP(A403,Sheet2!C:D,2,0)</f>
        <v>2618</v>
      </c>
      <c r="G403" s="2" t="str">
        <f ca="1">VLOOKUP(A403,Sheet2!C:E,3,0)</f>
        <v>EG04-EG05-EG06-EG07-EG08-EG09</v>
      </c>
      <c r="H403" s="2" t="str">
        <f ca="1">VLOOKUP(A403,Sheet2!A:F,6,0)</f>
        <v>nourasultan97@gmail.com</v>
      </c>
      <c r="I403" s="2" t="str">
        <f ca="1">VLOOKUP(A403,Sheet2!C:G,5,0)</f>
        <v>01025577259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3" t="s">
        <v>429</v>
      </c>
      <c r="B404" s="1">
        <v>236169469685</v>
      </c>
      <c r="C404" s="1" t="s">
        <v>301</v>
      </c>
      <c r="D404" s="3" t="s">
        <v>248</v>
      </c>
      <c r="E404" s="1" t="s">
        <v>12</v>
      </c>
      <c r="F404" s="2">
        <f ca="1">VLOOKUP(A404,Sheet2!C:D,2,0)</f>
        <v>2625</v>
      </c>
      <c r="G404" s="2" t="str">
        <f ca="1">VLOOKUP(A404,Sheet2!C:E,3,0)</f>
        <v>EG07-EG08-EG09</v>
      </c>
      <c r="H404" s="2" t="str">
        <f ca="1">VLOOKUP(A404,Sheet2!A:F,6,0)</f>
        <v>ayman3li077@gmail.com</v>
      </c>
      <c r="I404" s="2">
        <f ca="1">VLOOKUP(A404,Sheet2!C:G,5,0)</f>
        <v>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3" t="s">
        <v>430</v>
      </c>
      <c r="B405" s="1">
        <v>313175709374</v>
      </c>
      <c r="C405" s="1" t="s">
        <v>301</v>
      </c>
      <c r="D405" s="3" t="s">
        <v>248</v>
      </c>
      <c r="E405" s="1" t="s">
        <v>12</v>
      </c>
      <c r="F405" s="2">
        <f ca="1">VLOOKUP(A405,Sheet2!C:D,2,0)</f>
        <v>2764</v>
      </c>
      <c r="G405" s="2" t="str">
        <f ca="1">VLOOKUP(A405,Sheet2!C:E,3,0)</f>
        <v>EG07-EG08-EG09</v>
      </c>
      <c r="H405" s="2" t="str">
        <f ca="1">VLOOKUP(A405,Sheet2!A:F,6,0)</f>
        <v>am4100@fayoum.edu.eg</v>
      </c>
      <c r="I405" s="2" t="str">
        <f ca="1">VLOOKUP(A405,Sheet2!C:G,5,0)</f>
        <v>01098477286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3" t="s">
        <v>431</v>
      </c>
      <c r="B406" s="1">
        <v>260127872510</v>
      </c>
      <c r="C406" s="1" t="s">
        <v>301</v>
      </c>
      <c r="D406" s="3" t="s">
        <v>248</v>
      </c>
      <c r="E406" s="1" t="s">
        <v>12</v>
      </c>
      <c r="F406" s="2">
        <f ca="1">VLOOKUP(A406,Sheet2!C:D,2,0)</f>
        <v>2727</v>
      </c>
      <c r="G406" s="2" t="str">
        <f ca="1">VLOOKUP(A406,Sheet2!C:E,3,0)</f>
        <v>EG07-EG08-EG09</v>
      </c>
      <c r="H406" s="2" t="str">
        <f ca="1">VLOOKUP(A406,Sheet2!A:F,6,0)</f>
        <v>abdullahelkahlawy@gmail.com</v>
      </c>
      <c r="I406" s="2" t="str">
        <f ca="1">VLOOKUP(A406,Sheet2!C:G,5,0)</f>
        <v>01227491678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3" t="s">
        <v>432</v>
      </c>
      <c r="B407" s="1">
        <v>158129191683</v>
      </c>
      <c r="C407" s="1" t="s">
        <v>301</v>
      </c>
      <c r="D407" s="3" t="s">
        <v>248</v>
      </c>
      <c r="E407" s="1" t="s">
        <v>12</v>
      </c>
      <c r="F407" s="2">
        <f ca="1">VLOOKUP(A407,Sheet2!C:D,2,0)</f>
        <v>2696</v>
      </c>
      <c r="G407" s="2" t="str">
        <f ca="1">VLOOKUP(A407,Sheet2!C:E,3,0)</f>
        <v>EG07-EG08-EG09</v>
      </c>
      <c r="H407" s="2" t="str">
        <f ca="1">VLOOKUP(A407,Sheet2!A:F,6,0)</f>
        <v>anazoma201088@gmail.com</v>
      </c>
      <c r="I407" s="2">
        <f ca="1">VLOOKUP(A407,Sheet2!C:G,5,0)</f>
        <v>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3" t="s">
        <v>433</v>
      </c>
      <c r="B408" s="1">
        <v>573158956591</v>
      </c>
      <c r="C408" s="1" t="s">
        <v>301</v>
      </c>
      <c r="D408" s="3" t="s">
        <v>248</v>
      </c>
      <c r="E408" s="1" t="s">
        <v>12</v>
      </c>
      <c r="F408" s="2">
        <f ca="1">VLOOKUP(A408,Sheet2!C:D,2,0)</f>
        <v>2743</v>
      </c>
      <c r="G408" s="2" t="str">
        <f ca="1">VLOOKUP(A408,Sheet2!C:E,3,0)</f>
        <v>EG07-EG08-EG09</v>
      </c>
      <c r="H408" s="2" t="str">
        <f ca="1">VLOOKUP(A408,Sheet2!A:F,6,0)</f>
        <v>dr.asemalaraby@gmail.com</v>
      </c>
      <c r="I408" s="2" t="str">
        <f ca="1">VLOOKUP(A408,Sheet2!C:G,5,0)</f>
        <v>01551479788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3" t="s">
        <v>434</v>
      </c>
      <c r="B409" s="1">
        <v>564139362753</v>
      </c>
      <c r="C409" s="1" t="s">
        <v>301</v>
      </c>
      <c r="D409" s="3" t="s">
        <v>248</v>
      </c>
      <c r="E409" s="1" t="s">
        <v>12</v>
      </c>
      <c r="F409" s="2">
        <f ca="1">VLOOKUP(A409,Sheet2!C:D,2,0)</f>
        <v>2770</v>
      </c>
      <c r="G409" s="2" t="str">
        <f ca="1">VLOOKUP(A409,Sheet2!C:E,3,0)</f>
        <v>EG07-EG08-EG09</v>
      </c>
      <c r="H409" s="2" t="str">
        <f ca="1">VLOOKUP(A409,Sheet2!A:F,6,0)</f>
        <v>ghadasalah990@gmail.com</v>
      </c>
      <c r="I409" s="2">
        <f ca="1">VLOOKUP(A409,Sheet2!C:G,5,0)</f>
        <v>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3" t="s">
        <v>435</v>
      </c>
      <c r="B410" s="1">
        <v>834132198971</v>
      </c>
      <c r="C410" s="1" t="s">
        <v>301</v>
      </c>
      <c r="D410" s="3" t="s">
        <v>248</v>
      </c>
      <c r="E410" s="1" t="s">
        <v>12</v>
      </c>
      <c r="F410" s="2">
        <f ca="1">VLOOKUP(A410,Sheet2!C:D,2,0)</f>
        <v>2764</v>
      </c>
      <c r="G410" s="2" t="str">
        <f ca="1">VLOOKUP(A410,Sheet2!C:E,3,0)</f>
        <v>EG07-EG08-EG09</v>
      </c>
      <c r="H410" s="2" t="str">
        <f ca="1">VLOOKUP(A410,Sheet2!A:F,6,0)</f>
        <v>mrsdinaadel@gmail.com</v>
      </c>
      <c r="I410" s="2">
        <f ca="1">VLOOKUP(A410,Sheet2!C:G,5,0)</f>
        <v>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3" t="s">
        <v>436</v>
      </c>
      <c r="B411" s="1">
        <v>275182367207</v>
      </c>
      <c r="C411" s="1" t="s">
        <v>301</v>
      </c>
      <c r="D411" s="3" t="s">
        <v>248</v>
      </c>
      <c r="E411" s="1" t="s">
        <v>12</v>
      </c>
      <c r="F411" s="2">
        <f ca="1">VLOOKUP(A411,Sheet2!C:D,2,0)</f>
        <v>2756</v>
      </c>
      <c r="G411" s="2" t="str">
        <f ca="1">VLOOKUP(A411,Sheet2!C:E,3,0)</f>
        <v>EG04-EG05-EG06-EG07-EG08</v>
      </c>
      <c r="H411" s="2" t="str">
        <f ca="1">VLOOKUP(A411,Sheet2!A:F,6,0)</f>
        <v>nahedelgebaly12345@gmail.com</v>
      </c>
      <c r="I411" s="2">
        <f ca="1">VLOOKUP(A411,Sheet2!C:G,5,0)</f>
        <v>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3" t="s">
        <v>437</v>
      </c>
      <c r="B412" s="1">
        <v>586129524617</v>
      </c>
      <c r="C412" s="1" t="s">
        <v>301</v>
      </c>
      <c r="D412" s="3" t="s">
        <v>248</v>
      </c>
      <c r="E412" s="1" t="s">
        <v>12</v>
      </c>
      <c r="F412" s="2">
        <f ca="1">VLOOKUP(A412,Sheet2!C:D,2,0)</f>
        <v>2796</v>
      </c>
      <c r="G412" s="2" t="str">
        <f ca="1">VLOOKUP(A412,Sheet2!C:E,3,0)</f>
        <v>EG07-EG08-EG09</v>
      </c>
      <c r="H412" s="2" t="str">
        <f ca="1">VLOOKUP(A412,Sheet2!A:F,6,0)</f>
        <v>nourabdelrahman335@gmail.com</v>
      </c>
      <c r="I412" s="2" t="str">
        <f ca="1">VLOOKUP(A412,Sheet2!C:G,5,0)</f>
        <v>01140943384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3" t="s">
        <v>438</v>
      </c>
      <c r="B413" s="1">
        <v>283104819698</v>
      </c>
      <c r="C413" s="1" t="s">
        <v>301</v>
      </c>
      <c r="D413" s="3" t="s">
        <v>248</v>
      </c>
      <c r="E413" s="1" t="s">
        <v>12</v>
      </c>
      <c r="F413" s="2">
        <f ca="1">VLOOKUP(A413,Sheet2!C:D,2,0)</f>
        <v>2669</v>
      </c>
      <c r="G413" s="2" t="str">
        <f ca="1">VLOOKUP(A413,Sheet2!C:E,3,0)</f>
        <v>EG07-EG08-EG09</v>
      </c>
      <c r="H413" s="2" t="str">
        <f ca="1">VLOOKUP(A413,Sheet2!A:F,6,0)</f>
        <v>tenderrose148@gmail.com</v>
      </c>
      <c r="I413" s="2">
        <f ca="1">VLOOKUP(A413,Sheet2!C:G,5,0)</f>
        <v>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3" t="s">
        <v>439</v>
      </c>
      <c r="B414" s="1">
        <v>206131919704</v>
      </c>
      <c r="C414" s="1" t="s">
        <v>301</v>
      </c>
      <c r="D414" s="3" t="s">
        <v>248</v>
      </c>
      <c r="E414" s="1" t="s">
        <v>14</v>
      </c>
      <c r="F414" s="2">
        <f ca="1">VLOOKUP(A414,Sheet2!C:D,2,0)</f>
        <v>2736</v>
      </c>
      <c r="G414" s="2" t="str">
        <f ca="1">VLOOKUP(A414,Sheet2!C:E,3,0)</f>
        <v>EG04-EG05-EG06-EG07-EG08-EG09</v>
      </c>
      <c r="H414" s="2" t="str">
        <f ca="1">VLOOKUP(A414,Sheet2!A:F,6,0)</f>
        <v>marwa.mohammed2016@gmail.com</v>
      </c>
      <c r="I414" s="2">
        <f ca="1">VLOOKUP(A414,Sheet2!C:G,5,0)</f>
        <v>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3" t="s">
        <v>440</v>
      </c>
      <c r="B415" s="1">
        <v>957162109584</v>
      </c>
      <c r="C415" s="1" t="s">
        <v>301</v>
      </c>
      <c r="D415" s="3" t="s">
        <v>248</v>
      </c>
      <c r="E415" s="1" t="s">
        <v>12</v>
      </c>
      <c r="F415" s="2">
        <f ca="1">VLOOKUP(A415,Sheet2!C:D,2,0)</f>
        <v>2808</v>
      </c>
      <c r="G415" s="2" t="str">
        <f ca="1">VLOOKUP(A415,Sheet2!C:E,3,0)</f>
        <v>EG07-EG08</v>
      </c>
      <c r="H415" s="2" t="str">
        <f ca="1">VLOOKUP(A415,Sheet2!A:F,6,0)</f>
        <v>totareda172@gmail.com</v>
      </c>
      <c r="I415" s="2">
        <f ca="1">VLOOKUP(A415,Sheet2!C:G,5,0)</f>
        <v>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3" t="s">
        <v>441</v>
      </c>
      <c r="B416" s="1">
        <v>656179636850</v>
      </c>
      <c r="C416" s="1" t="s">
        <v>301</v>
      </c>
      <c r="D416" s="3" t="s">
        <v>69</v>
      </c>
      <c r="E416" s="1" t="s">
        <v>14</v>
      </c>
      <c r="F416" s="4" t="str">
        <f ca="1">VLOOKUP(A416,Sheet2!C:D,2,0)</f>
        <v>110</v>
      </c>
      <c r="G416" s="2" t="str">
        <f ca="1">VLOOKUP(A416,Sheet2!C:E,3,0)</f>
        <v>EG07-EG08-EG09-EG10-EG11-EG12</v>
      </c>
      <c r="H416" s="2" t="str">
        <f ca="1">VLOOKUP(A416,Sheet2!A:F,6,0)</f>
        <v>rabeeelshaer1@gmail.com</v>
      </c>
      <c r="I416" s="2">
        <f ca="1">VLOOKUP(A416,Sheet2!C:G,5,0)</f>
        <v>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3" t="s">
        <v>442</v>
      </c>
      <c r="B417" s="1">
        <v>467134069813</v>
      </c>
      <c r="C417" s="1" t="s">
        <v>301</v>
      </c>
      <c r="D417" s="3" t="s">
        <v>69</v>
      </c>
      <c r="E417" s="1" t="s">
        <v>14</v>
      </c>
      <c r="F417" s="4" t="str">
        <f ca="1">VLOOKUP(A417,Sheet2!C:D,2,0)</f>
        <v>1127</v>
      </c>
      <c r="G417" s="2" t="str">
        <f ca="1">VLOOKUP(A417,Sheet2!C:E,3,0)</f>
        <v>EG04-EG05-EG06-EG07-EG08-EG09-EG10-EG11-EG12</v>
      </c>
      <c r="H417" s="2" t="str">
        <f ca="1">VLOOKUP(A417,Sheet2!A:F,6,0)</f>
        <v>hussein.mostafa@nagwa.com</v>
      </c>
      <c r="I417" s="2">
        <f ca="1">VLOOKUP(A417,Sheet2!C:G,5,0)</f>
        <v>201091050146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3" t="s">
        <v>443</v>
      </c>
      <c r="B418" s="1">
        <v>592179807615</v>
      </c>
      <c r="C418" s="1" t="s">
        <v>301</v>
      </c>
      <c r="D418" s="3" t="s">
        <v>69</v>
      </c>
      <c r="E418" s="1" t="s">
        <v>14</v>
      </c>
      <c r="F418" s="4" t="str">
        <f ca="1">VLOOKUP(A418,Sheet2!C:D,2,0)</f>
        <v>1277</v>
      </c>
      <c r="G418" s="2" t="str">
        <f ca="1">VLOOKUP(A418,Sheet2!C:E,3,0)</f>
        <v>EG07-EG08-EG09</v>
      </c>
      <c r="H418" s="2" t="str">
        <f ca="1">VLOOKUP(A418,Sheet2!A:F,6,0)</f>
        <v>modares2525@gmail.com</v>
      </c>
      <c r="I418" s="2">
        <f ca="1">VLOOKUP(A418,Sheet2!C:G,5,0)</f>
        <v>201116153885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3" t="s">
        <v>444</v>
      </c>
      <c r="B419" s="1">
        <v>957170329636</v>
      </c>
      <c r="C419" s="1" t="s">
        <v>301</v>
      </c>
      <c r="D419" s="3" t="s">
        <v>69</v>
      </c>
      <c r="E419" s="1" t="s">
        <v>14</v>
      </c>
      <c r="F419" s="4" t="str">
        <f ca="1">VLOOKUP(A419,Sheet2!C:D,2,0)</f>
        <v>2035</v>
      </c>
      <c r="G419" s="2" t="str">
        <f ca="1">VLOOKUP(A419,Sheet2!C:E,3,0)</f>
        <v>EG07-EG08-EG09</v>
      </c>
      <c r="H419" s="2" t="str">
        <f ca="1">VLOOKUP(A419,Sheet2!A:F,6,0)</f>
        <v>shirefagor166@gmail.com</v>
      </c>
      <c r="I419" s="2" t="str">
        <f ca="1">VLOOKUP(A419,Sheet2!C:G,5,0)</f>
        <v>01223742383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3" t="s">
        <v>445</v>
      </c>
      <c r="B420" s="1">
        <v>919178945796</v>
      </c>
      <c r="C420" s="1" t="s">
        <v>301</v>
      </c>
      <c r="D420" s="3" t="s">
        <v>69</v>
      </c>
      <c r="E420" s="1" t="s">
        <v>14</v>
      </c>
      <c r="F420" s="4" t="str">
        <f ca="1">VLOOKUP(A420,Sheet2!C:D,2,0)</f>
        <v>2082</v>
      </c>
      <c r="G420" s="2" t="str">
        <f ca="1">VLOOKUP(A420,Sheet2!C:E,3,0)</f>
        <v>EG07-EG08-EG09-EG10-EG11-EG12</v>
      </c>
      <c r="H420" s="2" t="str">
        <f ca="1">VLOOKUP(A420,Sheet2!A:F,6,0)</f>
        <v>mosadalmakhrat@gmail.com</v>
      </c>
      <c r="I420" s="2" t="str">
        <f ca="1">VLOOKUP(A420,Sheet2!C:G,5,0)</f>
        <v>01226434618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3" t="s">
        <v>446</v>
      </c>
      <c r="B421" s="1">
        <v>617175650841</v>
      </c>
      <c r="C421" s="1" t="s">
        <v>301</v>
      </c>
      <c r="D421" s="3" t="s">
        <v>69</v>
      </c>
      <c r="E421" s="1" t="s">
        <v>14</v>
      </c>
      <c r="F421" s="4" t="str">
        <f ca="1">VLOOKUP(A421,Sheet2!C:D,2,0)</f>
        <v>2136</v>
      </c>
      <c r="G421" s="2" t="str">
        <f ca="1">VLOOKUP(A421,Sheet2!C:E,3,0)</f>
        <v>EG08-EG09-EG10-EG11-EG12</v>
      </c>
      <c r="H421" s="2" t="str">
        <f ca="1">VLOOKUP(A421,Sheet2!A:F,6,0)</f>
        <v>islamzayan2333@gmail.com</v>
      </c>
      <c r="I421" s="2" t="str">
        <f ca="1">VLOOKUP(A421,Sheet2!C:G,5,0)</f>
        <v>01012793634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3" t="s">
        <v>447</v>
      </c>
      <c r="B422" s="1">
        <v>456173727324</v>
      </c>
      <c r="C422" s="1" t="s">
        <v>301</v>
      </c>
      <c r="D422" s="3" t="s">
        <v>69</v>
      </c>
      <c r="E422" s="1" t="s">
        <v>14</v>
      </c>
      <c r="F422" s="4" t="str">
        <f ca="1">VLOOKUP(A422,Sheet2!C:D,2,0)</f>
        <v>2176</v>
      </c>
      <c r="G422" s="2" t="str">
        <f ca="1">VLOOKUP(A422,Sheet2!C:E,3,0)</f>
        <v>EG04-EG05-EG06-EG07-EG08-EG09</v>
      </c>
      <c r="H422" s="2" t="str">
        <f ca="1">VLOOKUP(A422,Sheet2!A:F,6,0)</f>
        <v>kdarwish436@gmail.com</v>
      </c>
      <c r="I422" s="2" t="str">
        <f ca="1">VLOOKUP(A422,Sheet2!C:G,5,0)</f>
        <v>01148072407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3" t="s">
        <v>448</v>
      </c>
      <c r="B423" s="1">
        <v>138195736921</v>
      </c>
      <c r="C423" s="1" t="s">
        <v>301</v>
      </c>
      <c r="D423" s="3" t="s">
        <v>69</v>
      </c>
      <c r="E423" s="1" t="s">
        <v>14</v>
      </c>
      <c r="F423" s="4" t="str">
        <f ca="1">VLOOKUP(A423,Sheet2!C:D,2,0)</f>
        <v>2175</v>
      </c>
      <c r="G423" s="2" t="str">
        <f ca="1">VLOOKUP(A423,Sheet2!C:E,3,0)</f>
        <v>EG07-EG08-EG09</v>
      </c>
      <c r="H423" s="2" t="str">
        <f ca="1">VLOOKUP(A423,Sheet2!A:F,6,0)</f>
        <v>salem.oikaa@gmail.com</v>
      </c>
      <c r="I423" s="2" t="str">
        <f ca="1">VLOOKUP(A423,Sheet2!C:G,5,0)</f>
        <v>01127797061 - 01000550304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3" t="s">
        <v>449</v>
      </c>
      <c r="B424" s="1">
        <v>786170102324</v>
      </c>
      <c r="C424" s="1" t="s">
        <v>301</v>
      </c>
      <c r="D424" s="3" t="s">
        <v>69</v>
      </c>
      <c r="E424" s="1" t="s">
        <v>14</v>
      </c>
      <c r="F424" s="4" t="str">
        <f ca="1">VLOOKUP(A424,Sheet2!C:D,2,0)</f>
        <v>2320</v>
      </c>
      <c r="G424" s="2" t="str">
        <f ca="1">VLOOKUP(A424,Sheet2!C:E,3,0)</f>
        <v>EG07-EG08-EG09</v>
      </c>
      <c r="H424" s="2" t="str">
        <f ca="1">VLOOKUP(A424,Sheet2!A:F,6,0)</f>
        <v>mabrookelbanna4@gmail.com</v>
      </c>
      <c r="I424" s="2" t="str">
        <f ca="1">VLOOKUP(A424,Sheet2!C:G,5,0)</f>
        <v>01096212675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3" t="s">
        <v>450</v>
      </c>
      <c r="B425" s="1">
        <v>503107402589</v>
      </c>
      <c r="C425" s="1" t="s">
        <v>301</v>
      </c>
      <c r="D425" s="3" t="s">
        <v>69</v>
      </c>
      <c r="E425" s="1" t="s">
        <v>14</v>
      </c>
      <c r="F425" s="2">
        <f ca="1">VLOOKUP(A425,Sheet2!C:D,2,0)</f>
        <v>2346</v>
      </c>
      <c r="G425" s="2" t="str">
        <f ca="1">VLOOKUP(A425,Sheet2!C:E,3,0)</f>
        <v>EG07-EG08-EG09</v>
      </c>
      <c r="H425" s="2" t="str">
        <f ca="1">VLOOKUP(A425,Sheet2!A:F,6,0)</f>
        <v>elmeligybassam@gmail.com</v>
      </c>
      <c r="I425" s="2" t="str">
        <f ca="1">VLOOKUP(A425,Sheet2!C:G,5,0)</f>
        <v>01090961459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3" t="s">
        <v>451</v>
      </c>
      <c r="B426" s="1">
        <v>839190937852</v>
      </c>
      <c r="C426" s="1" t="s">
        <v>301</v>
      </c>
      <c r="D426" s="3" t="s">
        <v>69</v>
      </c>
      <c r="E426" s="1" t="s">
        <v>12</v>
      </c>
      <c r="F426" s="2">
        <f ca="1">VLOOKUP(A426,Sheet2!C:D,2,0)</f>
        <v>2378</v>
      </c>
      <c r="G426" s="2" t="str">
        <f ca="1">VLOOKUP(A426,Sheet2!C:E,3,0)</f>
        <v>EG07-EG08-EG09-EG10-EG11-EG12</v>
      </c>
      <c r="H426" s="2" t="str">
        <f ca="1">VLOOKUP(A426,Sheet2!A:F,6,0)</f>
        <v>muhamed.2866893@gmail.com</v>
      </c>
      <c r="I426" s="2" t="str">
        <f ca="1">VLOOKUP(A426,Sheet2!C:G,5,0)</f>
        <v>01009253528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3" t="s">
        <v>452</v>
      </c>
      <c r="B427" s="1">
        <v>250145985245</v>
      </c>
      <c r="C427" s="1" t="s">
        <v>301</v>
      </c>
      <c r="D427" s="3" t="s">
        <v>69</v>
      </c>
      <c r="E427" s="1" t="s">
        <v>14</v>
      </c>
      <c r="F427" s="2">
        <f ca="1">VLOOKUP(A427,Sheet2!C:D,2,0)</f>
        <v>2374</v>
      </c>
      <c r="G427" s="2" t="str">
        <f ca="1">VLOOKUP(A427,Sheet2!C:E,3,0)</f>
        <v>EG07-EG08-EG09</v>
      </c>
      <c r="H427" s="2" t="str">
        <f ca="1">VLOOKUP(A427,Sheet2!A:F,6,0)</f>
        <v>afthy6959@gmail.com</v>
      </c>
      <c r="I427" s="2" t="str">
        <f ca="1">VLOOKUP(A427,Sheet2!C:G,5,0)</f>
        <v>01010649710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3" t="s">
        <v>453</v>
      </c>
      <c r="B428" s="1">
        <v>498131373584</v>
      </c>
      <c r="C428" s="1" t="s">
        <v>301</v>
      </c>
      <c r="D428" s="3" t="s">
        <v>69</v>
      </c>
      <c r="E428" s="1" t="s">
        <v>14</v>
      </c>
      <c r="F428" s="2">
        <f ca="1">VLOOKUP(A428,Sheet2!C:D,2,0)</f>
        <v>2394</v>
      </c>
      <c r="G428" s="2" t="str">
        <f ca="1">VLOOKUP(A428,Sheet2!C:E,3,0)</f>
        <v>EG04-EG05-EG06-EG07-EG08-EG09</v>
      </c>
      <c r="H428" s="2" t="str">
        <f ca="1">VLOOKUP(A428,Sheet2!A:F,6,0)</f>
        <v>asmaaelabsawy2@gmail.com</v>
      </c>
      <c r="I428" s="2" t="str">
        <f ca="1">VLOOKUP(A428,Sheet2!C:G,5,0)</f>
        <v>01004001141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3" t="s">
        <v>454</v>
      </c>
      <c r="B429" s="1">
        <v>608183854595</v>
      </c>
      <c r="C429" s="1" t="s">
        <v>301</v>
      </c>
      <c r="D429" s="3" t="s">
        <v>69</v>
      </c>
      <c r="E429" s="1" t="s">
        <v>12</v>
      </c>
      <c r="F429" s="2">
        <f ca="1">VLOOKUP(A429,Sheet2!C:D,2,0)</f>
        <v>2415</v>
      </c>
      <c r="G429" s="2" t="str">
        <f ca="1">VLOOKUP(A429,Sheet2!C:E,3,0)</f>
        <v>EG06-EG07-EG08-EG09</v>
      </c>
      <c r="H429" s="2" t="str">
        <f ca="1">VLOOKUP(A429,Sheet2!A:F,6,0)</f>
        <v>ahmedsayed171730@gmail.com</v>
      </c>
      <c r="I429" s="2" t="str">
        <f ca="1">VLOOKUP(A429,Sheet2!C:G,5,0)</f>
        <v>01017173087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3" t="s">
        <v>455</v>
      </c>
      <c r="B430" s="1">
        <v>416178416352</v>
      </c>
      <c r="C430" s="1" t="s">
        <v>301</v>
      </c>
      <c r="D430" s="3" t="s">
        <v>69</v>
      </c>
      <c r="E430" s="1" t="s">
        <v>14</v>
      </c>
      <c r="F430" s="2">
        <f ca="1">VLOOKUP(A430,Sheet2!C:D,2,0)</f>
        <v>2410</v>
      </c>
      <c r="G430" s="2" t="str">
        <f ca="1">VLOOKUP(A430,Sheet2!C:E,3,0)</f>
        <v>EG04-EG05-EG06-EG07-EG08-EG09</v>
      </c>
      <c r="H430" s="2" t="str">
        <f ca="1">VLOOKUP(A430,Sheet2!A:F,6,0)</f>
        <v>mh7350093@gmail.com</v>
      </c>
      <c r="I430" s="2" t="str">
        <f ca="1">VLOOKUP(A430,Sheet2!C:G,5,0)</f>
        <v>01226341167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3" t="s">
        <v>456</v>
      </c>
      <c r="B431" s="1">
        <v>193167923501</v>
      </c>
      <c r="C431" s="1" t="s">
        <v>301</v>
      </c>
      <c r="D431" s="3" t="s">
        <v>69</v>
      </c>
      <c r="E431" s="1" t="s">
        <v>14</v>
      </c>
      <c r="F431" s="2">
        <f ca="1">VLOOKUP(A431,Sheet2!C:D,2,0)</f>
        <v>2451</v>
      </c>
      <c r="G431" s="2" t="str">
        <f ca="1">VLOOKUP(A431,Sheet2!C:E,3,0)</f>
        <v>EG04-EG05-EG06-EG07-EG08-EG09-EG10-EG11-EG12</v>
      </c>
      <c r="H431" s="2" t="str">
        <f ca="1">VLOOKUP(A431,Sheet2!A:F,6,0)</f>
        <v>hossam.assaf80@gmail.com</v>
      </c>
      <c r="I431" s="2" t="str">
        <f ca="1">VLOOKUP(A431,Sheet2!C:G,5,0)</f>
        <v>01000415486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3" t="s">
        <v>457</v>
      </c>
      <c r="B432" s="1">
        <v>735137965041</v>
      </c>
      <c r="C432" s="1" t="s">
        <v>301</v>
      </c>
      <c r="D432" s="3" t="s">
        <v>69</v>
      </c>
      <c r="E432" s="1" t="s">
        <v>14</v>
      </c>
      <c r="F432" s="2">
        <f ca="1">VLOOKUP(A432,Sheet2!C:D,2,0)</f>
        <v>2469</v>
      </c>
      <c r="G432" s="2" t="str">
        <f ca="1">VLOOKUP(A432,Sheet2!C:E,3,0)</f>
        <v>EG04-EG05-EG06-EG07-EG08-EG09</v>
      </c>
      <c r="H432" s="2" t="str">
        <f ca="1">VLOOKUP(A432,Sheet2!A:F,6,0)</f>
        <v>mohamedbasis4@gmail.com</v>
      </c>
      <c r="I432" s="2" t="str">
        <f ca="1">VLOOKUP(A432,Sheet2!C:G,5,0)</f>
        <v>01227115532 - 01555325577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3" t="s">
        <v>458</v>
      </c>
      <c r="B433" s="1">
        <v>358183213283</v>
      </c>
      <c r="C433" s="1" t="s">
        <v>301</v>
      </c>
      <c r="D433" s="3" t="s">
        <v>69</v>
      </c>
      <c r="E433" s="1" t="s">
        <v>14</v>
      </c>
      <c r="F433" s="2">
        <f ca="1">VLOOKUP(A433,Sheet2!C:D,2,0)</f>
        <v>2463</v>
      </c>
      <c r="G433" s="2" t="str">
        <f ca="1">VLOOKUP(A433,Sheet2!C:E,3,0)</f>
        <v>EG07-EG08-EG09</v>
      </c>
      <c r="H433" s="2" t="str">
        <f ca="1">VLOOKUP(A433,Sheet2!A:F,6,0)</f>
        <v>ashrf.d20011@yahoo.com</v>
      </c>
      <c r="I433" s="2" t="str">
        <f ca="1">VLOOKUP(A433,Sheet2!C:G,5,0)</f>
        <v>01140350043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3" t="s">
        <v>459</v>
      </c>
      <c r="B434" s="1">
        <v>184134281752</v>
      </c>
      <c r="C434" s="1" t="s">
        <v>301</v>
      </c>
      <c r="D434" s="3" t="s">
        <v>69</v>
      </c>
      <c r="E434" s="1" t="s">
        <v>14</v>
      </c>
      <c r="F434" s="2">
        <f ca="1">VLOOKUP(A434,Sheet2!C:D,2,0)</f>
        <v>2418</v>
      </c>
      <c r="G434" s="2" t="str">
        <f ca="1">VLOOKUP(A434,Sheet2!C:E,3,0)</f>
        <v>EG07-EG08-EG09</v>
      </c>
      <c r="H434" s="2" t="str">
        <f ca="1">VLOOKUP(A434,Sheet2!A:F,6,0)</f>
        <v>ahmedolwy1973@gmail.com</v>
      </c>
      <c r="I434" s="2" t="str">
        <f ca="1">VLOOKUP(A434,Sheet2!C:G,5,0)</f>
        <v>01099194027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3" t="s">
        <v>460</v>
      </c>
      <c r="B435" s="1">
        <v>872145824294</v>
      </c>
      <c r="C435" s="1" t="s">
        <v>301</v>
      </c>
      <c r="D435" s="3" t="s">
        <v>69</v>
      </c>
      <c r="E435" s="1" t="s">
        <v>12</v>
      </c>
      <c r="F435" s="2">
        <f ca="1">VLOOKUP(A435,Sheet2!C:D,2,0)</f>
        <v>2464</v>
      </c>
      <c r="G435" s="2" t="str">
        <f ca="1">VLOOKUP(A435,Sheet2!C:E,3,0)</f>
        <v>EG09-EG10-EG11</v>
      </c>
      <c r="H435" s="2" t="str">
        <f ca="1">VLOOKUP(A435,Sheet2!A:F,6,0)</f>
        <v>memomaksoood@gmail.com</v>
      </c>
      <c r="I435" s="2" t="str">
        <f ca="1">VLOOKUP(A435,Sheet2!C:G,5,0)</f>
        <v>01272280157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3" t="s">
        <v>461</v>
      </c>
      <c r="B436" s="1">
        <v>724157458293</v>
      </c>
      <c r="C436" s="1" t="s">
        <v>301</v>
      </c>
      <c r="D436" s="3" t="s">
        <v>69</v>
      </c>
      <c r="E436" s="1" t="s">
        <v>14</v>
      </c>
      <c r="F436" s="2">
        <f ca="1">VLOOKUP(A436,Sheet2!C:D,2,0)</f>
        <v>2460</v>
      </c>
      <c r="G436" s="2" t="str">
        <f ca="1">VLOOKUP(A436,Sheet2!C:E,3,0)</f>
        <v>EG07-EG08-EG09-EG10-EG11</v>
      </c>
      <c r="H436" s="2" t="str">
        <f ca="1">VLOOKUP(A436,Sheet2!A:F,6,0)</f>
        <v>safogo73@gmail.com</v>
      </c>
      <c r="I436" s="2" t="str">
        <f ca="1">VLOOKUP(A436,Sheet2!C:G,5,0)</f>
        <v>01006339089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3" t="s">
        <v>462</v>
      </c>
      <c r="B437" s="1">
        <v>607140826840</v>
      </c>
      <c r="C437" s="1" t="s">
        <v>301</v>
      </c>
      <c r="D437" s="3" t="s">
        <v>69</v>
      </c>
      <c r="E437" s="1" t="s">
        <v>14</v>
      </c>
      <c r="F437" s="2">
        <f ca="1">VLOOKUP(A437,Sheet2!C:D,2,0)</f>
        <v>2828</v>
      </c>
      <c r="G437" s="2" t="str">
        <f ca="1">VLOOKUP(A437,Sheet2!C:E,3,0)</f>
        <v>EG07-EG08-EG09-EG10-EG11-EG12</v>
      </c>
      <c r="H437" s="2" t="str">
        <f ca="1">VLOOKUP(A437,Sheet2!A:F,6,0)</f>
        <v>abdelhadyghzz@yahoo.com</v>
      </c>
      <c r="I437" s="2">
        <f ca="1">VLOOKUP(A437,Sheet2!C:G,5,0)</f>
        <v>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3" t="s">
        <v>463</v>
      </c>
      <c r="B438" s="1">
        <v>196162052652</v>
      </c>
      <c r="C438" s="1" t="s">
        <v>301</v>
      </c>
      <c r="D438" s="3" t="s">
        <v>69</v>
      </c>
      <c r="E438" s="1" t="s">
        <v>14</v>
      </c>
      <c r="F438" s="2">
        <f ca="1">VLOOKUP(A438,Sheet2!C:D,2,0)</f>
        <v>2494</v>
      </c>
      <c r="G438" s="2" t="str">
        <f ca="1">VLOOKUP(A438,Sheet2!C:E,3,0)</f>
        <v>EG04-EG05-EG06-EG07-EG08-EG09</v>
      </c>
      <c r="H438" s="2" t="str">
        <f ca="1">VLOOKUP(A438,Sheet2!A:F,6,0)</f>
        <v>medoarabichotmail@gmail.com</v>
      </c>
      <c r="I438" s="2" t="str">
        <f ca="1">VLOOKUP(A438,Sheet2!C:G,5,0)</f>
        <v>01061778524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3" t="s">
        <v>464</v>
      </c>
      <c r="B439" s="1">
        <v>863124634182</v>
      </c>
      <c r="C439" s="1" t="s">
        <v>301</v>
      </c>
      <c r="D439" s="3" t="s">
        <v>69</v>
      </c>
      <c r="E439" s="1" t="s">
        <v>14</v>
      </c>
      <c r="F439" s="2">
        <f ca="1">VLOOKUP(A439,Sheet2!C:D,2,0)</f>
        <v>2598</v>
      </c>
      <c r="G439" s="2" t="str">
        <f ca="1">VLOOKUP(A439,Sheet2!C:E,3,0)</f>
        <v>EG04-EG05-EG06-EG07-EG08-EG09</v>
      </c>
      <c r="H439" s="2" t="str">
        <f ca="1">VLOOKUP(A439,Sheet2!A:F,6,0)</f>
        <v>mragab2@gmail.com</v>
      </c>
      <c r="I439" s="2" t="str">
        <f ca="1">VLOOKUP(A439,Sheet2!C:G,5,0)</f>
        <v>01111180258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3" t="s">
        <v>465</v>
      </c>
      <c r="B440" s="1">
        <v>679107028652</v>
      </c>
      <c r="C440" s="1" t="s">
        <v>301</v>
      </c>
      <c r="D440" s="3" t="s">
        <v>69</v>
      </c>
      <c r="E440" s="1" t="s">
        <v>14</v>
      </c>
      <c r="F440" s="2">
        <f ca="1">VLOOKUP(A440,Sheet2!C:D,2,0)</f>
        <v>2607</v>
      </c>
      <c r="G440" s="2" t="str">
        <f ca="1">VLOOKUP(A440,Sheet2!C:E,3,0)</f>
        <v>EG04-EG05-EG06-EG07-EG08-EG09</v>
      </c>
      <c r="H440" s="2" t="str">
        <f ca="1">VLOOKUP(A440,Sheet2!A:F,6,0)</f>
        <v>akhiry443@gmail.com</v>
      </c>
      <c r="I440" s="2">
        <f ca="1">VLOOKUP(A440,Sheet2!C:G,5,0)</f>
        <v>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3" t="s">
        <v>466</v>
      </c>
      <c r="B441" s="1">
        <v>158121437132</v>
      </c>
      <c r="C441" s="1" t="s">
        <v>301</v>
      </c>
      <c r="D441" s="3" t="s">
        <v>69</v>
      </c>
      <c r="E441" s="1" t="s">
        <v>12</v>
      </c>
      <c r="F441" s="2">
        <f ca="1">VLOOKUP(A441,Sheet2!C:D,2,0)</f>
        <v>2689</v>
      </c>
      <c r="G441" s="2" t="str">
        <f ca="1">VLOOKUP(A441,Sheet2!C:E,3,0)</f>
        <v>EG04-EG05-EG06-EG07-EG08-EG09</v>
      </c>
      <c r="H441" s="2" t="str">
        <f ca="1">VLOOKUP(A441,Sheet2!A:F,6,0)</f>
        <v>mr.gamal.salama@gmail.com</v>
      </c>
      <c r="I441" s="2" t="str">
        <f ca="1">VLOOKUP(A441,Sheet2!C:G,5,0)</f>
        <v>01119103599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3" t="s">
        <v>467</v>
      </c>
      <c r="B442" s="1">
        <v>248108614245</v>
      </c>
      <c r="C442" s="1" t="s">
        <v>301</v>
      </c>
      <c r="D442" s="3" t="s">
        <v>69</v>
      </c>
      <c r="E442" s="1" t="s">
        <v>12</v>
      </c>
      <c r="F442" s="2">
        <f ca="1">VLOOKUP(A442,Sheet2!C:D,2,0)</f>
        <v>2714</v>
      </c>
      <c r="G442" s="2" t="str">
        <f ca="1">VLOOKUP(A442,Sheet2!C:E,3,0)</f>
        <v>EG03-EG04-EG05-EG06-EG07-EG08-EG09</v>
      </c>
      <c r="H442" s="2" t="str">
        <f ca="1">VLOOKUP(A442,Sheet2!A:F,6,0)</f>
        <v>moazkhalid37@gmail.com</v>
      </c>
      <c r="I442" s="2" t="str">
        <f ca="1">VLOOKUP(A442,Sheet2!C:G,5,0)</f>
        <v>01030350227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3" t="s">
        <v>468</v>
      </c>
      <c r="B443" s="1">
        <v>808120316039</v>
      </c>
      <c r="C443" s="1" t="s">
        <v>301</v>
      </c>
      <c r="D443" s="3" t="s">
        <v>69</v>
      </c>
      <c r="E443" s="1" t="s">
        <v>14</v>
      </c>
      <c r="F443" s="2">
        <f ca="1">VLOOKUP(A443,Sheet2!C:D,2,0)</f>
        <v>2739</v>
      </c>
      <c r="G443" s="2" t="str">
        <f ca="1">VLOOKUP(A443,Sheet2!C:E,3,0)</f>
        <v>EG04-EG05-EG06-EG07-EG08-EG09</v>
      </c>
      <c r="H443" s="2" t="str">
        <f ca="1">VLOOKUP(A443,Sheet2!A:F,6,0)</f>
        <v>doa.ly0852@gmail.com</v>
      </c>
      <c r="I443" s="2" t="str">
        <f ca="1">VLOOKUP(A443,Sheet2!C:G,5,0)</f>
        <v>0021066128934/0021556107320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3" t="s">
        <v>469</v>
      </c>
      <c r="B444" s="1">
        <v>745160949182</v>
      </c>
      <c r="C444" s="1" t="s">
        <v>301</v>
      </c>
      <c r="D444" s="3" t="s">
        <v>69</v>
      </c>
      <c r="E444" s="1" t="s">
        <v>14</v>
      </c>
      <c r="F444" s="2">
        <f ca="1">VLOOKUP(A444,Sheet2!C:D,2,0)</f>
        <v>2666</v>
      </c>
      <c r="G444" s="2" t="str">
        <f ca="1">VLOOKUP(A444,Sheet2!C:E,3,0)</f>
        <v>EG07-EG08-EG09</v>
      </c>
      <c r="H444" s="2" t="str">
        <f ca="1">VLOOKUP(A444,Sheet2!A:F,6,0)</f>
        <v>ammar.osama0127@gmail.com</v>
      </c>
      <c r="I444" s="2">
        <f ca="1">VLOOKUP(A444,Sheet2!C:G,5,0)</f>
        <v>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3" t="s">
        <v>470</v>
      </c>
      <c r="B445" s="1">
        <v>945158431678</v>
      </c>
      <c r="C445" s="1" t="s">
        <v>301</v>
      </c>
      <c r="D445" s="3" t="s">
        <v>69</v>
      </c>
      <c r="E445" s="1" t="s">
        <v>12</v>
      </c>
      <c r="F445" s="2">
        <f ca="1">VLOOKUP(A445,Sheet2!C:D,2,0)</f>
        <v>2683</v>
      </c>
      <c r="G445" s="2" t="str">
        <f ca="1">VLOOKUP(A445,Sheet2!C:E,3,0)</f>
        <v>EG04-EG05-EG06-EG07-EG08-EG09</v>
      </c>
      <c r="H445" s="2" t="str">
        <f ca="1">VLOOKUP(A445,Sheet2!A:F,6,0)</f>
        <v>ashrafsabry310@gmail.com</v>
      </c>
      <c r="I445" s="2">
        <f ca="1">VLOOKUP(A445,Sheet2!C:G,5,0)</f>
        <v>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3" t="s">
        <v>471</v>
      </c>
      <c r="B446" s="1">
        <v>173169573720</v>
      </c>
      <c r="C446" s="1" t="s">
        <v>301</v>
      </c>
      <c r="D446" s="3" t="s">
        <v>69</v>
      </c>
      <c r="E446" s="1" t="s">
        <v>12</v>
      </c>
      <c r="F446" s="2">
        <f ca="1">VLOOKUP(A446,Sheet2!C:D,2,0)</f>
        <v>2518</v>
      </c>
      <c r="G446" s="2" t="str">
        <f ca="1">VLOOKUP(A446,Sheet2!C:E,3,0)</f>
        <v>EG07-EG08-EG09-EG10-EG11-EG12</v>
      </c>
      <c r="H446" s="2" t="str">
        <f ca="1">VLOOKUP(A446,Sheet2!A:F,6,0)</f>
        <v>tarekolaimi@gmail.com</v>
      </c>
      <c r="I446" s="2" t="str">
        <f ca="1">VLOOKUP(A446,Sheet2!C:G,5,0)</f>
        <v>01229982012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3" t="s">
        <v>472</v>
      </c>
      <c r="B447" s="1">
        <v>802176250947</v>
      </c>
      <c r="C447" s="1" t="s">
        <v>301</v>
      </c>
      <c r="D447" s="3" t="s">
        <v>69</v>
      </c>
      <c r="E447" s="1" t="s">
        <v>12</v>
      </c>
      <c r="F447" s="2">
        <f ca="1">VLOOKUP(A447,Sheet2!C:D,2,0)</f>
        <v>2636</v>
      </c>
      <c r="G447" s="2" t="str">
        <f ca="1">VLOOKUP(A447,Sheet2!C:E,3,0)</f>
        <v>EG07-EG08-EG09</v>
      </c>
      <c r="H447" s="2" t="str">
        <f ca="1">VLOOKUP(A447,Sheet2!A:F,6,0)</f>
        <v>mabdelghany503@gmail.com</v>
      </c>
      <c r="I447" s="2">
        <f ca="1">VLOOKUP(A447,Sheet2!C:G,5,0)</f>
        <v>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3" t="s">
        <v>473</v>
      </c>
      <c r="B448" s="1">
        <v>648193010591</v>
      </c>
      <c r="C448" s="1" t="s">
        <v>474</v>
      </c>
      <c r="D448" s="1" t="s">
        <v>475</v>
      </c>
      <c r="E448" s="1" t="s">
        <v>14</v>
      </c>
      <c r="F448" s="4" t="str">
        <f ca="1">VLOOKUP(A448,Sheet2!C:D,2,0)</f>
        <v>1087</v>
      </c>
      <c r="G448" s="2" t="str">
        <f ca="1">VLOOKUP(A448,Sheet2!C:E,3,0)</f>
        <v>EG10-EG11-G12</v>
      </c>
      <c r="H448" s="2" t="str">
        <f ca="1">VLOOKUP(A448,Sheet2!A:F,6,0)</f>
        <v>shady.donia@nagwa.com</v>
      </c>
      <c r="I448" s="2">
        <f ca="1">VLOOKUP(A448,Sheet2!C:G,5,0)</f>
        <v>201119117049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3" t="s">
        <v>476</v>
      </c>
      <c r="B449" s="1">
        <v>535169041274</v>
      </c>
      <c r="C449" s="1" t="s">
        <v>474</v>
      </c>
      <c r="D449" s="1" t="s">
        <v>475</v>
      </c>
      <c r="E449" s="1" t="s">
        <v>12</v>
      </c>
      <c r="F449" s="4" t="str">
        <f ca="1">VLOOKUP(A449,Sheet2!C:D,2,0)</f>
        <v>1490</v>
      </c>
      <c r="G449" s="2" t="str">
        <f ca="1">VLOOKUP(A449,Sheet2!C:E,3,0)</f>
        <v>EG10-EG11</v>
      </c>
      <c r="H449" s="2" t="str">
        <f ca="1">VLOOKUP(A449,Sheet2!A:F,6,0)</f>
        <v>malak.maliwy@gmail.com</v>
      </c>
      <c r="I449" s="2">
        <f ca="1">VLOOKUP(A449,Sheet2!C:G,5,0)</f>
        <v>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3" t="s">
        <v>477</v>
      </c>
      <c r="B450" s="1">
        <v>165178526464</v>
      </c>
      <c r="C450" s="1" t="s">
        <v>474</v>
      </c>
      <c r="D450" s="1" t="s">
        <v>475</v>
      </c>
      <c r="E450" s="1" t="s">
        <v>14</v>
      </c>
      <c r="F450" s="4" t="str">
        <f ca="1">VLOOKUP(A450,Sheet2!C:D,2,0)</f>
        <v>1867</v>
      </c>
      <c r="G450" s="2" t="str">
        <f ca="1">VLOOKUP(A450,Sheet2!C:E,3,0)</f>
        <v>EG10-EG11-G12</v>
      </c>
      <c r="H450" s="2" t="str">
        <f ca="1">VLOOKUP(A450,Sheet2!A:F,6,0)</f>
        <v>bishoywadea.7@gmail.com</v>
      </c>
      <c r="I450" s="2" t="str">
        <f ca="1">VLOOKUP(A450,Sheet2!C:G,5,0)</f>
        <v>01220405245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3" t="s">
        <v>478</v>
      </c>
      <c r="B451" s="1">
        <v>576138787065</v>
      </c>
      <c r="C451" s="1" t="s">
        <v>474</v>
      </c>
      <c r="D451" s="1" t="s">
        <v>475</v>
      </c>
      <c r="E451" s="1" t="s">
        <v>14</v>
      </c>
      <c r="F451" s="4" t="str">
        <f ca="1">VLOOKUP(A451,Sheet2!C:D,2,0)</f>
        <v>2023</v>
      </c>
      <c r="G451" s="2" t="str">
        <f ca="1">VLOOKUP(A451,Sheet2!C:E,3,0)</f>
        <v>EG10-EG11</v>
      </c>
      <c r="H451" s="2" t="str">
        <f ca="1">VLOOKUP(A451,Sheet2!A:F,6,0)</f>
        <v>hosamabdelhay90@gmail.com</v>
      </c>
      <c r="I451" s="2" t="str">
        <f ca="1">VLOOKUP(A451,Sheet2!C:G,5,0)</f>
        <v>01003137129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3" t="s">
        <v>479</v>
      </c>
      <c r="B452" s="1">
        <v>159132748372</v>
      </c>
      <c r="C452" s="1" t="s">
        <v>474</v>
      </c>
      <c r="D452" s="1" t="s">
        <v>475</v>
      </c>
      <c r="E452" s="1" t="s">
        <v>12</v>
      </c>
      <c r="F452" s="2">
        <f ca="1">VLOOKUP(A452,Sheet2!C:D,2,0)</f>
        <v>2679</v>
      </c>
      <c r="G452" s="2" t="str">
        <f ca="1">VLOOKUP(A452,Sheet2!C:E,3,0)</f>
        <v>EG07-EG08-EG09</v>
      </c>
      <c r="H452" s="2">
        <f ca="1">VLOOKUP(A452,Sheet2!A:F,6,0)</f>
        <v>0</v>
      </c>
      <c r="I452" s="2">
        <f ca="1">VLOOKUP(A452,Sheet2!C:G,5,0)</f>
        <v>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3" t="s">
        <v>480</v>
      </c>
      <c r="B453" s="1">
        <v>427185258450</v>
      </c>
      <c r="C453" s="1" t="s">
        <v>474</v>
      </c>
      <c r="D453" s="1" t="s">
        <v>475</v>
      </c>
      <c r="E453" s="1" t="s">
        <v>14</v>
      </c>
      <c r="F453" s="4" t="str">
        <f ca="1">VLOOKUP(A453,Sheet2!C:D,2,0)</f>
        <v>2236</v>
      </c>
      <c r="G453" s="2" t="str">
        <f ca="1">VLOOKUP(A453,Sheet2!C:E,3,0)</f>
        <v>EG10-EG11</v>
      </c>
      <c r="H453" s="2" t="str">
        <f ca="1">VLOOKUP(A453,Sheet2!A:F,6,0)</f>
        <v>ahmedsmry12@gmail.com</v>
      </c>
      <c r="I453" s="2" t="str">
        <f ca="1">VLOOKUP(A453,Sheet2!C:G,5,0)</f>
        <v>01118803888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3" t="s">
        <v>481</v>
      </c>
      <c r="B454" s="1">
        <v>485105671631</v>
      </c>
      <c r="C454" s="1" t="s">
        <v>474</v>
      </c>
      <c r="D454" s="1" t="s">
        <v>475</v>
      </c>
      <c r="E454" s="1" t="s">
        <v>12</v>
      </c>
      <c r="F454" s="2" t="str">
        <f ca="1">VLOOKUP(A454,Sheet2!C:D,2,0)</f>
        <v>2243</v>
      </c>
      <c r="G454" s="2" t="str">
        <f ca="1">VLOOKUP(A454,Sheet2!C:E,3,0)</f>
        <v>EG10-EG11</v>
      </c>
      <c r="H454" s="2" t="str">
        <f ca="1">VLOOKUP(A454,Sheet2!A:F,6,0)</f>
        <v>amalhegazy1628@gmail.com</v>
      </c>
      <c r="I454" s="2" t="str">
        <f ca="1">VLOOKUP(A454,Sheet2!C:G,5,0)</f>
        <v>01142006904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3" t="s">
        <v>482</v>
      </c>
      <c r="B455" s="1">
        <v>684136956389</v>
      </c>
      <c r="C455" s="1" t="s">
        <v>474</v>
      </c>
      <c r="D455" s="1" t="s">
        <v>475</v>
      </c>
      <c r="E455" s="1" t="s">
        <v>14</v>
      </c>
      <c r="F455" s="2">
        <f ca="1">VLOOKUP(A455,Sheet2!C:D,2,0)</f>
        <v>2272</v>
      </c>
      <c r="G455" s="2" t="str">
        <f ca="1">VLOOKUP(A455,Sheet2!C:E,3,0)</f>
        <v>EG10-EG11-G12</v>
      </c>
      <c r="H455" s="2" t="str">
        <f ca="1">VLOOKUP(A455,Sheet2!A:F,6,0)</f>
        <v>dr.samar.youseff@gmail.com</v>
      </c>
      <c r="I455" s="2" t="str">
        <f ca="1">VLOOKUP(A455,Sheet2!C:G,5,0)</f>
        <v>01227193179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3" t="s">
        <v>483</v>
      </c>
      <c r="B456" s="1">
        <v>535159767372</v>
      </c>
      <c r="C456" s="1" t="s">
        <v>474</v>
      </c>
      <c r="D456" s="1" t="s">
        <v>475</v>
      </c>
      <c r="E456" s="1" t="s">
        <v>14</v>
      </c>
      <c r="F456" s="2">
        <f ca="1">VLOOKUP(A456,Sheet2!C:D,2,0)</f>
        <v>2268</v>
      </c>
      <c r="G456" s="2" t="str">
        <f ca="1">VLOOKUP(A456,Sheet2!C:E,3,0)</f>
        <v>EG10-EG11-EG12</v>
      </c>
      <c r="H456" s="2" t="str">
        <f ca="1">VLOOKUP(A456,Sheet2!A:F,6,0)</f>
        <v>arsanyaziz@gmail.com</v>
      </c>
      <c r="I456" s="2" t="str">
        <f ca="1">VLOOKUP(A456,Sheet2!C:G,5,0)</f>
        <v>01282842074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3" t="s">
        <v>484</v>
      </c>
      <c r="B457" s="1">
        <v>274174108437</v>
      </c>
      <c r="C457" s="1" t="s">
        <v>474</v>
      </c>
      <c r="D457" s="1" t="s">
        <v>475</v>
      </c>
      <c r="E457" s="1" t="s">
        <v>14</v>
      </c>
      <c r="F457" s="2">
        <f ca="1">VLOOKUP(A457,Sheet2!C:D,2,0)</f>
        <v>2343</v>
      </c>
      <c r="G457" s="2" t="str">
        <f ca="1">VLOOKUP(A457,Sheet2!C:E,3,0)</f>
        <v>EG10-EG11</v>
      </c>
      <c r="H457" s="2" t="str">
        <f ca="1">VLOOKUP(A457,Sheet2!A:F,6,0)</f>
        <v>ahmed98zaky@gmail.com</v>
      </c>
      <c r="I457" s="2" t="str">
        <f ca="1">VLOOKUP(A457,Sheet2!C:G,5,0)</f>
        <v>01100707485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3" t="s">
        <v>485</v>
      </c>
      <c r="B458" s="1">
        <v>164139350921</v>
      </c>
      <c r="C458" s="1" t="s">
        <v>474</v>
      </c>
      <c r="D458" s="1" t="s">
        <v>486</v>
      </c>
      <c r="E458" s="1" t="s">
        <v>14</v>
      </c>
      <c r="F458" s="4" t="str">
        <f ca="1">VLOOKUP(A458,Sheet2!C:D,2,0)</f>
        <v>2054</v>
      </c>
      <c r="G458" s="2" t="str">
        <f ca="1">VLOOKUP(A458,Sheet2!C:E,3,0)</f>
        <v>EG10-EG11-G12</v>
      </c>
      <c r="H458" s="2" t="str">
        <f ca="1">VLOOKUP(A458,Sheet2!A:F,6,0)</f>
        <v>mhd.elgharabawi@gmail.com</v>
      </c>
      <c r="I458" s="2" t="str">
        <f ca="1">VLOOKUP(A458,Sheet2!C:G,5,0)</f>
        <v>01030556439 - 01146640967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3" t="s">
        <v>487</v>
      </c>
      <c r="B459" s="1">
        <v>718157635385</v>
      </c>
      <c r="C459" s="1" t="s">
        <v>474</v>
      </c>
      <c r="D459" s="1" t="s">
        <v>486</v>
      </c>
      <c r="E459" s="1" t="s">
        <v>14</v>
      </c>
      <c r="F459" s="4" t="str">
        <f ca="1">VLOOKUP(A459,Sheet2!C:D,2,0)</f>
        <v>2014</v>
      </c>
      <c r="G459" s="2" t="str">
        <f ca="1">VLOOKUP(A459,Sheet2!C:E,3,0)</f>
        <v>EG10-EG11-G12</v>
      </c>
      <c r="H459" s="2" t="str">
        <f ca="1">VLOOKUP(A459,Sheet2!A:F,6,0)</f>
        <v>safaa68gamal@gmail.com</v>
      </c>
      <c r="I459" s="2">
        <f ca="1">VLOOKUP(A459,Sheet2!C:G,5,0)</f>
        <v>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3" t="s">
        <v>488</v>
      </c>
      <c r="B460" s="1">
        <v>809169821473</v>
      </c>
      <c r="C460" s="1" t="s">
        <v>474</v>
      </c>
      <c r="D460" s="1" t="s">
        <v>486</v>
      </c>
      <c r="E460" s="1" t="s">
        <v>14</v>
      </c>
      <c r="F460" s="4" t="str">
        <f ca="1">VLOOKUP(A460,Sheet2!C:D,2,0)</f>
        <v>2200</v>
      </c>
      <c r="G460" s="2" t="str">
        <f ca="1">VLOOKUP(A460,Sheet2!C:E,3,0)</f>
        <v>G11-G12</v>
      </c>
      <c r="H460" s="2" t="str">
        <f ca="1">VLOOKUP(A460,Sheet2!A:F,6,0)</f>
        <v>abdelrhman.elsayed96@gmail.com</v>
      </c>
      <c r="I460" s="2" t="str">
        <f ca="1">VLOOKUP(A460,Sheet2!C:G,5,0)</f>
        <v>01009944752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3" t="s">
        <v>489</v>
      </c>
      <c r="B461" s="1">
        <v>484190812809</v>
      </c>
      <c r="C461" s="1" t="s">
        <v>474</v>
      </c>
      <c r="D461" s="1" t="s">
        <v>486</v>
      </c>
      <c r="E461" s="1" t="s">
        <v>14</v>
      </c>
      <c r="F461" s="2">
        <f ca="1">VLOOKUP(A461,Sheet2!C:D,2,0)</f>
        <v>2465</v>
      </c>
      <c r="G461" s="2" t="str">
        <f ca="1">VLOOKUP(A461,Sheet2!C:E,3,0)</f>
        <v>EG11-EG12</v>
      </c>
      <c r="H461" s="2" t="str">
        <f ca="1">VLOOKUP(A461,Sheet2!A:F,6,0)</f>
        <v>romanyscience00@gmail.com</v>
      </c>
      <c r="I461" s="2" t="str">
        <f ca="1">VLOOKUP(A461,Sheet2!C:G,5,0)</f>
        <v>01282802415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3" t="s">
        <v>490</v>
      </c>
      <c r="B462" s="1">
        <v>725121824513</v>
      </c>
      <c r="C462" s="1" t="s">
        <v>474</v>
      </c>
      <c r="D462" s="1" t="s">
        <v>486</v>
      </c>
      <c r="E462" s="1" t="s">
        <v>12</v>
      </c>
      <c r="F462" s="2">
        <f ca="1">VLOOKUP(A462,Sheet2!C:D,2,0)</f>
        <v>2510</v>
      </c>
      <c r="G462" s="2" t="str">
        <f ca="1">VLOOKUP(A462,Sheet2!C:E,3,0)</f>
        <v>EG10-EG11-EG12</v>
      </c>
      <c r="H462" s="2" t="str">
        <f ca="1">VLOOKUP(A462,Sheet2!A:F,6,0)</f>
        <v>khaled.ghaly.acd@gmail.com</v>
      </c>
      <c r="I462" s="2">
        <f ca="1">VLOOKUP(A462,Sheet2!C:G,5,0)</f>
        <v>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3" t="s">
        <v>491</v>
      </c>
      <c r="B463" s="1">
        <v>368106936162</v>
      </c>
      <c r="C463" s="1" t="s">
        <v>474</v>
      </c>
      <c r="D463" s="1" t="s">
        <v>25</v>
      </c>
      <c r="E463" s="1" t="s">
        <v>14</v>
      </c>
      <c r="F463" s="4" t="str">
        <f ca="1">VLOOKUP(A463,Sheet2!C:D,2,0)</f>
        <v>1794</v>
      </c>
      <c r="G463" s="2">
        <f ca="1">VLOOKUP(A463,Sheet2!C:E,3,0)</f>
        <v>0</v>
      </c>
      <c r="H463" s="2" t="str">
        <f ca="1">VLOOKUP(A463,Sheet2!A:F,6,0)</f>
        <v>hebaadel19952@gmail.com</v>
      </c>
      <c r="I463" s="2">
        <f ca="1">VLOOKUP(A463,Sheet2!C:G,5,0)</f>
        <v>201094446118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3" t="s">
        <v>492</v>
      </c>
      <c r="B464" s="1">
        <v>736126951732</v>
      </c>
      <c r="C464" s="1" t="s">
        <v>474</v>
      </c>
      <c r="D464" s="1" t="s">
        <v>25</v>
      </c>
      <c r="E464" s="1" t="s">
        <v>12</v>
      </c>
      <c r="F464" s="4" t="str">
        <f ca="1">VLOOKUP(A464,Sheet2!C:D,2,0)</f>
        <v>1827</v>
      </c>
      <c r="G464" s="2">
        <f ca="1">VLOOKUP(A464,Sheet2!C:E,3,0)</f>
        <v>0</v>
      </c>
      <c r="H464" s="2" t="str">
        <f ca="1">VLOOKUP(A464,Sheet2!A:F,6,0)</f>
        <v>nohabasuni@yahoo.com</v>
      </c>
      <c r="I464" s="2" t="str">
        <f ca="1">VLOOKUP(A464,Sheet2!C:G,5,0)</f>
        <v>01016605503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3" t="s">
        <v>493</v>
      </c>
      <c r="B465" s="1">
        <v>126129384181</v>
      </c>
      <c r="C465" s="1" t="s">
        <v>474</v>
      </c>
      <c r="D465" s="1" t="s">
        <v>25</v>
      </c>
      <c r="E465" s="1" t="s">
        <v>12</v>
      </c>
      <c r="F465" s="4">
        <f ca="1">VLOOKUP(A465,Sheet2!C:D,2,0)</f>
        <v>2305</v>
      </c>
      <c r="G465" s="2">
        <f ca="1">VLOOKUP(A465,Sheet2!C:E,3,0)</f>
        <v>0</v>
      </c>
      <c r="H465" s="2" t="str">
        <f ca="1">VLOOKUP(A465,Sheet2!A:F,6,0)</f>
        <v>georgemagdi.vis@gmail.com</v>
      </c>
      <c r="I465" s="2" t="str">
        <f ca="1">VLOOKUP(A465,Sheet2!C:G,5,0)</f>
        <v>01030904466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3" t="s">
        <v>494</v>
      </c>
      <c r="B466" s="1">
        <v>213182140457</v>
      </c>
      <c r="C466" s="1" t="s">
        <v>474</v>
      </c>
      <c r="D466" s="1" t="s">
        <v>25</v>
      </c>
      <c r="E466" s="1" t="s">
        <v>12</v>
      </c>
      <c r="F466" s="2">
        <f ca="1">VLOOKUP(A466,Sheet2!C:D,2,0)</f>
        <v>2486</v>
      </c>
      <c r="G466" s="2" t="str">
        <f ca="1">VLOOKUP(A466,Sheet2!C:E,3,0)</f>
        <v>EG07-EG08-EG09-EG10-EG11-EG12</v>
      </c>
      <c r="H466" s="2" t="str">
        <f ca="1">VLOOKUP(A466,Sheet2!A:F,6,0)</f>
        <v>amrhussien14@gmail.com</v>
      </c>
      <c r="I466" s="2" t="str">
        <f ca="1">VLOOKUP(A466,Sheet2!C:G,5,0)</f>
        <v>01095433048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3" t="s">
        <v>495</v>
      </c>
      <c r="B467" s="1">
        <v>810152324716</v>
      </c>
      <c r="C467" s="1" t="s">
        <v>474</v>
      </c>
      <c r="D467" s="1" t="s">
        <v>25</v>
      </c>
      <c r="E467" s="1" t="s">
        <v>12</v>
      </c>
      <c r="F467" s="2">
        <f ca="1">VLOOKUP(A467,Sheet2!C:D,2,0)</f>
        <v>0</v>
      </c>
      <c r="G467" s="2" t="str">
        <f ca="1">VLOOKUP(A467,Sheet2!C:E,3,0)</f>
        <v>EG10-EG11-G12</v>
      </c>
      <c r="H467" s="2" t="str">
        <f ca="1">VLOOKUP(A467,Sheet2!A:F,6,0)</f>
        <v>sherif_khair45@hotmail.com</v>
      </c>
      <c r="I467" s="2" t="str">
        <f ca="1">VLOOKUP(A467,Sheet2!C:G,5,0)</f>
        <v>01018483822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3" t="s">
        <v>496</v>
      </c>
      <c r="B468" s="1">
        <v>503179175428</v>
      </c>
      <c r="C468" s="1" t="s">
        <v>474</v>
      </c>
      <c r="D468" s="1" t="s">
        <v>25</v>
      </c>
      <c r="E468" s="1" t="s">
        <v>14</v>
      </c>
      <c r="F468" s="2">
        <f ca="1">VLOOKUP(A468,Sheet2!C:D,2,0)</f>
        <v>2726</v>
      </c>
      <c r="G468" s="2" t="str">
        <f ca="1">VLOOKUP(A468,Sheet2!C:E,3,0)</f>
        <v>EG10-EG11-EG12</v>
      </c>
      <c r="H468" s="2" t="str">
        <f ca="1">VLOOKUP(A468,Sheet2!A:F,6,0)</f>
        <v>hajoorhatem10@gmail.com</v>
      </c>
      <c r="I468" s="2" t="str">
        <f ca="1">VLOOKUP(A468,Sheet2!C:G,5,0)</f>
        <v>01126234932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3" t="s">
        <v>497</v>
      </c>
      <c r="B469" s="1">
        <v>840108032761</v>
      </c>
      <c r="C469" s="1" t="s">
        <v>474</v>
      </c>
      <c r="D469" s="1" t="s">
        <v>25</v>
      </c>
      <c r="E469" s="1" t="s">
        <v>12</v>
      </c>
      <c r="F469" s="2">
        <f ca="1">VLOOKUP(A469,Sheet2!C:D,2,0)</f>
        <v>2653</v>
      </c>
      <c r="G469" s="2" t="str">
        <f ca="1">VLOOKUP(A469,Sheet2!C:E,3,0)</f>
        <v>EG10-EG11</v>
      </c>
      <c r="H469" s="2" t="str">
        <f ca="1">VLOOKUP(A469,Sheet2!A:F,6,0)</f>
        <v>hekmat.shabayekesl@gmail.com</v>
      </c>
      <c r="I469" s="2">
        <f ca="1">VLOOKUP(A469,Sheet2!C:G,5,0)</f>
        <v>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3" t="s">
        <v>498</v>
      </c>
      <c r="B470" s="1">
        <v>898189620783</v>
      </c>
      <c r="C470" s="1" t="s">
        <v>474</v>
      </c>
      <c r="D470" s="1" t="s">
        <v>499</v>
      </c>
      <c r="E470" s="1" t="s">
        <v>12</v>
      </c>
      <c r="F470" s="2">
        <f ca="1">VLOOKUP(A470,Sheet2!C:D,2,0)</f>
        <v>2711</v>
      </c>
      <c r="G470" s="2" t="str">
        <f ca="1">VLOOKUP(A470,Sheet2!C:E,3,0)</f>
        <v>G10</v>
      </c>
      <c r="H470" s="2" t="str">
        <f ca="1">VLOOKUP(A470,Sheet2!A:F,6,0)</f>
        <v>israahassansh97@gmail.com</v>
      </c>
      <c r="I470" s="2" t="str">
        <f ca="1">VLOOKUP(A470,Sheet2!C:G,5,0)</f>
        <v>01228144187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3" t="s">
        <v>500</v>
      </c>
      <c r="B471" s="1">
        <v>529120269683</v>
      </c>
      <c r="C471" s="1" t="s">
        <v>474</v>
      </c>
      <c r="D471" s="1" t="s">
        <v>499</v>
      </c>
      <c r="E471" s="1" t="s">
        <v>14</v>
      </c>
      <c r="F471" s="2">
        <f ca="1">VLOOKUP(A471,Sheet2!C:D,2,0)</f>
        <v>2746</v>
      </c>
      <c r="G471" s="2" t="str">
        <f ca="1">VLOOKUP(A471,Sheet2!C:E,3,0)</f>
        <v>EG07-EG08-EG10</v>
      </c>
      <c r="H471" s="2" t="str">
        <f ca="1">VLOOKUP(A471,Sheet2!A:F,6,0)</f>
        <v>ahmed.elbana91@gmail.com</v>
      </c>
      <c r="I471" s="2">
        <f ca="1">VLOOKUP(A471,Sheet2!C:G,5,0)</f>
        <v>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3" t="s">
        <v>501</v>
      </c>
      <c r="B472" s="1">
        <v>895194823203</v>
      </c>
      <c r="C472" s="1" t="s">
        <v>474</v>
      </c>
      <c r="D472" s="1" t="s">
        <v>47</v>
      </c>
      <c r="E472" s="1" t="s">
        <v>14</v>
      </c>
      <c r="F472" s="4" t="str">
        <f ca="1">VLOOKUP(A472,Sheet2!C:D,2,0)</f>
        <v>1779</v>
      </c>
      <c r="G472" s="2">
        <f ca="1">VLOOKUP(A472,Sheet2!C:E,3,0)</f>
        <v>0</v>
      </c>
      <c r="H472" s="2" t="str">
        <f ca="1">VLOOKUP(A472,Sheet2!A:F,6,0)</f>
        <v>eng.amrkhalil2014@gmail.com</v>
      </c>
      <c r="I472" s="2">
        <f ca="1">VLOOKUP(A472,Sheet2!C:G,5,0)</f>
        <v>201146486750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3" t="s">
        <v>502</v>
      </c>
      <c r="B473" s="1">
        <v>853142059206</v>
      </c>
      <c r="C473" s="1" t="s">
        <v>474</v>
      </c>
      <c r="D473" s="1" t="s">
        <v>47</v>
      </c>
      <c r="E473" s="1" t="s">
        <v>12</v>
      </c>
      <c r="F473" s="4" t="str">
        <f ca="1">VLOOKUP(A473,Sheet2!C:D,2,0)</f>
        <v>1870</v>
      </c>
      <c r="G473" s="2">
        <f ca="1">VLOOKUP(A473,Sheet2!C:E,3,0)</f>
        <v>0</v>
      </c>
      <c r="H473" s="2" t="str">
        <f ca="1">VLOOKUP(A473,Sheet2!A:F,6,0)</f>
        <v>dr.nashar1x@gmail.com</v>
      </c>
      <c r="I473" s="2">
        <f ca="1">VLOOKUP(A473,Sheet2!C:G,5,0)</f>
        <v>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3" t="s">
        <v>503</v>
      </c>
      <c r="B474" s="1">
        <v>698131716280</v>
      </c>
      <c r="C474" s="1" t="s">
        <v>474</v>
      </c>
      <c r="D474" s="1" t="s">
        <v>47</v>
      </c>
      <c r="E474" s="1" t="s">
        <v>14</v>
      </c>
      <c r="F474" s="4" t="str">
        <f ca="1">VLOOKUP(A474,Sheet2!C:D,2,0)</f>
        <v>1955</v>
      </c>
      <c r="G474" s="2">
        <f ca="1">VLOOKUP(A474,Sheet2!C:E,3,0)</f>
        <v>0</v>
      </c>
      <c r="H474" s="2" t="str">
        <f ca="1">VLOOKUP(A474,Sheet2!A:F,6,0)</f>
        <v>mr.sayedsabry.ss10@gmail.com</v>
      </c>
      <c r="I474" s="2">
        <f ca="1">VLOOKUP(A474,Sheet2!C:G,5,0)</f>
        <v>1204000519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3" t="s">
        <v>504</v>
      </c>
      <c r="B475" s="1">
        <v>108136563671</v>
      </c>
      <c r="C475" s="1" t="s">
        <v>474</v>
      </c>
      <c r="D475" s="1" t="s">
        <v>47</v>
      </c>
      <c r="E475" s="1" t="s">
        <v>12</v>
      </c>
      <c r="F475" s="4" t="str">
        <f ca="1">VLOOKUP(A475,Sheet2!C:D,2,0)</f>
        <v>1954</v>
      </c>
      <c r="G475" s="2">
        <f ca="1">VLOOKUP(A475,Sheet2!C:E,3,0)</f>
        <v>0</v>
      </c>
      <c r="H475" s="2">
        <f ca="1">VLOOKUP(A475,Sheet2!A:F,6,0)</f>
        <v>0</v>
      </c>
      <c r="I475" s="2">
        <f ca="1">VLOOKUP(A475,Sheet2!C:G,5,0)</f>
        <v>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3" t="s">
        <v>505</v>
      </c>
      <c r="B476" s="1">
        <v>987156102178</v>
      </c>
      <c r="C476" s="1" t="s">
        <v>474</v>
      </c>
      <c r="D476" s="1" t="s">
        <v>47</v>
      </c>
      <c r="E476" s="1" t="s">
        <v>14</v>
      </c>
      <c r="F476" s="2">
        <f ca="1">VLOOKUP(A476,Sheet2!C:D,2,0)</f>
        <v>2481</v>
      </c>
      <c r="G476" s="2" t="str">
        <f ca="1">VLOOKUP(A476,Sheet2!C:E,3,0)</f>
        <v>EG07-EG08-EG09-EG10-EG11-EG12</v>
      </c>
      <c r="H476" s="2" t="str">
        <f ca="1">VLOOKUP(A476,Sheet2!A:F,6,0)</f>
        <v>ahmedsakr1975@gmail.com</v>
      </c>
      <c r="I476" s="2" t="str">
        <f ca="1">VLOOKUP(A476,Sheet2!C:G,5,0)</f>
        <v>01118411148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3" t="s">
        <v>506</v>
      </c>
      <c r="B477" s="1">
        <v>530148208342</v>
      </c>
      <c r="C477" s="1" t="s">
        <v>474</v>
      </c>
      <c r="D477" s="1" t="s">
        <v>507</v>
      </c>
      <c r="E477" s="1" t="s">
        <v>12</v>
      </c>
      <c r="F477" s="4" t="str">
        <f ca="1">VLOOKUP(A477,Sheet2!C:D,2,0)</f>
        <v>1868</v>
      </c>
      <c r="G477" s="2">
        <f ca="1">VLOOKUP(A477,Sheet2!C:E,3,0)</f>
        <v>0</v>
      </c>
      <c r="H477" s="2" t="str">
        <f ca="1">VLOOKUP(A477,Sheet2!A:F,6,0)</f>
        <v>ahmedsayed121292@gmail.com</v>
      </c>
      <c r="I477" s="2">
        <f ca="1">VLOOKUP(A477,Sheet2!C:G,5,0)</f>
        <v>1111733923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3" t="s">
        <v>508</v>
      </c>
      <c r="B478" s="1">
        <v>206152939465</v>
      </c>
      <c r="C478" s="1" t="s">
        <v>474</v>
      </c>
      <c r="D478" s="1" t="s">
        <v>507</v>
      </c>
      <c r="E478" s="1" t="s">
        <v>14</v>
      </c>
      <c r="F478" s="4" t="str">
        <f ca="1">VLOOKUP(A478,Sheet2!C:D,2,0)</f>
        <v>1864</v>
      </c>
      <c r="G478" s="2" t="str">
        <f ca="1">VLOOKUP(A478,Sheet2!C:E,3,0)</f>
        <v>G11-G12</v>
      </c>
      <c r="H478" s="2" t="str">
        <f ca="1">VLOOKUP(A478,Sheet2!A:F,6,0)</f>
        <v>josephemil.jojo@gmail.com</v>
      </c>
      <c r="I478" s="2" t="str">
        <f ca="1">VLOOKUP(A478,Sheet2!C:G,5,0)</f>
        <v>+201228157318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3" t="s">
        <v>509</v>
      </c>
      <c r="B479" s="1">
        <v>920135701295</v>
      </c>
      <c r="C479" s="1" t="s">
        <v>474</v>
      </c>
      <c r="D479" s="1" t="s">
        <v>507</v>
      </c>
      <c r="E479" s="1" t="s">
        <v>14</v>
      </c>
      <c r="F479" s="4" t="str">
        <f ca="1">VLOOKUP(A479,Sheet2!C:D,2,0)</f>
        <v>1887</v>
      </c>
      <c r="G479" s="2" t="str">
        <f ca="1">VLOOKUP(A479,Sheet2!C:E,3,0)</f>
        <v>G11-G12</v>
      </c>
      <c r="H479" s="2" t="str">
        <f ca="1">VLOOKUP(A479,Sheet2!A:F,6,0)</f>
        <v>mr.eslammamdohphysics@gmail.com</v>
      </c>
      <c r="I479" s="2" t="str">
        <f ca="1">VLOOKUP(A479,Sheet2!C:G,5,0)</f>
        <v>01220501541 / 01006878086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3" t="s">
        <v>510</v>
      </c>
      <c r="B480" s="1">
        <v>239195281814</v>
      </c>
      <c r="C480" s="1" t="s">
        <v>474</v>
      </c>
      <c r="D480" s="1" t="s">
        <v>507</v>
      </c>
      <c r="E480" s="1" t="s">
        <v>14</v>
      </c>
      <c r="F480" s="4" t="str">
        <f ca="1">VLOOKUP(A480,Sheet2!C:D,2,0)</f>
        <v>1969</v>
      </c>
      <c r="G480" s="2" t="str">
        <f ca="1">VLOOKUP(A480,Sheet2!C:E,3,0)</f>
        <v>G11-G12</v>
      </c>
      <c r="H480" s="2" t="str">
        <f ca="1">VLOOKUP(A480,Sheet2!A:F,6,0)</f>
        <v>rehab.a.alsaidi@gmail.com</v>
      </c>
      <c r="I480" s="2" t="str">
        <f ca="1">VLOOKUP(A480,Sheet2!C:G,5,0)</f>
        <v>01062441609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3" t="s">
        <v>511</v>
      </c>
      <c r="B481" s="1">
        <v>493105352632</v>
      </c>
      <c r="C481" s="1" t="s">
        <v>474</v>
      </c>
      <c r="D481" s="1" t="s">
        <v>507</v>
      </c>
      <c r="E481" s="1" t="s">
        <v>14</v>
      </c>
      <c r="F481" s="4" t="str">
        <f ca="1">VLOOKUP(A481,Sheet2!C:D,2,0)</f>
        <v>2017</v>
      </c>
      <c r="G481" s="2" t="str">
        <f ca="1">VLOOKUP(A481,Sheet2!C:E,3,0)</f>
        <v>G11-G12</v>
      </c>
      <c r="H481" s="2" t="str">
        <f ca="1">VLOOKUP(A481,Sheet2!A:F,6,0)</f>
        <v>wailpoet76@gmail.com</v>
      </c>
      <c r="I481" s="2" t="str">
        <f ca="1">VLOOKUP(A481,Sheet2!C:G,5,0)</f>
        <v>+201004104024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3" t="s">
        <v>512</v>
      </c>
      <c r="B482" s="1">
        <v>697161098253</v>
      </c>
      <c r="C482" s="1" t="s">
        <v>474</v>
      </c>
      <c r="D482" s="1" t="s">
        <v>507</v>
      </c>
      <c r="E482" s="1" t="s">
        <v>12</v>
      </c>
      <c r="F482" s="4" t="str">
        <f ca="1">VLOOKUP(A482,Sheet2!C:D,2,0)</f>
        <v>2195</v>
      </c>
      <c r="G482" s="2" t="str">
        <f ca="1">VLOOKUP(A482,Sheet2!C:E,3,0)</f>
        <v>EG10-EG11-G12</v>
      </c>
      <c r="H482" s="2" t="str">
        <f ca="1">VLOOKUP(A482,Sheet2!A:F,6,0)</f>
        <v>alhassan.physics@gmail.com</v>
      </c>
      <c r="I482" s="2" t="str">
        <f ca="1">VLOOKUP(A482,Sheet2!C:G,5,0)</f>
        <v>01275338309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3" t="s">
        <v>513</v>
      </c>
      <c r="B483" s="1">
        <v>606135373517</v>
      </c>
      <c r="C483" s="1" t="s">
        <v>474</v>
      </c>
      <c r="D483" s="1" t="s">
        <v>507</v>
      </c>
      <c r="E483" s="1" t="s">
        <v>14</v>
      </c>
      <c r="F483" s="2">
        <f ca="1">VLOOKUP(A483,Sheet2!C:D,2,0)</f>
        <v>2372</v>
      </c>
      <c r="G483" s="2" t="str">
        <f ca="1">VLOOKUP(A483,Sheet2!C:E,3,0)</f>
        <v>EG10-EG11-G12</v>
      </c>
      <c r="H483" s="2" t="str">
        <f ca="1">VLOOKUP(A483,Sheet2!A:F,6,0)</f>
        <v>sitroful350@gmail.com</v>
      </c>
      <c r="I483" s="2" t="str">
        <f ca="1">VLOOKUP(A483,Sheet2!C:G,5,0)</f>
        <v>01204178960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3" t="s">
        <v>514</v>
      </c>
      <c r="B484" s="1">
        <v>538169672528</v>
      </c>
      <c r="C484" s="1" t="s">
        <v>474</v>
      </c>
      <c r="D484" s="1" t="s">
        <v>507</v>
      </c>
      <c r="E484" s="1" t="s">
        <v>12</v>
      </c>
      <c r="F484" s="2">
        <f ca="1">VLOOKUP(A484,Sheet2!C:D,2,0)</f>
        <v>2369</v>
      </c>
      <c r="G484" s="2" t="str">
        <f ca="1">VLOOKUP(A484,Sheet2!C:E,3,0)</f>
        <v>EG10-EG11-G12</v>
      </c>
      <c r="H484" s="2" t="str">
        <f ca="1">VLOOKUP(A484,Sheet2!A:F,6,0)</f>
        <v>geo.georgeedris@gmail.com</v>
      </c>
      <c r="I484" s="2" t="str">
        <f ca="1">VLOOKUP(A484,Sheet2!C:G,5,0)</f>
        <v>01289730426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3" t="s">
        <v>515</v>
      </c>
      <c r="B485" s="1">
        <v>156154179702</v>
      </c>
      <c r="C485" s="1" t="s">
        <v>474</v>
      </c>
      <c r="D485" s="3" t="s">
        <v>516</v>
      </c>
      <c r="E485" s="1" t="s">
        <v>12</v>
      </c>
      <c r="F485" s="4" t="str">
        <f ca="1">VLOOKUP(A485,Sheet2!C:D,2,0)</f>
        <v>1777</v>
      </c>
      <c r="G485" s="2" t="str">
        <f ca="1">VLOOKUP(A485,Sheet2!C:E,3,0)</f>
        <v>EG10-EG11-G12</v>
      </c>
      <c r="H485" s="2" t="str">
        <f ca="1">VLOOKUP(A485,Sheet2!A:F,6,0)</f>
        <v>sama.elberashy@gmail.com</v>
      </c>
      <c r="I485" s="2">
        <f ca="1">VLOOKUP(A485,Sheet2!C:G,5,0)</f>
        <v>201001344221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3" t="s">
        <v>517</v>
      </c>
      <c r="B486" s="1">
        <v>160143206257</v>
      </c>
      <c r="C486" s="1" t="s">
        <v>474</v>
      </c>
      <c r="D486" s="3" t="s">
        <v>516</v>
      </c>
      <c r="E486" s="1" t="s">
        <v>14</v>
      </c>
      <c r="F486" s="4" t="str">
        <f ca="1">VLOOKUP(A486,Sheet2!C:D,2,0)</f>
        <v>1918</v>
      </c>
      <c r="G486" s="2" t="str">
        <f ca="1">VLOOKUP(A486,Sheet2!C:E,3,0)</f>
        <v>EG10-EG11</v>
      </c>
      <c r="H486" s="2" t="str">
        <f ca="1">VLOOKUP(A486,Sheet2!A:F,6,0)</f>
        <v>ahmedhamada07@gmail.com</v>
      </c>
      <c r="I486" s="2">
        <f ca="1">VLOOKUP(A486,Sheet2!C:G,5,0)</f>
        <v>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3" t="s">
        <v>518</v>
      </c>
      <c r="B487" s="1">
        <v>185172946290</v>
      </c>
      <c r="C487" s="1" t="s">
        <v>474</v>
      </c>
      <c r="D487" s="3" t="s">
        <v>516</v>
      </c>
      <c r="E487" s="1" t="s">
        <v>12</v>
      </c>
      <c r="F487" s="4" t="str">
        <f ca="1">VLOOKUP(A487,Sheet2!C:D,2,0)</f>
        <v>1927</v>
      </c>
      <c r="G487" s="2" t="str">
        <f ca="1">VLOOKUP(A487,Sheet2!C:E,3,0)</f>
        <v>EG10-EG11-G12</v>
      </c>
      <c r="H487" s="2" t="str">
        <f ca="1">VLOOKUP(A487,Sheet2!A:F,6,0)</f>
        <v>ragab313@gmail.com</v>
      </c>
      <c r="I487" s="2" t="str">
        <f ca="1">VLOOKUP(A487,Sheet2!C:G,5,0)</f>
        <v>01550767106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3" t="s">
        <v>519</v>
      </c>
      <c r="B488" s="1">
        <v>305108276197</v>
      </c>
      <c r="C488" s="1" t="s">
        <v>474</v>
      </c>
      <c r="D488" s="3" t="s">
        <v>516</v>
      </c>
      <c r="E488" s="1" t="s">
        <v>12</v>
      </c>
      <c r="F488" s="4" t="str">
        <f ca="1">VLOOKUP(A488,Sheet2!C:D,2,0)</f>
        <v>1970</v>
      </c>
      <c r="G488" s="2" t="str">
        <f ca="1">VLOOKUP(A488,Sheet2!C:E,3,0)</f>
        <v>EG10-EG11-G12</v>
      </c>
      <c r="H488" s="2" t="str">
        <f ca="1">VLOOKUP(A488,Sheet2!A:F,6,0)</f>
        <v>abeerabdelhalim153@gmail.com</v>
      </c>
      <c r="I488" s="2">
        <f ca="1">VLOOKUP(A488,Sheet2!C:G,5,0)</f>
        <v>1012274118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3" t="s">
        <v>520</v>
      </c>
      <c r="B489" s="1">
        <v>964165080713</v>
      </c>
      <c r="C489" s="1" t="s">
        <v>474</v>
      </c>
      <c r="D489" s="3" t="s">
        <v>516</v>
      </c>
      <c r="E489" s="1" t="s">
        <v>14</v>
      </c>
      <c r="F489" s="4" t="str">
        <f ca="1">VLOOKUP(A489,Sheet2!C:D,2,0)</f>
        <v>2152</v>
      </c>
      <c r="G489" s="2" t="str">
        <f ca="1">VLOOKUP(A489,Sheet2!C:E,3,0)</f>
        <v>EG10-EG11-G12</v>
      </c>
      <c r="H489" s="2" t="str">
        <f ca="1">VLOOKUP(A489,Sheet2!A:F,6,0)</f>
        <v>muhmdhanii@gmail.com</v>
      </c>
      <c r="I489" s="2" t="str">
        <f ca="1">VLOOKUP(A489,Sheet2!C:G,5,0)</f>
        <v>01555776125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3" t="s">
        <v>521</v>
      </c>
      <c r="B490" s="1">
        <v>850173474604</v>
      </c>
      <c r="C490" s="1" t="s">
        <v>474</v>
      </c>
      <c r="D490" s="3" t="s">
        <v>516</v>
      </c>
      <c r="E490" s="1" t="s">
        <v>12</v>
      </c>
      <c r="F490" s="2">
        <f ca="1">VLOOKUP(A490,Sheet2!C:D,2,0)</f>
        <v>2235</v>
      </c>
      <c r="G490" s="2">
        <f ca="1">VLOOKUP(A490,Sheet2!C:E,3,0)</f>
        <v>0</v>
      </c>
      <c r="H490" s="2" t="str">
        <f ca="1">VLOOKUP(A490,Sheet2!A:F,6,0)</f>
        <v>mahmouedalsayh5@gmail.com</v>
      </c>
      <c r="I490" s="2" t="str">
        <f ca="1">VLOOKUP(A490,Sheet2!C:G,5,0)</f>
        <v>01003104577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3" t="s">
        <v>522</v>
      </c>
      <c r="B491" s="1">
        <v>932148693706</v>
      </c>
      <c r="C491" s="1" t="s">
        <v>474</v>
      </c>
      <c r="D491" s="3" t="s">
        <v>516</v>
      </c>
      <c r="E491" s="1" t="s">
        <v>14</v>
      </c>
      <c r="F491" s="2">
        <f ca="1">VLOOKUP(A491,Sheet2!C:D,2,0)</f>
        <v>2233</v>
      </c>
      <c r="G491" s="2" t="str">
        <f ca="1">VLOOKUP(A491,Sheet2!C:E,3,0)</f>
        <v>Science: EG04-EG05-EG06
العلوم: EG07-EG08-EG09-
الأحياء: G11-G12</v>
      </c>
      <c r="H491" s="2" t="str">
        <f ca="1">VLOOKUP(A491,Sheet2!A:F,6,0)</f>
        <v>doddaheart2003@gmail.com</v>
      </c>
      <c r="I491" s="2" t="str">
        <f ca="1">VLOOKUP(A491,Sheet2!C:G,5,0)</f>
        <v>0111105994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3" t="s">
        <v>523</v>
      </c>
      <c r="B492" s="1">
        <v>906184953437</v>
      </c>
      <c r="C492" s="1" t="s">
        <v>474</v>
      </c>
      <c r="D492" s="3" t="s">
        <v>524</v>
      </c>
      <c r="E492" s="1" t="s">
        <v>14</v>
      </c>
      <c r="F492" s="4" t="str">
        <f ca="1">VLOOKUP(A492,Sheet2!C:D,2,0)</f>
        <v>1763</v>
      </c>
      <c r="G492" s="2">
        <f ca="1">VLOOKUP(A492,Sheet2!C:E,3,0)</f>
        <v>0</v>
      </c>
      <c r="H492" s="2" t="str">
        <f ca="1">VLOOKUP(A492,Sheet2!A:F,6,0)</f>
        <v>ismailm1989@gmail.com</v>
      </c>
      <c r="I492" s="2">
        <f ca="1">VLOOKUP(A492,Sheet2!C:G,5,0)</f>
        <v>201129525491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3" t="s">
        <v>525</v>
      </c>
      <c r="B493" s="1">
        <v>624104658072</v>
      </c>
      <c r="C493" s="1" t="s">
        <v>474</v>
      </c>
      <c r="D493" s="3" t="s">
        <v>524</v>
      </c>
      <c r="E493" s="1" t="s">
        <v>12</v>
      </c>
      <c r="F493" s="4" t="str">
        <f ca="1">VLOOKUP(A493,Sheet2!C:D,2,0)</f>
        <v>1265</v>
      </c>
      <c r="G493" s="2">
        <f ca="1">VLOOKUP(A493,Sheet2!C:E,3,0)</f>
        <v>0</v>
      </c>
      <c r="H493" s="2" t="str">
        <f ca="1">VLOOKUP(A493,Sheet2!A:F,6,0)</f>
        <v>ahmed.abdellatif@nagwa.com</v>
      </c>
      <c r="I493" s="2">
        <f ca="1">VLOOKUP(A493,Sheet2!C:G,5,0)</f>
        <v>201018842229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3" t="s">
        <v>526</v>
      </c>
      <c r="B494" s="1">
        <v>480103238452</v>
      </c>
      <c r="C494" s="1" t="s">
        <v>474</v>
      </c>
      <c r="D494" s="3" t="s">
        <v>524</v>
      </c>
      <c r="E494" s="1" t="s">
        <v>14</v>
      </c>
      <c r="F494" s="4" t="str">
        <f ca="1">VLOOKUP(A494,Sheet2!C:D,2,0)</f>
        <v>1762</v>
      </c>
      <c r="G494" s="2">
        <f ca="1">VLOOKUP(A494,Sheet2!C:E,3,0)</f>
        <v>0</v>
      </c>
      <c r="H494" s="2" t="str">
        <f ca="1">VLOOKUP(A494,Sheet2!A:F,6,0)</f>
        <v>ahmedhassan99967@gmail.com</v>
      </c>
      <c r="I494" s="2">
        <f ca="1">VLOOKUP(A494,Sheet2!C:G,5,0)</f>
        <v>201007787118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3" t="s">
        <v>527</v>
      </c>
      <c r="B495" s="1">
        <v>524151240185</v>
      </c>
      <c r="C495" s="1" t="s">
        <v>474</v>
      </c>
      <c r="D495" s="3" t="s">
        <v>524</v>
      </c>
      <c r="E495" s="1" t="s">
        <v>14</v>
      </c>
      <c r="F495" s="4" t="str">
        <f ca="1">VLOOKUP(A495,Sheet2!C:D,2,0)</f>
        <v>1786</v>
      </c>
      <c r="G495" s="2">
        <f ca="1">VLOOKUP(A495,Sheet2!C:E,3,0)</f>
        <v>0</v>
      </c>
      <c r="H495" s="2" t="str">
        <f ca="1">VLOOKUP(A495,Sheet2!A:F,6,0)</f>
        <v>gehadbadr89@gmail.com</v>
      </c>
      <c r="I495" s="2" t="str">
        <f ca="1">VLOOKUP(A495,Sheet2!C:G,5,0)</f>
        <v>01090297182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3" t="s">
        <v>528</v>
      </c>
      <c r="B496" s="1">
        <v>630193927137</v>
      </c>
      <c r="C496" s="1" t="s">
        <v>474</v>
      </c>
      <c r="D496" s="1" t="s">
        <v>47</v>
      </c>
      <c r="E496" s="1" t="s">
        <v>14</v>
      </c>
      <c r="F496" s="2">
        <f ca="1">VLOOKUP(A496,Sheet2!C:D,2,0)</f>
        <v>1929</v>
      </c>
      <c r="G496" s="2" t="str">
        <f ca="1">VLOOKUP(A496,Sheet2!C:E,3,0)</f>
        <v>EG07-EG08-EG09</v>
      </c>
      <c r="H496" s="2" t="str">
        <f ca="1">VLOOKUP(A496,Sheet2!A:F,6,0)</f>
        <v>ahmedhym99.ah@gmail.com</v>
      </c>
      <c r="I496" s="2" t="str">
        <f ca="1">VLOOKUP(A496,Sheet2!C:G,5,0)</f>
        <v>01286412331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3" t="s">
        <v>529</v>
      </c>
      <c r="B497" s="1">
        <v>509154312983</v>
      </c>
      <c r="C497" s="1" t="s">
        <v>474</v>
      </c>
      <c r="D497" s="3" t="s">
        <v>524</v>
      </c>
      <c r="E497" s="1" t="s">
        <v>12</v>
      </c>
      <c r="F497" s="4" t="str">
        <f ca="1">VLOOKUP(A497,Sheet2!C:D,2,0)</f>
        <v>2060</v>
      </c>
      <c r="G497" s="2">
        <f ca="1">VLOOKUP(A497,Sheet2!C:E,3,0)</f>
        <v>0</v>
      </c>
      <c r="H497" s="2" t="str">
        <f ca="1">VLOOKUP(A497,Sheet2!A:F,6,0)</f>
        <v>hatem01144465866@gmail.com</v>
      </c>
      <c r="I497" s="2" t="str">
        <f ca="1">VLOOKUP(A497,Sheet2!C:G,5,0)</f>
        <v>01005244058/01144465866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3" t="s">
        <v>530</v>
      </c>
      <c r="B498" s="1">
        <v>506172862613</v>
      </c>
      <c r="C498" s="1" t="s">
        <v>474</v>
      </c>
      <c r="D498" s="3" t="s">
        <v>524</v>
      </c>
      <c r="E498" s="1" t="s">
        <v>14</v>
      </c>
      <c r="F498" s="4" t="str">
        <f ca="1">VLOOKUP(A498,Sheet2!C:D,2,0)</f>
        <v>2209</v>
      </c>
      <c r="G498" s="2" t="str">
        <f ca="1">VLOOKUP(A498,Sheet2!C:E,3,0)</f>
        <v>EG10-EG11-G12</v>
      </c>
      <c r="H498" s="2" t="str">
        <f ca="1">VLOOKUP(A498,Sheet2!A:F,6,0)</f>
        <v>tahaabdalrazek97@gmail.com</v>
      </c>
      <c r="I498" s="2" t="str">
        <f ca="1">VLOOKUP(A498,Sheet2!C:G,5,0)</f>
        <v>01150011597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3" t="s">
        <v>531</v>
      </c>
      <c r="B499" s="1">
        <v>789173210154</v>
      </c>
      <c r="C499" s="1" t="s">
        <v>474</v>
      </c>
      <c r="D499" s="3" t="s">
        <v>524</v>
      </c>
      <c r="E499" s="1" t="s">
        <v>12</v>
      </c>
      <c r="F499" s="4" t="str">
        <f ca="1">VLOOKUP(A499,Sheet2!C:D,2,0)</f>
        <v>2201</v>
      </c>
      <c r="G499" s="2" t="str">
        <f ca="1">VLOOKUP(A499,Sheet2!C:E,3,0)</f>
        <v>EG10-EG11-G12</v>
      </c>
      <c r="H499" s="2" t="str">
        <f ca="1">VLOOKUP(A499,Sheet2!A:F,6,0)</f>
        <v>jockey.jojo87@gmail.com</v>
      </c>
      <c r="I499" s="2" t="str">
        <f ca="1">VLOOKUP(A499,Sheet2!C:G,5,0)</f>
        <v>01225423098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3" t="s">
        <v>532</v>
      </c>
      <c r="B500" s="1">
        <v>312183290317</v>
      </c>
      <c r="C500" s="1" t="s">
        <v>474</v>
      </c>
      <c r="D500" s="3" t="s">
        <v>524</v>
      </c>
      <c r="E500" s="1" t="s">
        <v>14</v>
      </c>
      <c r="F500" s="4" t="str">
        <f ca="1">VLOOKUP(A500,Sheet2!C:D,2,0)</f>
        <v>2087</v>
      </c>
      <c r="G500" s="2">
        <f ca="1">VLOOKUP(A500,Sheet2!C:E,3,0)</f>
        <v>0</v>
      </c>
      <c r="H500" s="2" t="str">
        <f ca="1">VLOOKUP(A500,Sheet2!A:F,6,0)</f>
        <v>bassemibrahim8899@gmail.com</v>
      </c>
      <c r="I500" s="2" t="str">
        <f ca="1">VLOOKUP(A500,Sheet2!C:G,5,0)</f>
        <v>01004916918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3" t="s">
        <v>533</v>
      </c>
      <c r="B501" s="1">
        <v>379176206354</v>
      </c>
      <c r="C501" s="1" t="s">
        <v>474</v>
      </c>
      <c r="D501" s="3" t="s">
        <v>534</v>
      </c>
      <c r="E501" s="1" t="s">
        <v>12</v>
      </c>
      <c r="F501" s="4" t="str">
        <f ca="1">VLOOKUP(A501,Sheet2!C:D,2,0)</f>
        <v>1778</v>
      </c>
      <c r="G501" s="2">
        <f ca="1">VLOOKUP(A501,Sheet2!C:E,3,0)</f>
        <v>0</v>
      </c>
      <c r="H501" s="2" t="str">
        <f ca="1">VLOOKUP(A501,Sheet2!A:F,6,0)</f>
        <v>tareksleem606@gmail.com</v>
      </c>
      <c r="I501" s="2">
        <f ca="1">VLOOKUP(A501,Sheet2!C:G,5,0)</f>
        <v>201001599199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3" t="s">
        <v>535</v>
      </c>
      <c r="B502" s="1">
        <v>415194597216</v>
      </c>
      <c r="C502" s="1" t="s">
        <v>474</v>
      </c>
      <c r="D502" s="3" t="s">
        <v>534</v>
      </c>
      <c r="E502" s="1" t="s">
        <v>14</v>
      </c>
      <c r="F502" s="4" t="str">
        <f ca="1">VLOOKUP(A502,Sheet2!C:D,2,0)</f>
        <v>1787</v>
      </c>
      <c r="G502" s="2">
        <f ca="1">VLOOKUP(A502,Sheet2!C:E,3,0)</f>
        <v>0</v>
      </c>
      <c r="H502" s="2" t="str">
        <f ca="1">VLOOKUP(A502,Sheet2!A:F,6,0)</f>
        <v>abomahmoudsoultan@gmail.com</v>
      </c>
      <c r="I502" s="2" t="str">
        <f ca="1">VLOOKUP(A502,Sheet2!C:G,5,0)</f>
        <v>00201153335900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3" t="s">
        <v>536</v>
      </c>
      <c r="B503" s="1">
        <v>595148942145</v>
      </c>
      <c r="C503" s="1" t="s">
        <v>474</v>
      </c>
      <c r="D503" s="3" t="s">
        <v>534</v>
      </c>
      <c r="E503" s="1" t="s">
        <v>12</v>
      </c>
      <c r="F503" s="4" t="str">
        <f ca="1">VLOOKUP(A503,Sheet2!C:D,2,0)</f>
        <v>1853</v>
      </c>
      <c r="G503" s="2">
        <f ca="1">VLOOKUP(A503,Sheet2!C:E,3,0)</f>
        <v>0</v>
      </c>
      <c r="H503" s="2" t="str">
        <f ca="1">VLOOKUP(A503,Sheet2!A:F,6,0)</f>
        <v>elzehiry96@gmail.com</v>
      </c>
      <c r="I503" s="2">
        <f ca="1">VLOOKUP(A503,Sheet2!C:G,5,0)</f>
        <v>0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3" t="s">
        <v>537</v>
      </c>
      <c r="B504" s="1">
        <v>357195672504</v>
      </c>
      <c r="C504" s="1" t="s">
        <v>474</v>
      </c>
      <c r="D504" s="3" t="s">
        <v>534</v>
      </c>
      <c r="E504" s="1" t="s">
        <v>12</v>
      </c>
      <c r="F504" s="4" t="str">
        <f ca="1">VLOOKUP(A504,Sheet2!C:D,2,0)</f>
        <v>1860</v>
      </c>
      <c r="G504" s="2">
        <f ca="1">VLOOKUP(A504,Sheet2!C:E,3,0)</f>
        <v>0</v>
      </c>
      <c r="H504" s="2" t="str">
        <f ca="1">VLOOKUP(A504,Sheet2!A:F,6,0)</f>
        <v>sarahelfeqy757@gmail.com</v>
      </c>
      <c r="I504" s="2" t="str">
        <f ca="1">VLOOKUP(A504,Sheet2!C:G,5,0)</f>
        <v>01025935755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3" t="s">
        <v>538</v>
      </c>
      <c r="B505" s="1">
        <v>176131232361</v>
      </c>
      <c r="C505" s="1" t="s">
        <v>474</v>
      </c>
      <c r="D505" s="3" t="s">
        <v>534</v>
      </c>
      <c r="E505" s="1" t="s">
        <v>12</v>
      </c>
      <c r="F505" s="4" t="str">
        <f ca="1">VLOOKUP(A505,Sheet2!C:D,2,0)</f>
        <v>1904</v>
      </c>
      <c r="G505" s="2">
        <f ca="1">VLOOKUP(A505,Sheet2!C:E,3,0)</f>
        <v>0</v>
      </c>
      <c r="H505" s="2" t="str">
        <f ca="1">VLOOKUP(A505,Sheet2!A:F,6,0)</f>
        <v>hadyelshaer8@gmail.com</v>
      </c>
      <c r="I505" s="2" t="str">
        <f ca="1">VLOOKUP(A505,Sheet2!C:G,5,0)</f>
        <v>01067571417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3" t="s">
        <v>539</v>
      </c>
      <c r="B506" s="1">
        <v>695159151032</v>
      </c>
      <c r="C506" s="1" t="s">
        <v>474</v>
      </c>
      <c r="D506" s="3" t="s">
        <v>534</v>
      </c>
      <c r="E506" s="1" t="s">
        <v>14</v>
      </c>
      <c r="F506" s="4" t="str">
        <f ca="1">VLOOKUP(A506,Sheet2!C:D,2,0)</f>
        <v>1905</v>
      </c>
      <c r="G506" s="2">
        <f ca="1">VLOOKUP(A506,Sheet2!C:E,3,0)</f>
        <v>0</v>
      </c>
      <c r="H506" s="2" t="str">
        <f ca="1">VLOOKUP(A506,Sheet2!A:F,6,0)</f>
        <v>ahmedawad695@gmail.com</v>
      </c>
      <c r="I506" s="2" t="str">
        <f ca="1">VLOOKUP(A506,Sheet2!C:G,5,0)</f>
        <v>01012040409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3" t="s">
        <v>540</v>
      </c>
      <c r="B507" s="1">
        <v>148160160523</v>
      </c>
      <c r="C507" s="1" t="s">
        <v>474</v>
      </c>
      <c r="D507" s="3" t="s">
        <v>534</v>
      </c>
      <c r="E507" s="1" t="s">
        <v>12</v>
      </c>
      <c r="F507" s="2" t="str">
        <f ca="1">VLOOKUP(A507,Sheet2!C:D,2,0)</f>
        <v>2068</v>
      </c>
      <c r="G507" s="2">
        <f ca="1">VLOOKUP(A507,Sheet2!C:E,3,0)</f>
        <v>0</v>
      </c>
      <c r="H507" s="2" t="str">
        <f ca="1">VLOOKUP(A507,Sheet2!A:F,6,0)</f>
        <v>mogeograpgic@gmail.com</v>
      </c>
      <c r="I507" s="2">
        <f ca="1">VLOOKUP(A507,Sheet2!C:G,5,0)</f>
        <v>1144697090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3" t="s">
        <v>541</v>
      </c>
      <c r="B508" s="1">
        <v>487134793715</v>
      </c>
      <c r="C508" s="1" t="s">
        <v>474</v>
      </c>
      <c r="D508" s="3" t="s">
        <v>534</v>
      </c>
      <c r="E508" s="1" t="s">
        <v>12</v>
      </c>
      <c r="F508" s="4" t="str">
        <f ca="1">VLOOKUP(A508,Sheet2!C:D,2,0)</f>
        <v>2193</v>
      </c>
      <c r="G508" s="2">
        <f ca="1">VLOOKUP(A508,Sheet2!C:E,3,0)</f>
        <v>0</v>
      </c>
      <c r="H508" s="2" t="str">
        <f ca="1">VLOOKUP(A508,Sheet2!A:F,6,0)</f>
        <v>ramadanelkader@gmail.com</v>
      </c>
      <c r="I508" s="2" t="str">
        <f ca="1">VLOOKUP(A508,Sheet2!C:G,5,0)</f>
        <v>01005716822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3" t="s">
        <v>542</v>
      </c>
      <c r="B509" s="1">
        <v>138131034206</v>
      </c>
      <c r="C509" s="1" t="s">
        <v>474</v>
      </c>
      <c r="D509" s="3" t="s">
        <v>534</v>
      </c>
      <c r="E509" s="1" t="s">
        <v>14</v>
      </c>
      <c r="F509" s="4">
        <f ca="1">VLOOKUP(A509,Sheet2!C:D,2,0)</f>
        <v>2231</v>
      </c>
      <c r="G509" s="2" t="str">
        <f ca="1">VLOOKUP(A509,Sheet2!C:E,3,0)</f>
        <v>EG10-EG11-G12</v>
      </c>
      <c r="H509" s="2" t="str">
        <f ca="1">VLOOKUP(A509,Sheet2!A:F,6,0)</f>
        <v>paologeorge369@gmail.com</v>
      </c>
      <c r="I509" s="2" t="str">
        <f ca="1">VLOOKUP(A509,Sheet2!C:G,5,0)</f>
        <v>01225258456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3" t="s">
        <v>543</v>
      </c>
      <c r="B510" s="1">
        <v>179169073012</v>
      </c>
      <c r="C510" s="1" t="s">
        <v>474</v>
      </c>
      <c r="D510" s="3" t="s">
        <v>63</v>
      </c>
      <c r="E510" s="1" t="s">
        <v>14</v>
      </c>
      <c r="F510" s="4" t="str">
        <f ca="1">VLOOKUP(A510,Sheet2!C:D,2,0)</f>
        <v>888</v>
      </c>
      <c r="G510" s="2">
        <f ca="1">VLOOKUP(A510,Sheet2!C:E,3,0)</f>
        <v>0</v>
      </c>
      <c r="H510" s="2" t="str">
        <f ca="1">VLOOKUP(A510,Sheet2!A:F,6,0)</f>
        <v>ahmed.hatem@nagwa.com</v>
      </c>
      <c r="I510" s="2">
        <f ca="1">VLOOKUP(A510,Sheet2!C:G,5,0)</f>
        <v>201156629949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3" t="s">
        <v>544</v>
      </c>
      <c r="B511" s="1">
        <v>940182090410</v>
      </c>
      <c r="C511" s="1" t="s">
        <v>474</v>
      </c>
      <c r="D511" s="3" t="s">
        <v>63</v>
      </c>
      <c r="E511" s="1" t="s">
        <v>12</v>
      </c>
      <c r="F511" s="4" t="str">
        <f ca="1">VLOOKUP(A511,Sheet2!C:D,2,0)</f>
        <v>575</v>
      </c>
      <c r="G511" s="2">
        <f ca="1">VLOOKUP(A511,Sheet2!C:E,3,0)</f>
        <v>0</v>
      </c>
      <c r="H511" s="2" t="str">
        <f ca="1">VLOOKUP(A511,Sheet2!A:F,6,0)</f>
        <v>mohammed.elsayed.ramadan@nagwa.com</v>
      </c>
      <c r="I511" s="2">
        <f ca="1">VLOOKUP(A511,Sheet2!C:G,5,0)</f>
        <v>201025475475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3" t="s">
        <v>545</v>
      </c>
      <c r="B512" s="1">
        <v>308137598241</v>
      </c>
      <c r="C512" s="1" t="s">
        <v>474</v>
      </c>
      <c r="D512" s="3" t="s">
        <v>63</v>
      </c>
      <c r="E512" s="1" t="s">
        <v>14</v>
      </c>
      <c r="F512" s="4" t="str">
        <f ca="1">VLOOKUP(A512,Sheet2!C:D,2,0)</f>
        <v>1775</v>
      </c>
      <c r="G512" s="2">
        <f ca="1">VLOOKUP(A512,Sheet2!C:E,3,0)</f>
        <v>0</v>
      </c>
      <c r="H512" s="2" t="str">
        <f ca="1">VLOOKUP(A512,Sheet2!A:F,6,0)</f>
        <v>ahmedatef386@gmail.com</v>
      </c>
      <c r="I512" s="2">
        <f ca="1">VLOOKUP(A512,Sheet2!C:G,5,0)</f>
        <v>201098614126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3" t="s">
        <v>546</v>
      </c>
      <c r="B513" s="1">
        <v>580165926053</v>
      </c>
      <c r="C513" s="1" t="s">
        <v>474</v>
      </c>
      <c r="D513" s="3" t="s">
        <v>63</v>
      </c>
      <c r="E513" s="1" t="s">
        <v>14</v>
      </c>
      <c r="F513" s="4" t="str">
        <f ca="1">VLOOKUP(A513,Sheet2!C:D,2,0)</f>
        <v>1845</v>
      </c>
      <c r="G513" s="2">
        <f ca="1">VLOOKUP(A513,Sheet2!C:E,3,0)</f>
        <v>0</v>
      </c>
      <c r="H513" s="2" t="str">
        <f ca="1">VLOOKUP(A513,Sheet2!A:F,6,0)</f>
        <v>yostos.mina@gmail.com</v>
      </c>
      <c r="I513" s="2" t="str">
        <f ca="1">VLOOKUP(A513,Sheet2!C:G,5,0)</f>
        <v>01220683047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3" t="s">
        <v>547</v>
      </c>
      <c r="B514" s="1">
        <v>503190357270</v>
      </c>
      <c r="C514" s="1" t="s">
        <v>474</v>
      </c>
      <c r="D514" s="3" t="s">
        <v>63</v>
      </c>
      <c r="E514" s="1" t="s">
        <v>12</v>
      </c>
      <c r="F514" s="4" t="str">
        <f ca="1">VLOOKUP(A514,Sheet2!C:D,2,0)</f>
        <v>1890</v>
      </c>
      <c r="G514" s="2">
        <f ca="1">VLOOKUP(A514,Sheet2!C:E,3,0)</f>
        <v>0</v>
      </c>
      <c r="H514" s="2" t="str">
        <f ca="1">VLOOKUP(A514,Sheet2!A:F,6,0)</f>
        <v>mrghies85@gmail.com</v>
      </c>
      <c r="I514" s="2" t="str">
        <f ca="1">VLOOKUP(A514,Sheet2!C:G,5,0)</f>
        <v>01007657654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3" t="s">
        <v>548</v>
      </c>
      <c r="B515" s="1">
        <v>138121769423</v>
      </c>
      <c r="C515" s="1" t="s">
        <v>474</v>
      </c>
      <c r="D515" s="3" t="s">
        <v>63</v>
      </c>
      <c r="E515" s="1" t="s">
        <v>14</v>
      </c>
      <c r="F515" s="4" t="str">
        <f ca="1">VLOOKUP(A515,Sheet2!C:D,2,0)</f>
        <v>1967</v>
      </c>
      <c r="G515" s="2">
        <f ca="1">VLOOKUP(A515,Sheet2!C:E,3,0)</f>
        <v>0</v>
      </c>
      <c r="H515" s="2" t="str">
        <f ca="1">VLOOKUP(A515,Sheet2!A:F,6,0)</f>
        <v>ibrahimsaid1741977@gmail.com</v>
      </c>
      <c r="I515" s="2">
        <f ca="1">VLOOKUP(A515,Sheet2!C:G,5,0)</f>
        <v>1020307471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3" t="s">
        <v>549</v>
      </c>
      <c r="B516" s="1">
        <v>187120348783</v>
      </c>
      <c r="C516" s="1" t="s">
        <v>474</v>
      </c>
      <c r="D516" s="3" t="s">
        <v>63</v>
      </c>
      <c r="E516" s="1" t="s">
        <v>14</v>
      </c>
      <c r="F516" s="4" t="str">
        <f ca="1">VLOOKUP(A516,Sheet2!C:D,2,0)</f>
        <v>2085</v>
      </c>
      <c r="G516" s="2">
        <f ca="1">VLOOKUP(A516,Sheet2!C:E,3,0)</f>
        <v>0</v>
      </c>
      <c r="H516" s="2" t="str">
        <f ca="1">VLOOKUP(A516,Sheet2!A:F,6,0)</f>
        <v>t.ahmedseif@yahoo.com</v>
      </c>
      <c r="I516" s="2" t="str">
        <f ca="1">VLOOKUP(A516,Sheet2!C:G,5,0)</f>
        <v>01006792787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3" t="s">
        <v>550</v>
      </c>
      <c r="B517" s="1">
        <v>512161969162</v>
      </c>
      <c r="C517" s="1" t="s">
        <v>474</v>
      </c>
      <c r="D517" s="3" t="s">
        <v>63</v>
      </c>
      <c r="E517" s="1" t="s">
        <v>14</v>
      </c>
      <c r="F517" s="2">
        <f ca="1">VLOOKUP(A517,Sheet2!C:D,2,0)</f>
        <v>2053</v>
      </c>
      <c r="G517" s="2">
        <f ca="1">VLOOKUP(A517,Sheet2!C:E,3,0)</f>
        <v>0</v>
      </c>
      <c r="H517" s="2" t="str">
        <f ca="1">VLOOKUP(A517,Sheet2!A:F,6,0)</f>
        <v>tonyalbert433@gmail.com</v>
      </c>
      <c r="I517" s="2" t="str">
        <f ca="1">VLOOKUP(A517,Sheet2!C:G,5,0)</f>
        <v>01220525771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3" t="s">
        <v>551</v>
      </c>
      <c r="B518" s="1">
        <v>726184376073</v>
      </c>
      <c r="C518" s="1" t="s">
        <v>474</v>
      </c>
      <c r="D518" s="3" t="s">
        <v>63</v>
      </c>
      <c r="E518" s="1" t="s">
        <v>14</v>
      </c>
      <c r="F518" s="2">
        <f ca="1">VLOOKUP(A518,Sheet2!C:D,2,0)</f>
        <v>2522</v>
      </c>
      <c r="G518" s="2" t="str">
        <f ca="1">VLOOKUP(A518,Sheet2!C:E,3,0)</f>
        <v>EG10-EG11-EG12</v>
      </c>
      <c r="H518" s="2" t="str">
        <f ca="1">VLOOKUP(A518,Sheet2!A:F,6,0)</f>
        <v>mr.amro.elukby@gmail.com</v>
      </c>
      <c r="I518" s="2" t="str">
        <f ca="1">VLOOKUP(A518,Sheet2!C:G,5,0)</f>
        <v>01004106537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3" t="s">
        <v>552</v>
      </c>
      <c r="B519" s="1">
        <v>170181505929</v>
      </c>
      <c r="C519" s="1" t="s">
        <v>474</v>
      </c>
      <c r="D519" s="3" t="s">
        <v>553</v>
      </c>
      <c r="E519" s="1" t="s">
        <v>12</v>
      </c>
      <c r="F519" s="4" t="str">
        <f ca="1">VLOOKUP(A519,Sheet2!C:D,2,0)</f>
        <v>1647</v>
      </c>
      <c r="G519" s="2">
        <f ca="1">VLOOKUP(A519,Sheet2!C:E,3,0)</f>
        <v>0</v>
      </c>
      <c r="H519" s="2" t="str">
        <f ca="1">VLOOKUP(A519,Sheet2!A:F,6,0)</f>
        <v>eslam.mohamed@nagwa.com</v>
      </c>
      <c r="I519" s="2" t="str">
        <f ca="1">VLOOKUP(A519,Sheet2!C:G,5,0)</f>
        <v>01097158020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3" t="s">
        <v>554</v>
      </c>
      <c r="B520" s="1">
        <v>680190738426</v>
      </c>
      <c r="C520" s="1" t="s">
        <v>474</v>
      </c>
      <c r="D520" s="3" t="s">
        <v>553</v>
      </c>
      <c r="E520" s="1" t="s">
        <v>14</v>
      </c>
      <c r="F520" s="4" t="str">
        <f ca="1">VLOOKUP(A520,Sheet2!C:D,2,0)</f>
        <v>1766</v>
      </c>
      <c r="G520" s="2">
        <f ca="1">VLOOKUP(A520,Sheet2!C:E,3,0)</f>
        <v>0</v>
      </c>
      <c r="H520" s="2" t="str">
        <f ca="1">VLOOKUP(A520,Sheet2!A:F,6,0)</f>
        <v>ramyfarouk9333@gmail.com</v>
      </c>
      <c r="I520" s="2" t="str">
        <f ca="1">VLOOKUP(A520,Sheet2!C:G,5,0)</f>
        <v>01224288238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3" t="s">
        <v>555</v>
      </c>
      <c r="B521" s="1">
        <v>352179823813</v>
      </c>
      <c r="C521" s="1" t="s">
        <v>474</v>
      </c>
      <c r="D521" s="3" t="s">
        <v>553</v>
      </c>
      <c r="E521" s="1" t="s">
        <v>14</v>
      </c>
      <c r="F521" s="4" t="str">
        <f ca="1">VLOOKUP(A521,Sheet2!C:D,2,0)</f>
        <v>1765</v>
      </c>
      <c r="G521" s="2">
        <f ca="1">VLOOKUP(A521,Sheet2!C:E,3,0)</f>
        <v>0</v>
      </c>
      <c r="H521" s="2" t="str">
        <f ca="1">VLOOKUP(A521,Sheet2!A:F,6,0)</f>
        <v>aassllyyaa68@gmail.com</v>
      </c>
      <c r="I521" s="2">
        <f ca="1">VLOOKUP(A521,Sheet2!C:G,5,0)</f>
        <v>0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3" t="s">
        <v>556</v>
      </c>
      <c r="B522" s="1">
        <v>983164352707</v>
      </c>
      <c r="C522" s="1" t="s">
        <v>474</v>
      </c>
      <c r="D522" s="3" t="s">
        <v>553</v>
      </c>
      <c r="E522" s="1" t="s">
        <v>12</v>
      </c>
      <c r="F522" s="4" t="str">
        <f ca="1">VLOOKUP(A522,Sheet2!C:D,2,0)</f>
        <v>1919</v>
      </c>
      <c r="G522" s="2">
        <f ca="1">VLOOKUP(A522,Sheet2!C:E,3,0)</f>
        <v>0</v>
      </c>
      <c r="H522" s="2" t="str">
        <f ca="1">VLOOKUP(A522,Sheet2!A:F,6,0)</f>
        <v>sabermedhat9@gmail.com</v>
      </c>
      <c r="I522" s="2" t="str">
        <f ca="1">VLOOKUP(A522,Sheet2!C:G,5,0)</f>
        <v>01006463329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3" t="s">
        <v>557</v>
      </c>
      <c r="B523" s="1">
        <v>694184180652</v>
      </c>
      <c r="C523" s="1" t="s">
        <v>474</v>
      </c>
      <c r="D523" s="3" t="s">
        <v>553</v>
      </c>
      <c r="E523" s="1" t="s">
        <v>12</v>
      </c>
      <c r="F523" s="4" t="str">
        <f ca="1">VLOOKUP(A523,Sheet2!C:D,2,0)</f>
        <v>1965</v>
      </c>
      <c r="G523" s="2">
        <f ca="1">VLOOKUP(A523,Sheet2!C:E,3,0)</f>
        <v>0</v>
      </c>
      <c r="H523" s="2" t="str">
        <f ca="1">VLOOKUP(A523,Sheet2!A:F,6,0)</f>
        <v>delbahay@gmail.com</v>
      </c>
      <c r="I523" s="2" t="str">
        <f ca="1">VLOOKUP(A523,Sheet2!C:G,5,0)</f>
        <v>01099696140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3" t="s">
        <v>558</v>
      </c>
      <c r="B524" s="1">
        <v>179134063021</v>
      </c>
      <c r="C524" s="1" t="s">
        <v>474</v>
      </c>
      <c r="D524" s="3" t="s">
        <v>553</v>
      </c>
      <c r="E524" s="1" t="s">
        <v>14</v>
      </c>
      <c r="F524" s="4" t="str">
        <f ca="1">VLOOKUP(A524,Sheet2!C:D,2,0)</f>
        <v>1987</v>
      </c>
      <c r="G524" s="2">
        <f ca="1">VLOOKUP(A524,Sheet2!C:E,3,0)</f>
        <v>0</v>
      </c>
      <c r="H524" s="2" t="str">
        <f ca="1">VLOOKUP(A524,Sheet2!A:F,6,0)</f>
        <v>alkiser.ashraf@gmail.com</v>
      </c>
      <c r="I524" s="2" t="str">
        <f ca="1">VLOOKUP(A524,Sheet2!C:G,5,0)</f>
        <v>01144603025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3" t="s">
        <v>559</v>
      </c>
      <c r="B525" s="1">
        <v>435127547073</v>
      </c>
      <c r="C525" s="1" t="s">
        <v>474</v>
      </c>
      <c r="D525" s="3" t="s">
        <v>553</v>
      </c>
      <c r="E525" s="1" t="s">
        <v>14</v>
      </c>
      <c r="F525" s="4" t="str">
        <f ca="1">VLOOKUP(A525,Sheet2!C:D,2,0)</f>
        <v>2086</v>
      </c>
      <c r="G525" s="2">
        <f ca="1">VLOOKUP(A525,Sheet2!C:E,3,0)</f>
        <v>0</v>
      </c>
      <c r="H525" s="2" t="str">
        <f ca="1">VLOOKUP(A525,Sheet2!A:F,6,0)</f>
        <v>bassiouny3311@gmail.com</v>
      </c>
      <c r="I525" s="2" t="str">
        <f ca="1">VLOOKUP(A525,Sheet2!C:G,5,0)</f>
        <v>+201147654033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3" t="s">
        <v>560</v>
      </c>
      <c r="B526" s="1">
        <v>874140534821</v>
      </c>
      <c r="C526" s="1" t="s">
        <v>474</v>
      </c>
      <c r="D526" s="3" t="s">
        <v>553</v>
      </c>
      <c r="E526" s="1" t="s">
        <v>14</v>
      </c>
      <c r="F526" s="4" t="str">
        <f ca="1">VLOOKUP(A526,Sheet2!C:D,2,0)</f>
        <v>2206</v>
      </c>
      <c r="G526" s="2" t="str">
        <f ca="1">VLOOKUP(A526,Sheet2!C:E,3,0)</f>
        <v>EG10-EG11-G12</v>
      </c>
      <c r="H526" s="2" t="str">
        <f ca="1">VLOOKUP(A526,Sheet2!A:F,6,0)</f>
        <v>mr.romany82@gmail.com</v>
      </c>
      <c r="I526" s="2" t="str">
        <f ca="1">VLOOKUP(A526,Sheet2!C:G,5,0)</f>
        <v>01225653656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3" t="s">
        <v>561</v>
      </c>
      <c r="B527" s="1">
        <v>374175473593</v>
      </c>
      <c r="C527" s="1" t="s">
        <v>474</v>
      </c>
      <c r="D527" s="3" t="s">
        <v>553</v>
      </c>
      <c r="E527" s="1" t="s">
        <v>14</v>
      </c>
      <c r="F527" s="4" t="str">
        <f ca="1">VLOOKUP(A527,Sheet2!C:D,2,0)</f>
        <v>2194</v>
      </c>
      <c r="G527" s="2" t="str">
        <f ca="1">VLOOKUP(A527,Sheet2!C:E,3,0)</f>
        <v>EG10-EG11-G12</v>
      </c>
      <c r="H527" s="2" t="str">
        <f ca="1">VLOOKUP(A527,Sheet2!A:F,6,0)</f>
        <v>amanybasuni160184@gmail.com</v>
      </c>
      <c r="I527" s="2" t="str">
        <f ca="1">VLOOKUP(A527,Sheet2!C:G,5,0)</f>
        <v>01116571264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3" t="s">
        <v>562</v>
      </c>
      <c r="B528" s="1">
        <v>560135012165</v>
      </c>
      <c r="C528" s="1" t="s">
        <v>474</v>
      </c>
      <c r="D528" s="3" t="s">
        <v>563</v>
      </c>
      <c r="E528" s="1" t="s">
        <v>14</v>
      </c>
      <c r="F528" s="4" t="str">
        <f ca="1">VLOOKUP(A528,Sheet2!C:D,2,0)</f>
        <v>1760</v>
      </c>
      <c r="G528" s="2" t="str">
        <f ca="1">VLOOKUP(A528,Sheet2!C:E,3,0)</f>
        <v>EG10-EG11-G12</v>
      </c>
      <c r="H528" s="2" t="str">
        <f ca="1">VLOOKUP(A528,Sheet2!A:F,6,0)</f>
        <v>mansourphy@gmail.com</v>
      </c>
      <c r="I528" s="2">
        <f ca="1">VLOOKUP(A528,Sheet2!C:G,5,0)</f>
        <v>201069555347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3" t="s">
        <v>564</v>
      </c>
      <c r="B529" s="1">
        <v>513102701368</v>
      </c>
      <c r="C529" s="1" t="s">
        <v>474</v>
      </c>
      <c r="D529" s="3" t="s">
        <v>563</v>
      </c>
      <c r="E529" s="1" t="s">
        <v>14</v>
      </c>
      <c r="F529" s="4" t="str">
        <f ca="1">VLOOKUP(A529,Sheet2!C:D,2,0)</f>
        <v>1892</v>
      </c>
      <c r="G529" s="2" t="str">
        <f ca="1">VLOOKUP(A529,Sheet2!C:E,3,0)</f>
        <v>G11-G12</v>
      </c>
      <c r="H529" s="2" t="str">
        <f ca="1">VLOOKUP(A529,Sheet2!A:F,6,0)</f>
        <v>elshahaly.ahmed.2.96@gmail.com</v>
      </c>
      <c r="I529" s="2" t="str">
        <f ca="1">VLOOKUP(A529,Sheet2!C:G,5,0)</f>
        <v>01275541280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3" t="s">
        <v>565</v>
      </c>
      <c r="B530" s="1">
        <v>970121862482</v>
      </c>
      <c r="C530" s="1" t="s">
        <v>474</v>
      </c>
      <c r="D530" s="3" t="s">
        <v>563</v>
      </c>
      <c r="E530" s="1" t="s">
        <v>12</v>
      </c>
      <c r="F530" s="2">
        <f ca="1">VLOOKUP(A530,Sheet2!C:D,2,0)</f>
        <v>1908</v>
      </c>
      <c r="G530" s="2">
        <f ca="1">VLOOKUP(A530,Sheet2!C:E,3,0)</f>
        <v>0</v>
      </c>
      <c r="H530" s="2">
        <f ca="1">VLOOKUP(A530,Sheet2!A:F,6,0)</f>
        <v>0</v>
      </c>
      <c r="I530" s="2">
        <f ca="1">VLOOKUP(A530,Sheet2!C:G,5,0)</f>
        <v>0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3" t="s">
        <v>566</v>
      </c>
      <c r="B531" s="1">
        <v>389173598098</v>
      </c>
      <c r="C531" s="1" t="s">
        <v>474</v>
      </c>
      <c r="D531" s="3" t="s">
        <v>563</v>
      </c>
      <c r="E531" s="1" t="s">
        <v>14</v>
      </c>
      <c r="F531" s="4" t="str">
        <f ca="1">VLOOKUP(A531,Sheet2!C:D,2,0)</f>
        <v>2002</v>
      </c>
      <c r="G531" s="2" t="str">
        <f ca="1">VLOOKUP(A531,Sheet2!C:E,3,0)</f>
        <v>EG10-EG11-G12</v>
      </c>
      <c r="H531" s="2" t="str">
        <f ca="1">VLOOKUP(A531,Sheet2!A:F,6,0)</f>
        <v>mosa0122428710970@gmail.com</v>
      </c>
      <c r="I531" s="2" t="str">
        <f ca="1">VLOOKUP(A531,Sheet2!C:G,5,0)</f>
        <v>01224287109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3" t="s">
        <v>567</v>
      </c>
      <c r="B532" s="1">
        <v>527193759458</v>
      </c>
      <c r="C532" s="1" t="s">
        <v>474</v>
      </c>
      <c r="D532" s="3" t="s">
        <v>563</v>
      </c>
      <c r="E532" s="1" t="s">
        <v>14</v>
      </c>
      <c r="F532" s="4" t="str">
        <f ca="1">VLOOKUP(A532,Sheet2!C:D,2,0)</f>
        <v>2170</v>
      </c>
      <c r="G532" s="2" t="str">
        <f ca="1">VLOOKUP(A532,Sheet2!C:E,3,0)</f>
        <v>G11-G12</v>
      </c>
      <c r="H532" s="2" t="str">
        <f ca="1">VLOOKUP(A532,Sheet2!A:F,6,0)</f>
        <v>eslamemad1311383@gmail.com</v>
      </c>
      <c r="I532" s="2" t="str">
        <f ca="1">VLOOKUP(A532,Sheet2!C:G,5,0)</f>
        <v>01124845066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3" t="s">
        <v>568</v>
      </c>
      <c r="B533" s="1">
        <v>750108154243</v>
      </c>
      <c r="C533" s="1" t="s">
        <v>474</v>
      </c>
      <c r="D533" s="3" t="s">
        <v>563</v>
      </c>
      <c r="E533" s="1" t="s">
        <v>12</v>
      </c>
      <c r="F533" s="2">
        <f ca="1">VLOOKUP(A533,Sheet2!C:D,2,0)</f>
        <v>2335</v>
      </c>
      <c r="G533" s="2" t="str">
        <f ca="1">VLOOKUP(A533,Sheet2!C:E,3,0)</f>
        <v>EG10-EG11-G12</v>
      </c>
      <c r="H533" s="2" t="str">
        <f ca="1">VLOOKUP(A533,Sheet2!A:F,6,0)</f>
        <v>ma404017@gmail.com</v>
      </c>
      <c r="I533" s="2" t="str">
        <f ca="1">VLOOKUP(A533,Sheet2!C:G,5,0)</f>
        <v>01003233810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3" t="s">
        <v>569</v>
      </c>
      <c r="B534" s="1">
        <v>830132652879</v>
      </c>
      <c r="C534" s="1" t="s">
        <v>474</v>
      </c>
      <c r="D534" s="3" t="s">
        <v>563</v>
      </c>
      <c r="E534" s="1" t="s">
        <v>14</v>
      </c>
      <c r="F534" s="2">
        <f ca="1">VLOOKUP(A534,Sheet2!C:D,2,0)</f>
        <v>2368</v>
      </c>
      <c r="G534" s="2" t="str">
        <f ca="1">VLOOKUP(A534,Sheet2!C:E,3,0)</f>
        <v>EG10-EG11-G12</v>
      </c>
      <c r="H534" s="2" t="str">
        <f ca="1">VLOOKUP(A534,Sheet2!A:F,6,0)</f>
        <v>984255@sharkia1.moe.edu.eg</v>
      </c>
      <c r="I534" s="2" t="str">
        <f ca="1">VLOOKUP(A534,Sheet2!C:G,5,0)</f>
        <v>01283142438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3" t="s">
        <v>570</v>
      </c>
      <c r="B535" s="1">
        <v>242109375309</v>
      </c>
      <c r="C535" s="1" t="s">
        <v>474</v>
      </c>
      <c r="D535" s="3" t="s">
        <v>571</v>
      </c>
      <c r="E535" s="1" t="s">
        <v>14</v>
      </c>
      <c r="F535" s="4" t="str">
        <f ca="1">VLOOKUP(A535,Sheet2!C:D,2,0)</f>
        <v>2024</v>
      </c>
      <c r="G535" s="2" t="str">
        <f ca="1">VLOOKUP(A535,Sheet2!C:E,3,0)</f>
        <v>EG10-EG11-G12</v>
      </c>
      <c r="H535" s="2" t="str">
        <f ca="1">VLOOKUP(A535,Sheet2!A:F,6,0)</f>
        <v>wesamalshenawy36@gmail.com</v>
      </c>
      <c r="I535" s="2">
        <f ca="1">VLOOKUP(A535,Sheet2!C:G,5,0)</f>
        <v>1220508424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3" t="s">
        <v>572</v>
      </c>
      <c r="B536" s="1">
        <v>510198282648</v>
      </c>
      <c r="C536" s="1" t="s">
        <v>474</v>
      </c>
      <c r="D536" s="3" t="s">
        <v>571</v>
      </c>
      <c r="E536" s="1" t="s">
        <v>14</v>
      </c>
      <c r="F536" s="4" t="str">
        <f ca="1">VLOOKUP(A536,Sheet2!C:D,2,0)</f>
        <v>2015</v>
      </c>
      <c r="G536" s="2" t="str">
        <f ca="1">VLOOKUP(A536,Sheet2!C:E,3,0)</f>
        <v>EG10-EG11-G12</v>
      </c>
      <c r="H536" s="2" t="str">
        <f ca="1">VLOOKUP(A536,Sheet2!A:F,6,0)</f>
        <v>nezarseliem@gmail.com</v>
      </c>
      <c r="I536" s="2" t="str">
        <f ca="1">VLOOKUP(A536,Sheet2!C:G,5,0)</f>
        <v>01281280294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3" t="s">
        <v>573</v>
      </c>
      <c r="B537" s="1">
        <v>819130827826</v>
      </c>
      <c r="C537" s="1" t="s">
        <v>474</v>
      </c>
      <c r="D537" s="3" t="s">
        <v>571</v>
      </c>
      <c r="E537" s="1" t="s">
        <v>14</v>
      </c>
      <c r="F537" s="4" t="str">
        <f ca="1">VLOOKUP(A537,Sheet2!C:D,2,0)</f>
        <v>2059</v>
      </c>
      <c r="G537" s="2" t="str">
        <f ca="1">VLOOKUP(A537,Sheet2!C:E,3,0)</f>
        <v>EG10-EG11-G12</v>
      </c>
      <c r="H537" s="2" t="str">
        <f ca="1">VLOOKUP(A537,Sheet2!A:F,6,0)</f>
        <v>doaasaber.chem@gmail.com</v>
      </c>
      <c r="I537" s="2" t="str">
        <f ca="1">VLOOKUP(A537,Sheet2!C:G,5,0)</f>
        <v>01211523112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3" t="s">
        <v>574</v>
      </c>
      <c r="B538" s="1">
        <v>196184054323</v>
      </c>
      <c r="C538" s="1" t="s">
        <v>474</v>
      </c>
      <c r="D538" s="3" t="s">
        <v>69</v>
      </c>
      <c r="E538" s="1" t="s">
        <v>14</v>
      </c>
      <c r="F538" s="4" t="str">
        <f ca="1">VLOOKUP(A538,Sheet2!C:D,2,0)</f>
        <v>1812</v>
      </c>
      <c r="G538" s="2" t="str">
        <f ca="1">VLOOKUP(A538,Sheet2!C:E,3,0)</f>
        <v>EG10-EG11-EG12</v>
      </c>
      <c r="H538" s="2" t="str">
        <f ca="1">VLOOKUP(A538,Sheet2!A:F,6,0)</f>
        <v>alamir62@yahoo.com</v>
      </c>
      <c r="I538" s="2" t="str">
        <f ca="1">VLOOKUP(A538,Sheet2!C:G,5,0)</f>
        <v>20 1001082530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3" t="s">
        <v>575</v>
      </c>
      <c r="B539" s="1">
        <v>128156935718</v>
      </c>
      <c r="C539" s="1" t="s">
        <v>474</v>
      </c>
      <c r="D539" s="3" t="s">
        <v>69</v>
      </c>
      <c r="E539" s="1" t="s">
        <v>14</v>
      </c>
      <c r="F539" s="4" t="str">
        <f ca="1">VLOOKUP(A539,Sheet2!C:D,2,0)</f>
        <v>2019</v>
      </c>
      <c r="G539" s="2" t="str">
        <f ca="1">VLOOKUP(A539,Sheet2!C:E,3,0)</f>
        <v>EG10-EG11-EG12</v>
      </c>
      <c r="H539" s="2" t="str">
        <f ca="1">VLOOKUP(A539,Sheet2!A:F,6,0)</f>
        <v>mhmmd55501@gmail.com</v>
      </c>
      <c r="I539" s="2" t="str">
        <f ca="1">VLOOKUP(A539,Sheet2!C:G,5,0)</f>
        <v>01093988834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3" t="s">
        <v>576</v>
      </c>
      <c r="B540" s="1">
        <v>897176765424</v>
      </c>
      <c r="C540" s="1" t="s">
        <v>474</v>
      </c>
      <c r="D540" s="3" t="s">
        <v>69</v>
      </c>
      <c r="E540" s="1" t="s">
        <v>14</v>
      </c>
      <c r="F540" s="4" t="str">
        <f ca="1">VLOOKUP(A540,Sheet2!C:D,2,0)</f>
        <v>2063</v>
      </c>
      <c r="G540" s="2" t="str">
        <f ca="1">VLOOKUP(A540,Sheet2!C:E,3,0)</f>
        <v>EG08-EG09-EG10-EG11-EG12</v>
      </c>
      <c r="H540" s="2" t="str">
        <f ca="1">VLOOKUP(A540,Sheet2!A:F,6,0)</f>
        <v>yasour2007@yahoo.com</v>
      </c>
      <c r="I540" s="2" t="str">
        <f ca="1">VLOOKUP(A540,Sheet2!C:G,5,0)</f>
        <v>01553440630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3" t="s">
        <v>577</v>
      </c>
      <c r="B541" s="1">
        <v>695171650641</v>
      </c>
      <c r="C541" s="1" t="s">
        <v>474</v>
      </c>
      <c r="D541" s="3" t="s">
        <v>69</v>
      </c>
      <c r="E541" s="1" t="s">
        <v>14</v>
      </c>
      <c r="F541" s="4" t="str">
        <f ca="1">VLOOKUP(A541,Sheet2!C:D,2,0)</f>
        <v>2080</v>
      </c>
      <c r="G541" s="2" t="str">
        <f ca="1">VLOOKUP(A541,Sheet2!C:E,3,0)</f>
        <v>EG10-EG11-EG12</v>
      </c>
      <c r="H541" s="2" t="str">
        <f ca="1">VLOOKUP(A541,Sheet2!A:F,6,0)</f>
        <v>ahmedsoliman200040@yahoo.com</v>
      </c>
      <c r="I541" s="2" t="str">
        <f ca="1">VLOOKUP(A541,Sheet2!C:G,5,0)</f>
        <v>01007569392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3" t="s">
        <v>578</v>
      </c>
      <c r="B542" s="1">
        <v>530179690959</v>
      </c>
      <c r="C542" s="1" t="s">
        <v>474</v>
      </c>
      <c r="D542" s="3" t="s">
        <v>69</v>
      </c>
      <c r="E542" s="1" t="s">
        <v>12</v>
      </c>
      <c r="F542" s="2">
        <f ca="1">VLOOKUP(A542,Sheet2!C:D,2,0)</f>
        <v>2168</v>
      </c>
      <c r="G542" s="2" t="str">
        <f ca="1">VLOOKUP(A542,Sheet2!C:E,3,0)</f>
        <v>EG09-EG10-EG11-EG12</v>
      </c>
      <c r="H542" s="2" t="str">
        <f ca="1">VLOOKUP(A542,Sheet2!A:F,6,0)</f>
        <v>samakamudy@gmail.com</v>
      </c>
      <c r="I542" s="2" t="str">
        <f ca="1">VLOOKUP(A542,Sheet2!C:G,5,0)</f>
        <v>01289058758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3" t="s">
        <v>579</v>
      </c>
      <c r="B543" s="1">
        <v>943123080878</v>
      </c>
      <c r="C543" s="1" t="s">
        <v>474</v>
      </c>
      <c r="D543" s="3" t="s">
        <v>69</v>
      </c>
      <c r="E543" s="1" t="s">
        <v>14</v>
      </c>
      <c r="F543" s="2">
        <f ca="1">VLOOKUP(A543,Sheet2!C:D,2,0)</f>
        <v>2408</v>
      </c>
      <c r="G543" s="2" t="str">
        <f ca="1">VLOOKUP(A543,Sheet2!C:E,3,0)</f>
        <v>EG10-EG11-EG12</v>
      </c>
      <c r="H543" s="2" t="str">
        <f ca="1">VLOOKUP(A543,Sheet2!A:F,6,0)</f>
        <v>ayman.khatab@stemsharkya.moe.edu.eg</v>
      </c>
      <c r="I543" s="2" t="str">
        <f ca="1">VLOOKUP(A543,Sheet2!C:G,5,0)</f>
        <v>01096610286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3" t="s">
        <v>580</v>
      </c>
      <c r="B544" s="1">
        <v>342131504062</v>
      </c>
      <c r="C544" s="1" t="s">
        <v>474</v>
      </c>
      <c r="D544" s="3" t="s">
        <v>69</v>
      </c>
      <c r="E544" s="1" t="s">
        <v>12</v>
      </c>
      <c r="F544" s="2">
        <f ca="1">VLOOKUP(A544,Sheet2!C:D,2,0)</f>
        <v>2414</v>
      </c>
      <c r="G544" s="2" t="str">
        <f ca="1">VLOOKUP(A544,Sheet2!C:E,3,0)</f>
        <v>EG09-EG10-EG11-EG12</v>
      </c>
      <c r="H544" s="2" t="str">
        <f ca="1">VLOOKUP(A544,Sheet2!A:F,6,0)</f>
        <v>ahmedelshemy100@gmail.com</v>
      </c>
      <c r="I544" s="2" t="str">
        <f ca="1">VLOOKUP(A544,Sheet2!C:G,5,0)</f>
        <v>01097153806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3" t="s">
        <v>581</v>
      </c>
      <c r="B545" s="1">
        <v>404145973415</v>
      </c>
      <c r="C545" s="1" t="s">
        <v>474</v>
      </c>
      <c r="D545" s="3" t="s">
        <v>69</v>
      </c>
      <c r="E545" s="1" t="s">
        <v>14</v>
      </c>
      <c r="F545" s="2">
        <f ca="1">VLOOKUP(A545,Sheet2!C:D,2,0)</f>
        <v>2419</v>
      </c>
      <c r="G545" s="2" t="str">
        <f ca="1">VLOOKUP(A545,Sheet2!C:E,3,0)</f>
        <v>EG10-EG11-EG12</v>
      </c>
      <c r="H545" s="2" t="str">
        <f ca="1">VLOOKUP(A545,Sheet2!A:F,6,0)</f>
        <v>has.alrefaey@gmail.com</v>
      </c>
      <c r="I545" s="2" t="str">
        <f ca="1">VLOOKUP(A545,Sheet2!C:G,5,0)</f>
        <v>01007303558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3" t="s">
        <v>582</v>
      </c>
      <c r="B546" s="1">
        <v>495158084197</v>
      </c>
      <c r="C546" s="1" t="s">
        <v>474</v>
      </c>
      <c r="D546" s="3" t="s">
        <v>69</v>
      </c>
      <c r="E546" s="1" t="s">
        <v>14</v>
      </c>
      <c r="F546" s="2">
        <f ca="1">VLOOKUP(A546,Sheet2!C:D,2,0)</f>
        <v>2552</v>
      </c>
      <c r="G546" s="2" t="str">
        <f ca="1">VLOOKUP(A546,Sheet2!C:E,3,0)</f>
        <v>EG09-EG10-EG11</v>
      </c>
      <c r="H546" s="2" t="str">
        <f ca="1">VLOOKUP(A546,Sheet2!A:F,6,0)</f>
        <v>youssef.ibrahem20@gmail.com</v>
      </c>
      <c r="I546" s="2" t="str">
        <f ca="1">VLOOKUP(A546,Sheet2!C:G,5,0)</f>
        <v>01110454612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3" t="s">
        <v>583</v>
      </c>
      <c r="B547" s="1">
        <v>204176435205</v>
      </c>
      <c r="C547" s="1" t="s">
        <v>474</v>
      </c>
      <c r="D547" s="3" t="s">
        <v>69</v>
      </c>
      <c r="E547" s="1" t="s">
        <v>12</v>
      </c>
      <c r="F547" s="2">
        <f ca="1">VLOOKUP(A547,Sheet2!C:D,2,0)</f>
        <v>2651</v>
      </c>
      <c r="G547" s="2" t="str">
        <f ca="1">VLOOKUP(A547,Sheet2!C:E,3,0)</f>
        <v>EG09-EG10-EG11-EG12</v>
      </c>
      <c r="H547" s="2" t="str">
        <f ca="1">VLOOKUP(A547,Sheet2!A:F,6,0)</f>
        <v>ahmedarafa294@gmail.com</v>
      </c>
      <c r="I547" s="2">
        <f ca="1">VLOOKUP(A547,Sheet2!C:G,5,0)</f>
        <v>0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3" t="s">
        <v>584</v>
      </c>
      <c r="B548" s="1">
        <v>240145743263</v>
      </c>
      <c r="C548" s="1" t="s">
        <v>474</v>
      </c>
      <c r="D548" s="3" t="s">
        <v>69</v>
      </c>
      <c r="E548" s="1" t="s">
        <v>12</v>
      </c>
      <c r="F548" s="2">
        <f ca="1">VLOOKUP(A548,Sheet2!C:D,2,0)</f>
        <v>2417</v>
      </c>
      <c r="G548" s="2" t="str">
        <f ca="1">VLOOKUP(A548,Sheet2!C:E,3,0)</f>
        <v>EG09-EG10-EG11-EG12</v>
      </c>
      <c r="H548" s="2" t="str">
        <f ca="1">VLOOKUP(A548,Sheet2!A:F,6,0)</f>
        <v>mrahmedragab057@gmail.com</v>
      </c>
      <c r="I548" s="2">
        <f ca="1">VLOOKUP(A548,Sheet2!C:G,5,0)</f>
        <v>0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3" t="s">
        <v>585</v>
      </c>
      <c r="B549" s="1">
        <v>730108091781</v>
      </c>
      <c r="C549" s="1" t="s">
        <v>474</v>
      </c>
      <c r="D549" s="3" t="s">
        <v>586</v>
      </c>
      <c r="E549" s="1" t="s">
        <v>14</v>
      </c>
      <c r="F549" s="4" t="str">
        <f ca="1">VLOOKUP(A549,Sheet2!C:D,2,0)</f>
        <v>1816</v>
      </c>
      <c r="G549" s="2">
        <f ca="1">VLOOKUP(A549,Sheet2!C:E,3,0)</f>
        <v>0</v>
      </c>
      <c r="H549" s="2" t="str">
        <f ca="1">VLOOKUP(A549,Sheet2!A:F,6,0)</f>
        <v>rsalama4569@gmail.com</v>
      </c>
      <c r="I549" s="2">
        <f ca="1">VLOOKUP(A549,Sheet2!C:G,5,0)</f>
        <v>1223356596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3" t="s">
        <v>587</v>
      </c>
      <c r="B550" s="1">
        <v>578168047263</v>
      </c>
      <c r="C550" s="1" t="s">
        <v>474</v>
      </c>
      <c r="D550" s="3" t="s">
        <v>586</v>
      </c>
      <c r="E550" s="1" t="s">
        <v>12</v>
      </c>
      <c r="F550" s="4">
        <f ca="1">VLOOKUP(A550,Sheet2!C:D,2,0)</f>
        <v>1906</v>
      </c>
      <c r="G550" s="2">
        <f ca="1">VLOOKUP(A550,Sheet2!C:E,3,0)</f>
        <v>0</v>
      </c>
      <c r="H550" s="2" t="str">
        <f ca="1">VLOOKUP(A550,Sheet2!A:F,6,0)</f>
        <v>mrahmedsamer30@gmail.com</v>
      </c>
      <c r="I550" s="2" t="str">
        <f ca="1">VLOOKUP(A550,Sheet2!C:G,5,0)</f>
        <v>01060665053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3" t="s">
        <v>588</v>
      </c>
      <c r="B551" s="1">
        <v>829179380761</v>
      </c>
      <c r="C551" s="1" t="s">
        <v>474</v>
      </c>
      <c r="D551" s="3" t="s">
        <v>586</v>
      </c>
      <c r="E551" s="1" t="s">
        <v>12</v>
      </c>
      <c r="F551" s="4">
        <f ca="1">VLOOKUP(A551,Sheet2!C:D,2,0)</f>
        <v>1915</v>
      </c>
      <c r="G551" s="2">
        <f ca="1">VLOOKUP(A551,Sheet2!C:E,3,0)</f>
        <v>0</v>
      </c>
      <c r="H551" s="2" t="str">
        <f ca="1">VLOOKUP(A551,Sheet2!A:F,6,0)</f>
        <v>dr.sallyibrahem70@gmail.com</v>
      </c>
      <c r="I551" s="2" t="str">
        <f ca="1">VLOOKUP(A551,Sheet2!C:G,5,0)</f>
        <v>01009604394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3" t="s">
        <v>589</v>
      </c>
      <c r="B552" s="1">
        <v>507191054317</v>
      </c>
      <c r="C552" s="1" t="s">
        <v>474</v>
      </c>
      <c r="D552" s="3" t="s">
        <v>586</v>
      </c>
      <c r="E552" s="1" t="s">
        <v>12</v>
      </c>
      <c r="F552" s="4" t="str">
        <f ca="1">VLOOKUP(A552,Sheet2!C:D,2,0)</f>
        <v>2034</v>
      </c>
      <c r="G552" s="2">
        <f ca="1">VLOOKUP(A552,Sheet2!C:E,3,0)</f>
        <v>0</v>
      </c>
      <c r="H552" s="2" t="str">
        <f ca="1">VLOOKUP(A552,Sheet2!A:F,6,0)</f>
        <v>viplol85@gmail.com</v>
      </c>
      <c r="I552" s="2">
        <f ca="1">VLOOKUP(A552,Sheet2!C:G,5,0)</f>
        <v>0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3" t="s">
        <v>590</v>
      </c>
      <c r="B553" s="1">
        <v>964127341684</v>
      </c>
      <c r="C553" s="1" t="s">
        <v>474</v>
      </c>
      <c r="D553" s="3" t="s">
        <v>586</v>
      </c>
      <c r="E553" s="1" t="s">
        <v>14</v>
      </c>
      <c r="F553" s="4" t="str">
        <f ca="1">VLOOKUP(A553,Sheet2!C:D,2,0)</f>
        <v>2071</v>
      </c>
      <c r="G553" s="2">
        <f ca="1">VLOOKUP(A553,Sheet2!C:E,3,0)</f>
        <v>0</v>
      </c>
      <c r="H553" s="2" t="str">
        <f ca="1">VLOOKUP(A553,Sheet2!A:F,6,0)</f>
        <v>dream201037@gmail.com</v>
      </c>
      <c r="I553" s="2" t="str">
        <f ca="1">VLOOKUP(A553,Sheet2!C:G,5,0)</f>
        <v>01550085874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3" t="s">
        <v>591</v>
      </c>
      <c r="B554" s="1">
        <v>709139503259</v>
      </c>
      <c r="C554" s="1" t="s">
        <v>474</v>
      </c>
      <c r="D554" s="3" t="s">
        <v>563</v>
      </c>
      <c r="E554" s="1" t="s">
        <v>12</v>
      </c>
      <c r="F554" s="2">
        <f ca="1">VLOOKUP(A554,Sheet2!C:D,2,0)</f>
        <v>2096</v>
      </c>
      <c r="G554" s="2" t="str">
        <f ca="1">VLOOKUP(A554,Sheet2!C:E,3,0)</f>
        <v>EG10-EG11-G12</v>
      </c>
      <c r="H554" s="2" t="str">
        <f ca="1">VLOOKUP(A554,Sheet2!A:F,6,0)</f>
        <v>korashy.1411@gmail.com</v>
      </c>
      <c r="I554" s="2" t="str">
        <f ca="1">VLOOKUP(A554,Sheet2!C:G,5,0)</f>
        <v>01126633295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3" t="s">
        <v>592</v>
      </c>
      <c r="B555" s="2" t="e">
        <f ca="1">VLOOKUP(A555,Sheet2!A:B,2,0)</f>
        <v>#N/A</v>
      </c>
      <c r="C555" s="1" t="s">
        <v>474</v>
      </c>
      <c r="D555" s="3" t="s">
        <v>586</v>
      </c>
      <c r="E555" s="1" t="s">
        <v>182</v>
      </c>
      <c r="F555" s="2" t="e">
        <f ca="1">VLOOKUP(A555,Sheet2!C:D,2,0)</f>
        <v>#N/A</v>
      </c>
      <c r="G555" s="2" t="e">
        <f ca="1">VLOOKUP(A555,Sheet2!C:E,3,0)</f>
        <v>#N/A</v>
      </c>
      <c r="H555" s="2" t="e">
        <f ca="1">VLOOKUP(A555,Sheet2!A:F,6,0)</f>
        <v>#N/A</v>
      </c>
      <c r="I555" s="2" t="e">
        <f ca="1">VLOOKUP(A555,Sheet2!C:G,5,0)</f>
        <v>#N/A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3" t="s">
        <v>593</v>
      </c>
      <c r="B556" s="1">
        <v>893140536419</v>
      </c>
      <c r="C556" s="1" t="s">
        <v>474</v>
      </c>
      <c r="D556" s="3" t="s">
        <v>586</v>
      </c>
      <c r="E556" s="1" t="s">
        <v>12</v>
      </c>
      <c r="F556" s="4" t="str">
        <f ca="1">VLOOKUP(A556,Sheet2!C:D,2,0)</f>
        <v>2199</v>
      </c>
      <c r="G556" s="2" t="str">
        <f ca="1">VLOOKUP(A556,Sheet2!C:E,3,0)</f>
        <v>EG10-EG11-G12</v>
      </c>
      <c r="H556" s="2" t="str">
        <f ca="1">VLOOKUP(A556,Sheet2!A:F,6,0)</f>
        <v>ebrahim2721976@gmail.com</v>
      </c>
      <c r="I556" s="2">
        <f ca="1">VLOOKUP(A556,Sheet2!C:G,5,0)</f>
        <v>0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3" t="s">
        <v>594</v>
      </c>
      <c r="B557" s="1">
        <v>942138286345</v>
      </c>
      <c r="C557" s="1" t="s">
        <v>474</v>
      </c>
      <c r="D557" s="3" t="s">
        <v>571</v>
      </c>
      <c r="E557" s="1" t="s">
        <v>35</v>
      </c>
      <c r="F557" s="4" t="str">
        <f ca="1">VLOOKUP(A557,Sheet2!C:D,2,0)</f>
        <v>1975</v>
      </c>
      <c r="G557" s="2" t="str">
        <f ca="1">VLOOKUP(A557,Sheet2!C:E,3,0)</f>
        <v>EG10-EG11-G12</v>
      </c>
      <c r="H557" s="2" t="str">
        <f ca="1">VLOOKUP(A557,Sheet2!A:F,6,0)</f>
        <v>rnosier.72@gmail.com</v>
      </c>
      <c r="I557" s="2" t="str">
        <f ca="1">VLOOKUP(A557,Sheet2!C:G,5,0)</f>
        <v>01004540715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3" t="s">
        <v>595</v>
      </c>
      <c r="B558" s="1">
        <v>452123973904</v>
      </c>
      <c r="C558" s="1" t="s">
        <v>474</v>
      </c>
      <c r="D558" s="1" t="s">
        <v>486</v>
      </c>
      <c r="E558" s="1" t="s">
        <v>35</v>
      </c>
      <c r="F558" s="4" t="str">
        <f ca="1">VLOOKUP(A558,Sheet2!C:D,2,0)</f>
        <v>1330</v>
      </c>
      <c r="G558" s="2">
        <f ca="1">VLOOKUP(A558,Sheet2!C:E,3,0)</f>
        <v>0</v>
      </c>
      <c r="H558" s="2" t="str">
        <f ca="1">VLOOKUP(A558,Sheet2!A:F,6,0)</f>
        <v>s-mazenhafez@zewailcity.edu.eg</v>
      </c>
      <c r="I558" s="2">
        <f ca="1">VLOOKUP(A558,Sheet2!C:G,5,0)</f>
        <v>0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3" t="s">
        <v>596</v>
      </c>
      <c r="B559" s="1">
        <v>424154524098</v>
      </c>
      <c r="C559" s="1" t="s">
        <v>474</v>
      </c>
      <c r="D559" s="1" t="s">
        <v>25</v>
      </c>
      <c r="E559" s="1" t="s">
        <v>35</v>
      </c>
      <c r="F559" s="4" t="str">
        <f ca="1">VLOOKUP(A559,Sheet2!C:D,2,0)</f>
        <v>2135</v>
      </c>
      <c r="G559" s="2">
        <f ca="1">VLOOKUP(A559,Sheet2!C:E,3,0)</f>
        <v>0</v>
      </c>
      <c r="H559" s="2" t="str">
        <f ca="1">VLOOKUP(A559,Sheet2!A:F,6,0)</f>
        <v>zakisaeedfrs@gmail.com</v>
      </c>
      <c r="I559" s="2" t="str">
        <f ca="1">VLOOKUP(A559,Sheet2!C:G,5,0)</f>
        <v>01202812574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3" t="s">
        <v>597</v>
      </c>
      <c r="B560" s="1">
        <v>636182508414</v>
      </c>
      <c r="C560" s="1" t="s">
        <v>301</v>
      </c>
      <c r="D560" s="3" t="s">
        <v>63</v>
      </c>
      <c r="E560" s="1" t="s">
        <v>182</v>
      </c>
      <c r="F560" s="4" t="str">
        <f ca="1">VLOOKUP(A560,Sheet2!C:D,2,0)</f>
        <v>1846</v>
      </c>
      <c r="G560" s="2">
        <f ca="1">VLOOKUP(A560,Sheet2!C:E,3,0)</f>
        <v>0</v>
      </c>
      <c r="H560" s="2">
        <f ca="1">VLOOKUP(A560,Sheet2!A:F,6,0)</f>
        <v>0</v>
      </c>
      <c r="I560" s="2">
        <f ca="1">VLOOKUP(A560,Sheet2!C:G,5,0)</f>
        <v>0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3" t="s">
        <v>598</v>
      </c>
      <c r="B561" s="1">
        <v>626126867906</v>
      </c>
      <c r="C561" s="1" t="s">
        <v>301</v>
      </c>
      <c r="D561" s="1" t="s">
        <v>25</v>
      </c>
      <c r="E561" s="1" t="s">
        <v>35</v>
      </c>
      <c r="F561" s="4" t="str">
        <f ca="1">VLOOKUP(A561,Sheet2!C:D,2,0)</f>
        <v>1993</v>
      </c>
      <c r="G561" s="2">
        <f ca="1">VLOOKUP(A561,Sheet2!C:E,3,0)</f>
        <v>0</v>
      </c>
      <c r="H561" s="2" t="str">
        <f ca="1">VLOOKUP(A561,Sheet2!A:F,6,0)</f>
        <v>amany.nicola6@gmail.com</v>
      </c>
      <c r="I561" s="2" t="str">
        <f ca="1">VLOOKUP(A561,Sheet2!C:G,5,0)</f>
        <v>01222711176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3" t="s">
        <v>599</v>
      </c>
      <c r="B562" s="1">
        <v>675168783816</v>
      </c>
      <c r="C562" s="1" t="s">
        <v>474</v>
      </c>
      <c r="D562" s="1" t="s">
        <v>486</v>
      </c>
      <c r="E562" s="1" t="s">
        <v>35</v>
      </c>
      <c r="F562" s="4" t="str">
        <f ca="1">VLOOKUP(A562,Sheet2!C:D,2,0)</f>
        <v>1909</v>
      </c>
      <c r="G562" s="2" t="str">
        <f ca="1">VLOOKUP(A562,Sheet2!C:E,3,0)</f>
        <v>EG10-EG11-G12</v>
      </c>
      <c r="H562" s="2" t="str">
        <f ca="1">VLOOKUP(A562,Sheet2!A:F,6,0)</f>
        <v>fady.gobrail@gmail.com</v>
      </c>
      <c r="I562" s="2" t="str">
        <f ca="1">VLOOKUP(A562,Sheet2!C:G,5,0)</f>
        <v>035400651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3" t="s">
        <v>600</v>
      </c>
      <c r="B563" s="1">
        <v>198159430149</v>
      </c>
      <c r="C563" s="1" t="s">
        <v>474</v>
      </c>
      <c r="D563" s="3" t="s">
        <v>69</v>
      </c>
      <c r="E563" s="1" t="s">
        <v>35</v>
      </c>
      <c r="F563" s="4" t="str">
        <f ca="1">VLOOKUP(A563,Sheet2!C:D,2,0)</f>
        <v>1083</v>
      </c>
      <c r="G563" s="2" t="str">
        <f ca="1">VLOOKUP(A563,Sheet2!C:E,3,0)</f>
        <v>EG10-EG11-EG12</v>
      </c>
      <c r="H563" s="2">
        <f ca="1">VLOOKUP(A563,Sheet2!A:F,6,0)</f>
        <v>0</v>
      </c>
      <c r="I563" s="2">
        <f ca="1">VLOOKUP(A563,Sheet2!C:G,5,0)</f>
        <v>0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3" t="s">
        <v>601</v>
      </c>
      <c r="B564" s="1">
        <v>963158235375</v>
      </c>
      <c r="C564" s="1" t="s">
        <v>474</v>
      </c>
      <c r="D564" s="1" t="s">
        <v>602</v>
      </c>
      <c r="E564" s="1" t="s">
        <v>35</v>
      </c>
      <c r="F564" s="4" t="str">
        <f ca="1">VLOOKUP(A564,Sheet2!C:D,2,0)</f>
        <v>2062</v>
      </c>
      <c r="G564" s="2">
        <f ca="1">VLOOKUP(A564,Sheet2!C:E,3,0)</f>
        <v>0</v>
      </c>
      <c r="H564" s="2" t="str">
        <f ca="1">VLOOKUP(A564,Sheet2!A:F,6,0)</f>
        <v>marwa_mostafa_@hotmail.com</v>
      </c>
      <c r="I564" s="2" t="str">
        <f ca="1">VLOOKUP(A564,Sheet2!C:G,5,0)</f>
        <v>01003732776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3" t="s">
        <v>603</v>
      </c>
      <c r="B565" s="1">
        <v>194141237816</v>
      </c>
      <c r="C565" s="1" t="s">
        <v>474</v>
      </c>
      <c r="D565" s="1" t="s">
        <v>604</v>
      </c>
      <c r="E565" s="1" t="s">
        <v>35</v>
      </c>
      <c r="F565" s="4" t="str">
        <f ca="1">VLOOKUP(A565,Sheet2!C:D,2,0)</f>
        <v>1841</v>
      </c>
      <c r="G565" s="2" t="str">
        <f ca="1">VLOOKUP(A565,Sheet2!C:E,3,0)</f>
        <v>She won't be with us in the 2nd term.</v>
      </c>
      <c r="H565" s="2">
        <f ca="1">VLOOKUP(A565,Sheet2!A:F,6,0)</f>
        <v>0</v>
      </c>
      <c r="I565" s="2">
        <f ca="1">VLOOKUP(A565,Sheet2!C:G,5,0)</f>
        <v>0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3" t="s">
        <v>605</v>
      </c>
      <c r="B566" s="1">
        <v>194194607634</v>
      </c>
      <c r="C566" s="1" t="s">
        <v>474</v>
      </c>
      <c r="D566" s="1" t="s">
        <v>606</v>
      </c>
      <c r="E566" s="1" t="s">
        <v>12</v>
      </c>
      <c r="F566" s="4" t="str">
        <f ca="1">VLOOKUP(A566,Sheet2!C:D,2,0)</f>
        <v>2006</v>
      </c>
      <c r="G566" s="2">
        <f ca="1">VLOOKUP(A566,Sheet2!C:E,3,0)</f>
        <v>0</v>
      </c>
      <c r="H566" s="2" t="str">
        <f ca="1">VLOOKUP(A566,Sheet2!A:F,6,0)</f>
        <v>bichoiadel@gmail.com</v>
      </c>
      <c r="I566" s="2" t="str">
        <f ca="1">VLOOKUP(A566,Sheet2!C:G,5,0)</f>
        <v>01283973691</v>
      </c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3" t="s">
        <v>607</v>
      </c>
      <c r="B567" s="1">
        <v>973132386263</v>
      </c>
      <c r="C567" s="1" t="s">
        <v>474</v>
      </c>
      <c r="D567" s="1" t="s">
        <v>602</v>
      </c>
      <c r="E567" s="1" t="s">
        <v>12</v>
      </c>
      <c r="F567" s="4" t="str">
        <f ca="1">VLOOKUP(A567,Sheet2!C:D,2,0)</f>
        <v>1798</v>
      </c>
      <c r="G567" s="2">
        <f ca="1">VLOOKUP(A567,Sheet2!C:E,3,0)</f>
        <v>0</v>
      </c>
      <c r="H567" s="2" t="str">
        <f ca="1">VLOOKUP(A567,Sheet2!A:F,6,0)</f>
        <v>magdaharidy96@gmail.com</v>
      </c>
      <c r="I567" s="2" t="str">
        <f ca="1">VLOOKUP(A567,Sheet2!C:G,5,0)</f>
        <v>01011902047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3" t="s">
        <v>608</v>
      </c>
      <c r="B568" s="1">
        <v>524103078030</v>
      </c>
      <c r="C568" s="1" t="s">
        <v>474</v>
      </c>
      <c r="D568" s="1" t="s">
        <v>604</v>
      </c>
      <c r="E568" s="1" t="s">
        <v>182</v>
      </c>
      <c r="F568" s="4" t="str">
        <f ca="1">VLOOKUP(A568,Sheet2!C:D,2,0)</f>
        <v>2120</v>
      </c>
      <c r="G568" s="2">
        <f ca="1">VLOOKUP(A568,Sheet2!C:E,3,0)</f>
        <v>0</v>
      </c>
      <c r="H568" s="2">
        <f ca="1">VLOOKUP(A568,Sheet2!A:F,6,0)</f>
        <v>0</v>
      </c>
      <c r="I568" s="2">
        <f ca="1">VLOOKUP(A568,Sheet2!C:G,5,0)</f>
        <v>0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3" t="s">
        <v>609</v>
      </c>
      <c r="B569" s="1">
        <v>492152627064</v>
      </c>
      <c r="C569" s="1" t="s">
        <v>474</v>
      </c>
      <c r="D569" s="1" t="s">
        <v>606</v>
      </c>
      <c r="E569" s="1" t="s">
        <v>12</v>
      </c>
      <c r="F569" s="4" t="str">
        <f ca="1">VLOOKUP(A569,Sheet2!C:D,2,0)</f>
        <v>2134</v>
      </c>
      <c r="G569" s="2">
        <f ca="1">VLOOKUP(A569,Sheet2!C:E,3,0)</f>
        <v>0</v>
      </c>
      <c r="H569" s="2" t="str">
        <f ca="1">VLOOKUP(A569,Sheet2!A:F,6,0)</f>
        <v>abdo.gemy5@gmail.com</v>
      </c>
      <c r="I569" s="2" t="str">
        <f ca="1">VLOOKUP(A569,Sheet2!C:G,5,0)</f>
        <v>01126147349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3" t="s">
        <v>610</v>
      </c>
      <c r="B570" s="1">
        <v>872163032543</v>
      </c>
      <c r="C570" s="1" t="s">
        <v>474</v>
      </c>
      <c r="D570" s="1" t="s">
        <v>611</v>
      </c>
      <c r="E570" s="1" t="s">
        <v>12</v>
      </c>
      <c r="F570" s="4" t="str">
        <f ca="1">VLOOKUP(A570,Sheet2!C:D,2,0)</f>
        <v>1962</v>
      </c>
      <c r="G570" s="2">
        <f ca="1">VLOOKUP(A570,Sheet2!C:E,3,0)</f>
        <v>0</v>
      </c>
      <c r="H570" s="2" t="str">
        <f ca="1">VLOOKUP(A570,Sheet2!A:F,6,0)</f>
        <v>nojayehia2009@gmail.com</v>
      </c>
      <c r="I570" s="2">
        <f ca="1">VLOOKUP(A570,Sheet2!C:G,5,0)</f>
        <v>1115125755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3" t="s">
        <v>612</v>
      </c>
      <c r="B571" s="1">
        <v>794135291842</v>
      </c>
      <c r="C571" s="1" t="s">
        <v>301</v>
      </c>
      <c r="D571" s="1" t="s">
        <v>611</v>
      </c>
      <c r="E571" s="1" t="s">
        <v>12</v>
      </c>
      <c r="F571" s="4" t="str">
        <f ca="1">VLOOKUP(A571,Sheet2!C:D,2,0)</f>
        <v>2137</v>
      </c>
      <c r="G571" s="2">
        <f ca="1">VLOOKUP(A571,Sheet2!C:E,3,0)</f>
        <v>0</v>
      </c>
      <c r="H571" s="2" t="str">
        <f ca="1">VLOOKUP(A571,Sheet2!A:F,6,0)</f>
        <v>nouragadou2022@gmail.com</v>
      </c>
      <c r="I571" s="2">
        <f ca="1">VLOOKUP(A571,Sheet2!C:G,5,0)</f>
        <v>0</v>
      </c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3" t="s">
        <v>613</v>
      </c>
      <c r="B572" s="1">
        <v>232180108363</v>
      </c>
      <c r="C572" s="1" t="s">
        <v>474</v>
      </c>
      <c r="D572" s="1" t="s">
        <v>47</v>
      </c>
      <c r="E572" s="1" t="s">
        <v>35</v>
      </c>
      <c r="F572" s="4" t="str">
        <f ca="1">VLOOKUP(A572,Sheet2!C:D,2,0)</f>
        <v>1924</v>
      </c>
      <c r="G572" s="2">
        <f ca="1">VLOOKUP(A572,Sheet2!C:E,3,0)</f>
        <v>0</v>
      </c>
      <c r="H572" s="2" t="str">
        <f ca="1">VLOOKUP(A572,Sheet2!A:F,6,0)</f>
        <v>mohamed.b.dahab@hotmail.com</v>
      </c>
      <c r="I572" s="2" t="str">
        <f ca="1">VLOOKUP(A572,Sheet2!C:G,5,0)</f>
        <v>01285237127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3" t="s">
        <v>614</v>
      </c>
      <c r="B573" s="1">
        <v>517143909782</v>
      </c>
      <c r="C573" s="1" t="s">
        <v>474</v>
      </c>
      <c r="D573" s="1" t="s">
        <v>475</v>
      </c>
      <c r="E573" s="1" t="s">
        <v>35</v>
      </c>
      <c r="F573" s="4" t="str">
        <f ca="1">VLOOKUP(A573,Sheet2!C:D,2,0)</f>
        <v>1922</v>
      </c>
      <c r="G573" s="2">
        <f ca="1">VLOOKUP(A573,Sheet2!C:E,3,0)</f>
        <v>0</v>
      </c>
      <c r="H573" s="2">
        <f ca="1">VLOOKUP(A573,Sheet2!A:F,6,0)</f>
        <v>0</v>
      </c>
      <c r="I573" s="2">
        <f ca="1">VLOOKUP(A573,Sheet2!C:G,5,0)</f>
        <v>0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3" t="s">
        <v>615</v>
      </c>
      <c r="B574" s="1">
        <v>287167641716</v>
      </c>
      <c r="C574" s="1" t="s">
        <v>474</v>
      </c>
      <c r="D574" s="3" t="s">
        <v>571</v>
      </c>
      <c r="E574" s="1" t="s">
        <v>35</v>
      </c>
      <c r="F574" s="4" t="str">
        <f ca="1">VLOOKUP(A574,Sheet2!C:D,2,0)</f>
        <v>1865</v>
      </c>
      <c r="G574" s="2" t="str">
        <f ca="1">VLOOKUP(A574,Sheet2!C:E,3,0)</f>
        <v>EG10-EG11-G12</v>
      </c>
      <c r="H574" s="2" t="str">
        <f ca="1">VLOOKUP(A574,Sheet2!A:F,6,0)</f>
        <v>daliahussein999@gmail.com</v>
      </c>
      <c r="I574" s="2">
        <f ca="1">VLOOKUP(A574,Sheet2!C:G,5,0)</f>
        <v>0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3" t="s">
        <v>616</v>
      </c>
      <c r="B575" s="1">
        <v>128175285060</v>
      </c>
      <c r="C575" s="1" t="s">
        <v>474</v>
      </c>
      <c r="D575" s="1" t="s">
        <v>602</v>
      </c>
      <c r="E575" s="1" t="s">
        <v>12</v>
      </c>
      <c r="F575" s="4" t="str">
        <f ca="1">VLOOKUP(A575,Sheet2!C:D,2,0)</f>
        <v>2145</v>
      </c>
      <c r="G575" s="2">
        <f ca="1">VLOOKUP(A575,Sheet2!C:E,3,0)</f>
        <v>0</v>
      </c>
      <c r="H575" s="2" t="str">
        <f ca="1">VLOOKUP(A575,Sheet2!A:F,6,0)</f>
        <v>laprofe1307@gmail.com</v>
      </c>
      <c r="I575" s="2" t="str">
        <f ca="1">VLOOKUP(A575,Sheet2!C:G,5,0)</f>
        <v>01066912056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3" t="s">
        <v>617</v>
      </c>
      <c r="B576" s="1">
        <v>292171703567</v>
      </c>
      <c r="C576" s="1" t="s">
        <v>474</v>
      </c>
      <c r="D576" s="1" t="s">
        <v>611</v>
      </c>
      <c r="E576" s="1" t="s">
        <v>182</v>
      </c>
      <c r="F576" s="4" t="str">
        <f ca="1">VLOOKUP(A576,Sheet2!C:D,2,0)</f>
        <v>1979</v>
      </c>
      <c r="G576" s="2" t="str">
        <f ca="1">VLOOKUP(A576,Sheet2!C:E,3,0)</f>
        <v xml:space="preserve">اعتذرت عن استكمال فصول السنة لمروره بظرف صحي، وستستقيل
</v>
      </c>
      <c r="H576" s="2">
        <f ca="1">VLOOKUP(A576,Sheet2!A:F,6,0)</f>
        <v>0</v>
      </c>
      <c r="I576" s="2">
        <f ca="1">VLOOKUP(A576,Sheet2!C:G,5,0)</f>
        <v>0</v>
      </c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3" t="s">
        <v>618</v>
      </c>
      <c r="B577" s="1">
        <v>928120793742</v>
      </c>
      <c r="C577" s="1" t="s">
        <v>301</v>
      </c>
      <c r="D577" s="1" t="s">
        <v>25</v>
      </c>
      <c r="E577" s="1" t="s">
        <v>35</v>
      </c>
      <c r="F577" s="4" t="str">
        <f ca="1">VLOOKUP(A577,Sheet2!C:D,2,0)</f>
        <v>2156</v>
      </c>
      <c r="G577" s="2">
        <f ca="1">VLOOKUP(A577,Sheet2!C:E,3,0)</f>
        <v>0</v>
      </c>
      <c r="H577" s="2" t="str">
        <f ca="1">VLOOKUP(A577,Sheet2!A:F,6,0)</f>
        <v>radwa1511@gmail.com</v>
      </c>
      <c r="I577" s="2" t="str">
        <f ca="1">VLOOKUP(A577,Sheet2!C:G,5,0)</f>
        <v>01118060999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3" t="s">
        <v>619</v>
      </c>
      <c r="B578" s="1">
        <v>870102132510</v>
      </c>
      <c r="C578" s="1" t="s">
        <v>301</v>
      </c>
      <c r="D578" s="3" t="s">
        <v>201</v>
      </c>
      <c r="E578" s="1" t="s">
        <v>35</v>
      </c>
      <c r="F578" s="4" t="str">
        <f ca="1">VLOOKUP(A578,Sheet2!C:D,2,0)</f>
        <v>1858</v>
      </c>
      <c r="G578" s="2">
        <f ca="1">VLOOKUP(A578,Sheet2!C:E,3,0)</f>
        <v>0</v>
      </c>
      <c r="H578" s="2" t="str">
        <f ca="1">VLOOKUP(A578,Sheet2!A:F,6,0)</f>
        <v>bosyt40@gmail.com</v>
      </c>
      <c r="I578" s="2" t="str">
        <f ca="1">VLOOKUP(A578,Sheet2!C:G,5,0)</f>
        <v>01142417157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3" t="s">
        <v>620</v>
      </c>
      <c r="B579" s="1">
        <v>142159241646</v>
      </c>
      <c r="C579" s="1" t="s">
        <v>301</v>
      </c>
      <c r="D579" s="1" t="s">
        <v>47</v>
      </c>
      <c r="E579" s="1" t="s">
        <v>35</v>
      </c>
      <c r="F579" s="4" t="str">
        <f ca="1">VLOOKUP(A579,Sheet2!C:D,2,0)</f>
        <v>1534</v>
      </c>
      <c r="G579" s="2">
        <f ca="1">VLOOKUP(A579,Sheet2!C:E,3,0)</f>
        <v>0</v>
      </c>
      <c r="H579" s="2" t="str">
        <f ca="1">VLOOKUP(A579,Sheet2!A:F,6,0)</f>
        <v>essam.omar@nagwa.com</v>
      </c>
      <c r="I579" s="2">
        <f ca="1">VLOOKUP(A579,Sheet2!C:G,5,0)</f>
        <v>201113618461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3" t="s">
        <v>621</v>
      </c>
      <c r="B580" s="1">
        <v>123132196047</v>
      </c>
      <c r="C580" s="1" t="s">
        <v>301</v>
      </c>
      <c r="D580" s="1" t="s">
        <v>25</v>
      </c>
      <c r="E580" s="1" t="s">
        <v>35</v>
      </c>
      <c r="F580" s="4" t="str">
        <f ca="1">VLOOKUP(A580,Sheet2!C:D,2,0)</f>
        <v>2025</v>
      </c>
      <c r="G580" s="2">
        <f ca="1">VLOOKUP(A580,Sheet2!C:E,3,0)</f>
        <v>0</v>
      </c>
      <c r="H580" s="2" t="str">
        <f ca="1">VLOOKUP(A580,Sheet2!A:F,6,0)</f>
        <v>rouby_zico@yahoo.com</v>
      </c>
      <c r="I580" s="2" t="str">
        <f ca="1">VLOOKUP(A580,Sheet2!C:G,5,0)</f>
        <v>01100909748</v>
      </c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3" t="s">
        <v>622</v>
      </c>
      <c r="B581" s="1">
        <v>179171592097</v>
      </c>
      <c r="C581" s="1" t="s">
        <v>474</v>
      </c>
      <c r="D581" s="1" t="s">
        <v>602</v>
      </c>
      <c r="E581" s="1" t="s">
        <v>35</v>
      </c>
      <c r="F581" s="4" t="str">
        <f ca="1">VLOOKUP(A581,Sheet2!C:D,2,0)</f>
        <v>1994</v>
      </c>
      <c r="G581" s="2">
        <f ca="1">VLOOKUP(A581,Sheet2!C:E,3,0)</f>
        <v>0</v>
      </c>
      <c r="H581" s="2" t="str">
        <f ca="1">VLOOKUP(A581,Sheet2!A:F,6,0)</f>
        <v>jakleenattalla99@gmail.com</v>
      </c>
      <c r="I581" s="2" t="str">
        <f ca="1">VLOOKUP(A581,Sheet2!C:G,5,0)</f>
        <v>+201275832257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3" t="s">
        <v>623</v>
      </c>
      <c r="B582" s="1">
        <v>308176953497</v>
      </c>
      <c r="C582" s="1" t="s">
        <v>474</v>
      </c>
      <c r="D582" s="1" t="s">
        <v>604</v>
      </c>
      <c r="E582" s="1" t="s">
        <v>12</v>
      </c>
      <c r="F582" s="4" t="str">
        <f ca="1">VLOOKUP(A582,Sheet2!C:D,2,0)</f>
        <v>1839</v>
      </c>
      <c r="G582" s="2">
        <f ca="1">VLOOKUP(A582,Sheet2!C:E,3,0)</f>
        <v>0</v>
      </c>
      <c r="H582" s="2" t="str">
        <f ca="1">VLOOKUP(A582,Sheet2!A:F,6,0)</f>
        <v>amany.allam7@gmail.com</v>
      </c>
      <c r="I582" s="2">
        <f ca="1">VLOOKUP(A582,Sheet2!C:G,5,0)</f>
        <v>0</v>
      </c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3" t="s">
        <v>624</v>
      </c>
      <c r="B583" s="1">
        <v>695180376491</v>
      </c>
      <c r="C583" s="1" t="s">
        <v>474</v>
      </c>
      <c r="D583" s="1" t="s">
        <v>606</v>
      </c>
      <c r="E583" s="1" t="s">
        <v>35</v>
      </c>
      <c r="F583" s="4" t="str">
        <f ca="1">VLOOKUP(A583,Sheet2!C:D,2,0)</f>
        <v>1758</v>
      </c>
      <c r="G583" s="2">
        <f ca="1">VLOOKUP(A583,Sheet2!C:E,3,0)</f>
        <v>0</v>
      </c>
      <c r="H583" s="2" t="str">
        <f ca="1">VLOOKUP(A583,Sheet2!A:F,6,0)</f>
        <v>mero.mro9@gmail.com</v>
      </c>
      <c r="I583" s="2">
        <f ca="1">VLOOKUP(A583,Sheet2!C:G,5,0)</f>
        <v>0</v>
      </c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3" t="s">
        <v>625</v>
      </c>
      <c r="B584" s="1">
        <v>419198614751</v>
      </c>
      <c r="C584" s="1" t="s">
        <v>85</v>
      </c>
      <c r="D584" s="1" t="s">
        <v>125</v>
      </c>
      <c r="E584" s="1" t="s">
        <v>35</v>
      </c>
      <c r="F584" s="4" t="str">
        <f ca="1">VLOOKUP(A584,Sheet2!C:D,2,0)</f>
        <v>2297</v>
      </c>
      <c r="G584" s="2">
        <f ca="1">VLOOKUP(A584,Sheet2!C:E,3,0)</f>
        <v>0</v>
      </c>
      <c r="H584" s="2" t="str">
        <f ca="1">VLOOKUP(A584,Sheet2!A:F,6,0)</f>
        <v>khaldfareed@gmail.com</v>
      </c>
      <c r="I584" s="2" t="str">
        <f ca="1">VLOOKUP(A584,Sheet2!C:G,5,0)</f>
        <v>01026383650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3" t="s">
        <v>626</v>
      </c>
      <c r="B585" s="1">
        <v>435164906319</v>
      </c>
      <c r="C585" s="1" t="s">
        <v>474</v>
      </c>
      <c r="D585" s="1" t="s">
        <v>611</v>
      </c>
      <c r="E585" s="1" t="s">
        <v>35</v>
      </c>
      <c r="F585" s="4" t="str">
        <f ca="1">VLOOKUP(A585,Sheet2!C:D,2,0)</f>
        <v>2020</v>
      </c>
      <c r="G585" s="2" t="str">
        <f ca="1">VLOOKUP(A585,Sheet2!C:E,3,0)</f>
        <v>اعتذرت عن استكمال العام الدراسي معنا ويبدو أنها ستستقيل</v>
      </c>
      <c r="H585" s="2" t="str">
        <f ca="1">VLOOKUP(A585,Sheet2!A:F,6,0)</f>
        <v>sarakamalrezk@gmail.com</v>
      </c>
      <c r="I585" s="2" t="str">
        <f ca="1">VLOOKUP(A585,Sheet2!C:G,5,0)</f>
        <v xml:space="preserve">0122 695 8654 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3" t="s">
        <v>627</v>
      </c>
      <c r="B586" s="1">
        <v>862194859079</v>
      </c>
      <c r="C586" s="1" t="s">
        <v>10</v>
      </c>
      <c r="D586" s="1" t="s">
        <v>25</v>
      </c>
      <c r="E586" s="1" t="s">
        <v>35</v>
      </c>
      <c r="F586" s="4" t="str">
        <f ca="1">VLOOKUP(A586,Sheet2!C:D,2,0)</f>
        <v>2211</v>
      </c>
      <c r="G586" s="2">
        <f ca="1">VLOOKUP(A586,Sheet2!C:E,3,0)</f>
        <v>0</v>
      </c>
      <c r="H586" s="2">
        <f ca="1">VLOOKUP(A586,Sheet2!A:F,6,0)</f>
        <v>0</v>
      </c>
      <c r="I586" s="2">
        <f ca="1">VLOOKUP(A586,Sheet2!C:G,5,0)</f>
        <v>0</v>
      </c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3" t="s">
        <v>628</v>
      </c>
      <c r="B587" s="1">
        <v>478141716532</v>
      </c>
      <c r="C587" s="1" t="s">
        <v>474</v>
      </c>
      <c r="D587" s="1" t="s">
        <v>602</v>
      </c>
      <c r="E587" s="1" t="s">
        <v>12</v>
      </c>
      <c r="F587" s="4" t="str">
        <f ca="1">VLOOKUP(A587,Sheet2!C:D,2,0)</f>
        <v>2069</v>
      </c>
      <c r="G587" s="2">
        <f ca="1">VLOOKUP(A587,Sheet2!C:E,3,0)</f>
        <v>0</v>
      </c>
      <c r="H587" s="2" t="str">
        <f ca="1">VLOOKUP(A587,Sheet2!A:F,6,0)</f>
        <v>tokahassan5@gmail.com</v>
      </c>
      <c r="I587" s="2" t="str">
        <f ca="1">VLOOKUP(A587,Sheet2!C:G,5,0)</f>
        <v>01012286588</v>
      </c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3" t="s">
        <v>629</v>
      </c>
      <c r="B588" s="1">
        <v>459127286142</v>
      </c>
      <c r="C588" s="1" t="s">
        <v>474</v>
      </c>
      <c r="D588" s="1" t="s">
        <v>606</v>
      </c>
      <c r="E588" s="1" t="s">
        <v>35</v>
      </c>
      <c r="F588" s="4" t="str">
        <f ca="1">VLOOKUP(A588,Sheet2!C:D,2,0)</f>
        <v>1862</v>
      </c>
      <c r="G588" s="2">
        <f ca="1">VLOOKUP(A588,Sheet2!C:E,3,0)</f>
        <v>0</v>
      </c>
      <c r="H588" s="2" t="str">
        <f ca="1">VLOOKUP(A588,Sheet2!A:F,6,0)</f>
        <v>gamal.amer86@hotmail.com</v>
      </c>
      <c r="I588" s="2">
        <f ca="1">VLOOKUP(A588,Sheet2!C:G,5,0)</f>
        <v>0</v>
      </c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3" t="s">
        <v>630</v>
      </c>
      <c r="B589" s="1">
        <v>854101526124</v>
      </c>
      <c r="C589" s="1" t="s">
        <v>301</v>
      </c>
      <c r="D589" s="3" t="s">
        <v>69</v>
      </c>
      <c r="E589" s="1" t="s">
        <v>35</v>
      </c>
      <c r="F589" s="4" t="str">
        <f ca="1">VLOOKUP(A589,Sheet2!C:D,2,0)</f>
        <v>1817</v>
      </c>
      <c r="G589" s="2" t="str">
        <f ca="1">VLOOKUP(A589,Sheet2!C:E,3,0)</f>
        <v>EG07-EG08-EG09-EG10-EG11-EG12</v>
      </c>
      <c r="H589" s="2" t="str">
        <f ca="1">VLOOKUP(A589,Sheet2!A:F,6,0)</f>
        <v>melbasel101@gmail.com</v>
      </c>
      <c r="I589" s="2">
        <f ca="1">VLOOKUP(A589,Sheet2!C:G,5,0)</f>
        <v>0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3" t="s">
        <v>631</v>
      </c>
      <c r="B590" s="1">
        <v>913169734907</v>
      </c>
      <c r="C590" s="1" t="s">
        <v>474</v>
      </c>
      <c r="D590" s="1" t="s">
        <v>486</v>
      </c>
      <c r="E590" s="1" t="s">
        <v>35</v>
      </c>
      <c r="F590" s="4" t="str">
        <f ca="1">VLOOKUP(A590,Sheet2!C:D,2,0)</f>
        <v>1759</v>
      </c>
      <c r="G590" s="2" t="str">
        <f ca="1">VLOOKUP(A590,Sheet2!C:E,3,0)</f>
        <v>EG10-EG11-G12</v>
      </c>
      <c r="H590" s="2">
        <f ca="1">VLOOKUP(A590,Sheet2!A:F,6,0)</f>
        <v>0</v>
      </c>
      <c r="I590" s="2">
        <f ca="1">VLOOKUP(A590,Sheet2!C:G,5,0)</f>
        <v>0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3" t="s">
        <v>632</v>
      </c>
      <c r="B591" s="1">
        <v>708179253837</v>
      </c>
      <c r="C591" s="1" t="s">
        <v>474</v>
      </c>
      <c r="D591" s="1" t="s">
        <v>611</v>
      </c>
      <c r="E591" s="1" t="s">
        <v>12</v>
      </c>
      <c r="F591" s="4" t="str">
        <f ca="1">VLOOKUP(A591,Sheet2!C:D,2,0)</f>
        <v>2160</v>
      </c>
      <c r="G591" s="2">
        <f ca="1">VLOOKUP(A591,Sheet2!C:E,3,0)</f>
        <v>0</v>
      </c>
      <c r="H591" s="2" t="str">
        <f ca="1">VLOOKUP(A591,Sheet2!A:F,6,0)</f>
        <v>ranaantar33@gmail.com</v>
      </c>
      <c r="I591" s="2" t="str">
        <f ca="1">VLOOKUP(A591,Sheet2!C:G,5,0)</f>
        <v>01128544922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3" t="s">
        <v>633</v>
      </c>
      <c r="B592" s="1">
        <v>103196870689</v>
      </c>
      <c r="C592" s="1" t="s">
        <v>474</v>
      </c>
      <c r="D592" s="1" t="s">
        <v>611</v>
      </c>
      <c r="E592" s="1" t="s">
        <v>12</v>
      </c>
      <c r="F592" s="4" t="str">
        <f ca="1">VLOOKUP(A592,Sheet2!C:D,2,0)</f>
        <v>2018</v>
      </c>
      <c r="G592" s="2">
        <f ca="1">VLOOKUP(A592,Sheet2!C:E,3,0)</f>
        <v>0</v>
      </c>
      <c r="H592" s="2" t="str">
        <f ca="1">VLOOKUP(A592,Sheet2!A:F,6,0)</f>
        <v>anna.maria.261997@gmail.com</v>
      </c>
      <c r="I592" s="2" t="str">
        <f ca="1">VLOOKUP(A592,Sheet2!C:G,5,0)</f>
        <v>01202381996</v>
      </c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3" t="s">
        <v>634</v>
      </c>
      <c r="B593" s="1">
        <v>568186930704</v>
      </c>
      <c r="C593" s="1" t="s">
        <v>474</v>
      </c>
      <c r="D593" s="1" t="s">
        <v>604</v>
      </c>
      <c r="E593" s="1" t="s">
        <v>182</v>
      </c>
      <c r="F593" s="4" t="str">
        <f ca="1">VLOOKUP(A593,Sheet2!C:D,2,0)</f>
        <v>2185</v>
      </c>
      <c r="G593" s="2">
        <f ca="1">VLOOKUP(A593,Sheet2!C:E,3,0)</f>
        <v>0</v>
      </c>
      <c r="H593" s="2">
        <f ca="1">VLOOKUP(A593,Sheet2!A:F,6,0)</f>
        <v>0</v>
      </c>
      <c r="I593" s="2">
        <f ca="1">VLOOKUP(A593,Sheet2!C:G,5,0)</f>
        <v>0</v>
      </c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3" t="s">
        <v>635</v>
      </c>
      <c r="B594" s="1">
        <v>492145757573</v>
      </c>
      <c r="C594" s="1" t="s">
        <v>474</v>
      </c>
      <c r="D594" s="3" t="s">
        <v>69</v>
      </c>
      <c r="E594" s="1" t="s">
        <v>182</v>
      </c>
      <c r="F594" s="4" t="str">
        <f ca="1">VLOOKUP(A594,Sheet2!C:D,2,0)</f>
        <v>1789</v>
      </c>
      <c r="G594" s="2" t="str">
        <f ca="1">VLOOKUP(A594,Sheet2!C:E,3,0)</f>
        <v>اعتذر عن فصول المراجعة وفصول الترم الثاني لضغط العمل، وسيستقيل.
EG07-EG08-EG09-EG10-EG11-EG12</v>
      </c>
      <c r="H594" s="2">
        <f ca="1">VLOOKUP(A594,Sheet2!A:F,6,0)</f>
        <v>0</v>
      </c>
      <c r="I594" s="2">
        <f ca="1">VLOOKUP(A594,Sheet2!C:G,5,0)</f>
        <v>0</v>
      </c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3" t="s">
        <v>636</v>
      </c>
      <c r="B595" s="1">
        <v>893170457017</v>
      </c>
      <c r="C595" s="1" t="s">
        <v>474</v>
      </c>
      <c r="D595" s="3" t="s">
        <v>534</v>
      </c>
      <c r="E595" s="1" t="s">
        <v>182</v>
      </c>
      <c r="F595" s="4" t="str">
        <f ca="1">VLOOKUP(A595,Sheet2!C:D,2,0)</f>
        <v>1245</v>
      </c>
      <c r="G595" s="2">
        <f ca="1">VLOOKUP(A595,Sheet2!C:E,3,0)</f>
        <v>0</v>
      </c>
      <c r="H595" s="2" t="str">
        <f ca="1">VLOOKUP(A595,Sheet2!A:F,6,0)</f>
        <v>abeer.fouad@nagwa.com</v>
      </c>
      <c r="I595" s="2">
        <f ca="1">VLOOKUP(A595,Sheet2!C:G,5,0)</f>
        <v>201090406534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3" t="s">
        <v>637</v>
      </c>
      <c r="B596" s="1">
        <v>347126195768</v>
      </c>
      <c r="C596" s="1" t="s">
        <v>474</v>
      </c>
      <c r="D596" s="1" t="s">
        <v>507</v>
      </c>
      <c r="E596" s="1" t="s">
        <v>35</v>
      </c>
      <c r="F596" s="4" t="str">
        <f ca="1">VLOOKUP(A596,Sheet2!C:D,2,0)</f>
        <v>2041</v>
      </c>
      <c r="G596" s="2" t="str">
        <f ca="1">VLOOKUP(A596,Sheet2!C:E,3,0)</f>
        <v>G11</v>
      </c>
      <c r="H596" s="2" t="str">
        <f ca="1">VLOOKUP(A596,Sheet2!A:F,6,0)</f>
        <v>omarkhaled7772016@gmail.com</v>
      </c>
      <c r="I596" s="2" t="str">
        <f ca="1">VLOOKUP(A596,Sheet2!C:G,5,0)</f>
        <v>01119231204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3" t="s">
        <v>638</v>
      </c>
      <c r="B597" s="1">
        <v>458157430479</v>
      </c>
      <c r="C597" s="1" t="s">
        <v>301</v>
      </c>
      <c r="D597" s="1" t="s">
        <v>611</v>
      </c>
      <c r="E597" s="1" t="s">
        <v>35</v>
      </c>
      <c r="F597" s="4" t="str">
        <f ca="1">VLOOKUP(A597,Sheet2!C:D,2,0)</f>
        <v>2164</v>
      </c>
      <c r="G597" s="2" t="str">
        <f ca="1">VLOOKUP(A597,Sheet2!C:E,3,0)</f>
        <v>اعتذرت عن استكمال العام الدراسي معنا ويبدو أنها ستستقيل</v>
      </c>
      <c r="H597" s="2" t="str">
        <f ca="1">VLOOKUP(A597,Sheet2!A:F,6,0)</f>
        <v>maromina1986@gmail.com</v>
      </c>
      <c r="I597" s="2" t="str">
        <f ca="1">VLOOKUP(A597,Sheet2!C:G,5,0)</f>
        <v>01282662428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3" t="s">
        <v>639</v>
      </c>
      <c r="B598" s="1">
        <v>837194029802</v>
      </c>
      <c r="C598" s="1" t="s">
        <v>474</v>
      </c>
      <c r="D598" s="3" t="s">
        <v>516</v>
      </c>
      <c r="E598" s="1" t="s">
        <v>35</v>
      </c>
      <c r="F598" s="4" t="str">
        <f ca="1">VLOOKUP(A598,Sheet2!C:D,2,0)</f>
        <v>2196</v>
      </c>
      <c r="G598" s="2" t="str">
        <f ca="1">VLOOKUP(A598,Sheet2!C:E,3,0)</f>
        <v>G11-G12</v>
      </c>
      <c r="H598" s="2" t="str">
        <f ca="1">VLOOKUP(A598,Sheet2!A:F,6,0)</f>
        <v>samehmaged304@gmail.com</v>
      </c>
      <c r="I598" s="2" t="str">
        <f ca="1">VLOOKUP(A598,Sheet2!C:G,5,0)</f>
        <v>01281097754</v>
      </c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3" t="s">
        <v>640</v>
      </c>
      <c r="B599" s="1">
        <v>486174535434</v>
      </c>
      <c r="C599" s="1" t="s">
        <v>474</v>
      </c>
      <c r="D599" s="3" t="s">
        <v>524</v>
      </c>
      <c r="E599" s="1" t="s">
        <v>182</v>
      </c>
      <c r="F599" s="4" t="str">
        <f ca="1">VLOOKUP(A599,Sheet2!C:D,2,0)</f>
        <v>2067</v>
      </c>
      <c r="G599" s="2">
        <f ca="1">VLOOKUP(A599,Sheet2!C:E,3,0)</f>
        <v>0</v>
      </c>
      <c r="H599" s="2">
        <f ca="1">VLOOKUP(A599,Sheet2!A:F,6,0)</f>
        <v>0</v>
      </c>
      <c r="I599" s="2">
        <f ca="1">VLOOKUP(A599,Sheet2!C:G,5,0)</f>
        <v>0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3" t="s">
        <v>641</v>
      </c>
      <c r="B600" s="1">
        <v>239130462525</v>
      </c>
      <c r="C600" s="1" t="s">
        <v>85</v>
      </c>
      <c r="D600" s="1" t="s">
        <v>47</v>
      </c>
      <c r="E600" s="1" t="s">
        <v>35</v>
      </c>
      <c r="F600" s="4" t="str">
        <f ca="1">VLOOKUP(A600,Sheet2!C:D,2,0)</f>
        <v>1913</v>
      </c>
      <c r="G600" s="2">
        <f ca="1">VLOOKUP(A600,Sheet2!C:E,3,0)</f>
        <v>0</v>
      </c>
      <c r="H600" s="2">
        <f ca="1">VLOOKUP(A600,Sheet2!A:F,6,0)</f>
        <v>0</v>
      </c>
      <c r="I600" s="2">
        <f ca="1">VLOOKUP(A600,Sheet2!C:G,5,0)</f>
        <v>0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3" t="s">
        <v>642</v>
      </c>
      <c r="B601" s="1">
        <v>307134532301</v>
      </c>
      <c r="C601" s="1" t="s">
        <v>474</v>
      </c>
      <c r="D601" s="1" t="s">
        <v>486</v>
      </c>
      <c r="E601" s="1" t="s">
        <v>182</v>
      </c>
      <c r="F601" s="4" t="str">
        <f ca="1">VLOOKUP(A601,Sheet2!C:D,2,0)</f>
        <v>1888</v>
      </c>
      <c r="G601" s="2" t="str">
        <f ca="1">VLOOKUP(A601,Sheet2!C:E,3,0)</f>
        <v>G12</v>
      </c>
      <c r="H601" s="2">
        <f ca="1">VLOOKUP(A601,Sheet2!A:F,6,0)</f>
        <v>0</v>
      </c>
      <c r="I601" s="2">
        <f ca="1">VLOOKUP(A601,Sheet2!C:G,5,0)</f>
        <v>0</v>
      </c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3" t="s">
        <v>643</v>
      </c>
      <c r="B602" s="1">
        <v>658171357514</v>
      </c>
      <c r="C602" s="1" t="s">
        <v>301</v>
      </c>
      <c r="D602" s="3" t="s">
        <v>69</v>
      </c>
      <c r="E602" s="1" t="s">
        <v>12</v>
      </c>
      <c r="F602" s="4" t="str">
        <f ca="1">VLOOKUP(A602,Sheet2!C:D,2,0)</f>
        <v>2314</v>
      </c>
      <c r="G602" s="2" t="str">
        <f ca="1">VLOOKUP(A602,Sheet2!C:E,3,0)</f>
        <v>EG07-EG08-EG09</v>
      </c>
      <c r="H602" s="2" t="str">
        <f ca="1">VLOOKUP(A602,Sheet2!A:F,6,0)</f>
        <v>ahmedmansourmansour761@gmail.com</v>
      </c>
      <c r="I602" s="2" t="str">
        <f ca="1">VLOOKUP(A602,Sheet2!C:G,5,0)</f>
        <v>01025906312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3" t="s">
        <v>644</v>
      </c>
      <c r="B603" s="1">
        <v>403103787010</v>
      </c>
      <c r="C603" s="1" t="s">
        <v>301</v>
      </c>
      <c r="D603" s="3" t="s">
        <v>69</v>
      </c>
      <c r="E603" s="1" t="s">
        <v>182</v>
      </c>
      <c r="F603" s="4" t="str">
        <f ca="1">VLOOKUP(A603,Sheet2!C:D,2,0)</f>
        <v>1910</v>
      </c>
      <c r="G603" s="2" t="str">
        <f ca="1">VLOOKUP(A603,Sheet2!C:E,3,0)</f>
        <v>لم يقبل نظام المحاسبة الجديد والتسجيلات فقرر الاستقالة، فيرجى التواصل معه وتنفيذ إجراءات إنهاء التعاقد وتسليم العهدة</v>
      </c>
      <c r="H603" s="2" t="str">
        <f ca="1">VLOOKUP(A603,Sheet2!A:F,6,0)</f>
        <v>ayman.m.selim@gmail.com</v>
      </c>
      <c r="I603" s="2" t="str">
        <f ca="1">VLOOKUP(A603,Sheet2!C:G,5,0)</f>
        <v>01025907492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3" t="s">
        <v>645</v>
      </c>
      <c r="B604" s="1">
        <v>418196047464</v>
      </c>
      <c r="C604" s="1" t="s">
        <v>474</v>
      </c>
      <c r="D604" s="1" t="s">
        <v>611</v>
      </c>
      <c r="E604" s="1" t="s">
        <v>35</v>
      </c>
      <c r="F604" s="4" t="str">
        <f ca="1">VLOOKUP(A604,Sheet2!C:D,2,0)</f>
        <v>1974</v>
      </c>
      <c r="G604" s="2">
        <f ca="1">VLOOKUP(A604,Sheet2!C:E,3,0)</f>
        <v>0</v>
      </c>
      <c r="H604" s="2" t="str">
        <f ca="1">VLOOKUP(A604,Sheet2!A:F,6,0)</f>
        <v>salma.essam.saad@gmail.com</v>
      </c>
      <c r="I604" s="2" t="str">
        <f ca="1">VLOOKUP(A604,Sheet2!C:G,5,0)</f>
        <v>01141184357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3" t="s">
        <v>646</v>
      </c>
      <c r="B605" s="1">
        <v>284105320408</v>
      </c>
      <c r="C605" s="1" t="s">
        <v>474</v>
      </c>
      <c r="D605" s="1" t="s">
        <v>606</v>
      </c>
      <c r="E605" s="1" t="s">
        <v>182</v>
      </c>
      <c r="F605" s="4" t="str">
        <f ca="1">VLOOKUP(A605,Sheet2!C:D,2,0)</f>
        <v>1757</v>
      </c>
      <c r="G605" s="2" t="str">
        <f ca="1">VLOOKUP(A605,Sheet2!C:E,3,0)</f>
        <v>لم يقبل نظام المحاسبة الجديد والتسجيلات فقرر الاستقالة، فيرجى التواصل معه وتنفيذ إجراءات إنهاء التعاقد وتسليم العهدة</v>
      </c>
      <c r="H605" s="2">
        <f ca="1">VLOOKUP(A605,Sheet2!A:F,6,0)</f>
        <v>0</v>
      </c>
      <c r="I605" s="2">
        <f ca="1">VLOOKUP(A605,Sheet2!C:G,5,0)</f>
        <v>0</v>
      </c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3" t="s">
        <v>647</v>
      </c>
      <c r="B606" s="1">
        <v>415159138915</v>
      </c>
      <c r="C606" s="1" t="s">
        <v>474</v>
      </c>
      <c r="D606" s="1" t="s">
        <v>606</v>
      </c>
      <c r="E606" s="1" t="s">
        <v>182</v>
      </c>
      <c r="F606" s="4" t="str">
        <f ca="1">VLOOKUP(A606,Sheet2!C:D,2,0)</f>
        <v>2007</v>
      </c>
      <c r="G606" s="2" t="str">
        <f ca="1">VLOOKUP(A606,Sheet2!C:E,3,0)</f>
        <v>أبلغت عن عدم رضاها عن التعديلات الجديدة من حيث التسجيل وحساب المدرس، وستستقيل</v>
      </c>
      <c r="H606" s="2">
        <f ca="1">VLOOKUP(A606,Sheet2!A:F,6,0)</f>
        <v>0</v>
      </c>
      <c r="I606" s="2">
        <f ca="1">VLOOKUP(A606,Sheet2!C:G,5,0)</f>
        <v>0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3" t="s">
        <v>648</v>
      </c>
      <c r="B607" s="1">
        <v>812195754050</v>
      </c>
      <c r="C607" s="1" t="s">
        <v>85</v>
      </c>
      <c r="D607" s="1" t="s">
        <v>47</v>
      </c>
      <c r="E607" s="1" t="s">
        <v>182</v>
      </c>
      <c r="F607" s="4" t="str">
        <f ca="1">VLOOKUP(A607,Sheet2!C:D,2,0)</f>
        <v>1857</v>
      </c>
      <c r="G607" s="2">
        <f ca="1">VLOOKUP(A607,Sheet2!C:E,3,0)</f>
        <v>0</v>
      </c>
      <c r="H607" s="2">
        <f ca="1">VLOOKUP(A607,Sheet2!A:F,6,0)</f>
        <v>0</v>
      </c>
      <c r="I607" s="2">
        <f ca="1">VLOOKUP(A607,Sheet2!C:G,5,0)</f>
        <v>0</v>
      </c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3" t="s">
        <v>649</v>
      </c>
      <c r="B608" s="1">
        <v>159150394389</v>
      </c>
      <c r="C608" s="1" t="s">
        <v>85</v>
      </c>
      <c r="D608" s="1" t="s">
        <v>47</v>
      </c>
      <c r="E608" s="1" t="s">
        <v>182</v>
      </c>
      <c r="F608" s="4" t="str">
        <f ca="1">VLOOKUP(A608,Sheet2!C:D,2,0)</f>
        <v>443</v>
      </c>
      <c r="G608" s="2">
        <f ca="1">VLOOKUP(A608,Sheet2!C:E,3,0)</f>
        <v>0</v>
      </c>
      <c r="H608" s="2" t="str">
        <f ca="1">VLOOKUP(A608,Sheet2!A:F,6,0)</f>
        <v>amr.khattab@nagwa.com</v>
      </c>
      <c r="I608" s="2">
        <f ca="1">VLOOKUP(A608,Sheet2!C:G,5,0)</f>
        <v>0</v>
      </c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3" t="s">
        <v>650</v>
      </c>
      <c r="B609" s="1">
        <v>408124082075</v>
      </c>
      <c r="C609" s="1" t="s">
        <v>85</v>
      </c>
      <c r="D609" s="3" t="s">
        <v>63</v>
      </c>
      <c r="E609" s="1" t="s">
        <v>35</v>
      </c>
      <c r="F609" s="4">
        <f ca="1">VLOOKUP(A609,Sheet2!C:D,2,0)</f>
        <v>1363</v>
      </c>
      <c r="G609" s="2">
        <f ca="1">VLOOKUP(A609,Sheet2!C:E,3,0)</f>
        <v>0</v>
      </c>
      <c r="H609" s="2" t="str">
        <f ca="1">VLOOKUP(A609,Sheet2!A:F,6,0)</f>
        <v>nourhan.hashad@nagwa.com</v>
      </c>
      <c r="I609" s="2">
        <f ca="1">VLOOKUP(A609,Sheet2!C:G,5,0)</f>
        <v>201112094005</v>
      </c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3" t="s">
        <v>651</v>
      </c>
      <c r="B610" s="1">
        <v>974193190698</v>
      </c>
      <c r="C610" s="1" t="s">
        <v>301</v>
      </c>
      <c r="D610" s="1" t="s">
        <v>47</v>
      </c>
      <c r="E610" s="1" t="s">
        <v>35</v>
      </c>
      <c r="F610" s="4">
        <f ca="1">VLOOKUP(A610,Sheet2!C:D,2,0)</f>
        <v>2038</v>
      </c>
      <c r="G610" s="2">
        <f ca="1">VLOOKUP(A610,Sheet2!C:E,3,0)</f>
        <v>0</v>
      </c>
      <c r="H610" s="2" t="str">
        <f ca="1">VLOOKUP(A610,Sheet2!A:F,6,0)</f>
        <v>smah46158@gmail.com</v>
      </c>
      <c r="I610" s="2">
        <f ca="1">VLOOKUP(A610,Sheet2!C:G,5,0)</f>
        <v>0</v>
      </c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3" t="s">
        <v>652</v>
      </c>
      <c r="B611" s="1">
        <v>343102940549</v>
      </c>
      <c r="C611" s="1" t="s">
        <v>10</v>
      </c>
      <c r="D611" s="1" t="s">
        <v>25</v>
      </c>
      <c r="E611" s="1" t="s">
        <v>182</v>
      </c>
      <c r="F611" s="4">
        <f ca="1">VLOOKUP(A611,Sheet2!C:D,2,0)</f>
        <v>2312</v>
      </c>
      <c r="G611" s="2">
        <f ca="1">VLOOKUP(A611,Sheet2!C:E,3,0)</f>
        <v>0</v>
      </c>
      <c r="H611" s="2">
        <f ca="1">VLOOKUP(A611,Sheet2!A:F,6,0)</f>
        <v>0</v>
      </c>
      <c r="I611" s="2">
        <f ca="1">VLOOKUP(A611,Sheet2!C:G,5,0)</f>
        <v>0</v>
      </c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3" t="s">
        <v>653</v>
      </c>
      <c r="B612" s="1">
        <v>957149214309</v>
      </c>
      <c r="C612" s="1" t="s">
        <v>474</v>
      </c>
      <c r="D612" s="1" t="s">
        <v>604</v>
      </c>
      <c r="E612" s="1" t="s">
        <v>182</v>
      </c>
      <c r="F612" s="4">
        <f ca="1">VLOOKUP(A612,Sheet2!C:D,2,0)</f>
        <v>1995</v>
      </c>
      <c r="G612" s="2">
        <f ca="1">VLOOKUP(A612,Sheet2!C:E,3,0)</f>
        <v>0</v>
      </c>
      <c r="H612" s="2" t="str">
        <f ca="1">VLOOKUP(A612,Sheet2!A:F,6,0)</f>
        <v>nancy_88312@hotmail.com</v>
      </c>
      <c r="I612" s="2" t="str">
        <f ca="1">VLOOKUP(A612,Sheet2!C:G,5,0)</f>
        <v>01004166127</v>
      </c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3" t="s">
        <v>654</v>
      </c>
      <c r="B613" s="1">
        <v>295194323854</v>
      </c>
      <c r="C613" s="1" t="s">
        <v>474</v>
      </c>
      <c r="D613" s="1" t="s">
        <v>602</v>
      </c>
      <c r="E613" s="1" t="s">
        <v>182</v>
      </c>
      <c r="F613" s="4">
        <f ca="1">VLOOKUP(A613,Sheet2!C:D,2,0)</f>
        <v>2167</v>
      </c>
      <c r="G613" s="2">
        <f ca="1">VLOOKUP(A613,Sheet2!C:E,3,0)</f>
        <v>0</v>
      </c>
      <c r="H613" s="2" t="str">
        <f ca="1">VLOOKUP(A613,Sheet2!A:F,6,0)</f>
        <v>yousramohamed1984@gmail.com</v>
      </c>
      <c r="I613" s="2" t="str">
        <f ca="1">VLOOKUP(A613,Sheet2!C:G,5,0)</f>
        <v>01007474664</v>
      </c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3" t="s">
        <v>655</v>
      </c>
      <c r="B614" s="1">
        <v>926164261364</v>
      </c>
      <c r="C614" s="1" t="s">
        <v>474</v>
      </c>
      <c r="D614" s="3" t="s">
        <v>553</v>
      </c>
      <c r="E614" s="1" t="s">
        <v>35</v>
      </c>
      <c r="F614" s="4">
        <f ca="1">VLOOKUP(A614,Sheet2!C:D,2,0)</f>
        <v>2217</v>
      </c>
      <c r="G614" s="2" t="str">
        <f ca="1">VLOOKUP(A614,Sheet2!C:E,3,0)</f>
        <v>Philosophy EG10-EG11-EG12
 Psychology EG11-EG12</v>
      </c>
      <c r="H614" s="2" t="str">
        <f ca="1">VLOOKUP(A614,Sheet2!A:F,6,0)</f>
        <v>hosni_edu@msn.com</v>
      </c>
      <c r="I614" s="2" t="str">
        <f ca="1">VLOOKUP(A614,Sheet2!C:G,5,0)</f>
        <v>01143344200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3" t="s">
        <v>656</v>
      </c>
      <c r="B615" s="1">
        <v>198137454262</v>
      </c>
      <c r="C615" s="1" t="s">
        <v>474</v>
      </c>
      <c r="D615" s="3" t="s">
        <v>586</v>
      </c>
      <c r="E615" s="1" t="s">
        <v>12</v>
      </c>
      <c r="F615" s="4" t="str">
        <f ca="1">VLOOKUP(A615,Sheet2!C:D,2,0)</f>
        <v>2279</v>
      </c>
      <c r="G615" s="2" t="str">
        <f ca="1">VLOOKUP(A615,Sheet2!C:E,3,0)</f>
        <v>G11-G12</v>
      </c>
      <c r="H615" s="2" t="str">
        <f ca="1">VLOOKUP(A615,Sheet2!A:F,6,0)</f>
        <v>samanor2010@gmail.com</v>
      </c>
      <c r="I615" s="2">
        <f ca="1">VLOOKUP(A615,Sheet2!C:G,5,0)</f>
        <v>0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3" t="s">
        <v>657</v>
      </c>
      <c r="B616" s="1">
        <v>395193419294</v>
      </c>
      <c r="C616" s="1" t="s">
        <v>474</v>
      </c>
      <c r="D616" s="3" t="s">
        <v>553</v>
      </c>
      <c r="E616" s="1" t="s">
        <v>182</v>
      </c>
      <c r="F616" s="4" t="str">
        <f ca="1">VLOOKUP(A616,Sheet2!C:D,2,0)</f>
        <v>2033</v>
      </c>
      <c r="G616" s="2">
        <f ca="1">VLOOKUP(A616,Sheet2!C:E,3,0)</f>
        <v>0</v>
      </c>
      <c r="H616" s="2" t="str">
        <f ca="1">VLOOKUP(A616,Sheet2!A:F,6,0)</f>
        <v>ayadaod2017@gmail.com</v>
      </c>
      <c r="I616" s="2">
        <f ca="1">VLOOKUP(A616,Sheet2!C:G,5,0)</f>
        <v>0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3" t="s">
        <v>658</v>
      </c>
      <c r="B617" s="1">
        <v>615158327698</v>
      </c>
      <c r="C617" s="1" t="s">
        <v>85</v>
      </c>
      <c r="D617" s="3" t="s">
        <v>248</v>
      </c>
      <c r="E617" s="1" t="s">
        <v>35</v>
      </c>
      <c r="F617" s="2" t="str">
        <f ca="1">VLOOKUP(A617,Sheet2!C:D,2,0)</f>
        <v>1471</v>
      </c>
      <c r="G617" s="2" t="str">
        <f ca="1">VLOOKUP(A617,Sheet2!C:E,3,0)</f>
        <v>EG04-EG05-EG06-EG07-EG08-EG09</v>
      </c>
      <c r="H617" s="2" t="str">
        <f ca="1">VLOOKUP(A617,Sheet2!A:F,6,0)</f>
        <v>aliaa.makkawy@nagwa.com</v>
      </c>
      <c r="I617" s="2">
        <f ca="1">VLOOKUP(A617,Sheet2!C:G,5,0)</f>
        <v>201063570903</v>
      </c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3" t="s">
        <v>659</v>
      </c>
      <c r="B618" s="1">
        <v>518185761828</v>
      </c>
      <c r="C618" s="1" t="s">
        <v>301</v>
      </c>
      <c r="D618" s="1" t="s">
        <v>170</v>
      </c>
      <c r="E618" s="1" t="s">
        <v>182</v>
      </c>
      <c r="F618" s="2">
        <f ca="1">VLOOKUP(A618,Sheet2!C:D,2,0)</f>
        <v>1850</v>
      </c>
      <c r="G618" s="2">
        <f ca="1">VLOOKUP(A618,Sheet2!C:E,3,0)</f>
        <v>0</v>
      </c>
      <c r="H618" s="2">
        <f ca="1">VLOOKUP(A618,Sheet2!A:F,6,0)</f>
        <v>0</v>
      </c>
      <c r="I618" s="2">
        <f ca="1">VLOOKUP(A618,Sheet2!C:G,5,0)</f>
        <v>0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3" t="s">
        <v>660</v>
      </c>
      <c r="B619" s="1">
        <v>928179812341</v>
      </c>
      <c r="C619" s="1" t="s">
        <v>474</v>
      </c>
      <c r="D619" s="1" t="s">
        <v>507</v>
      </c>
      <c r="E619" s="1" t="s">
        <v>182</v>
      </c>
      <c r="F619" s="2">
        <f ca="1">VLOOKUP(A619,Sheet2!C:D,2,0)</f>
        <v>1945</v>
      </c>
      <c r="G619" s="2">
        <f ca="1">VLOOKUP(A619,Sheet2!C:E,3,0)</f>
        <v>0</v>
      </c>
      <c r="H619" s="2" t="str">
        <f ca="1">VLOOKUP(A619,Sheet2!A:F,6,0)</f>
        <v>amiraaliphy@gmail.com</v>
      </c>
      <c r="I619" s="2" t="str">
        <f ca="1">VLOOKUP(A619,Sheet2!C:G,5,0)</f>
        <v>01016171473</v>
      </c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3" t="s">
        <v>661</v>
      </c>
      <c r="B620" s="1">
        <v>602141491647</v>
      </c>
      <c r="C620" s="1" t="s">
        <v>474</v>
      </c>
      <c r="D620" s="3" t="s">
        <v>516</v>
      </c>
      <c r="E620" s="1" t="s">
        <v>35</v>
      </c>
      <c r="F620" s="2">
        <f ca="1">VLOOKUP(A620,Sheet2!C:D,2,0)</f>
        <v>2237</v>
      </c>
      <c r="G620" s="2" t="str">
        <f ca="1">VLOOKUP(A620,Sheet2!C:E,3,0)</f>
        <v>EG10-EG11-G12</v>
      </c>
      <c r="H620" s="2" t="str">
        <f ca="1">VLOOKUP(A620,Sheet2!A:F,6,0)</f>
        <v>moelsawy251@gmail.com</v>
      </c>
      <c r="I620" s="2">
        <f ca="1">VLOOKUP(A620,Sheet2!C:G,5,0)</f>
        <v>0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3" t="s">
        <v>662</v>
      </c>
      <c r="B621" s="1">
        <v>860125604984</v>
      </c>
      <c r="C621" s="1" t="s">
        <v>301</v>
      </c>
      <c r="D621" s="1" t="s">
        <v>611</v>
      </c>
      <c r="E621" s="1" t="s">
        <v>35</v>
      </c>
      <c r="F621" s="2">
        <f ca="1">VLOOKUP(A621,Sheet2!C:D,2,0)</f>
        <v>1961</v>
      </c>
      <c r="G621" s="2">
        <f ca="1">VLOOKUP(A621,Sheet2!C:E,3,0)</f>
        <v>0</v>
      </c>
      <c r="H621" s="2" t="str">
        <f ca="1">VLOOKUP(A621,Sheet2!A:F,6,0)</f>
        <v>toka.shokran@gmail.com</v>
      </c>
      <c r="I621" s="2" t="str">
        <f ca="1">VLOOKUP(A621,Sheet2!C:G,5,0)</f>
        <v>01111163114</v>
      </c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3" t="s">
        <v>663</v>
      </c>
      <c r="B622" s="1">
        <v>702160894872</v>
      </c>
      <c r="C622" s="1" t="s">
        <v>301</v>
      </c>
      <c r="D622" s="1" t="s">
        <v>606</v>
      </c>
      <c r="E622" s="1" t="s">
        <v>182</v>
      </c>
      <c r="F622" s="2">
        <f ca="1">VLOOKUP(A622,Sheet2!C:D,2,0)</f>
        <v>2028</v>
      </c>
      <c r="G622" s="2" t="str">
        <f ca="1">VLOOKUP(A622,Sheet2!C:E,3,0)</f>
        <v>انتهت بالفعل إجراءات إنهاء التعاقد</v>
      </c>
      <c r="H622" s="2">
        <f ca="1">VLOOKUP(A622,Sheet2!A:F,6,0)</f>
        <v>0</v>
      </c>
      <c r="I622" s="2">
        <f ca="1">VLOOKUP(A622,Sheet2!C:G,5,0)</f>
        <v>0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3" t="s">
        <v>664</v>
      </c>
      <c r="B623" s="1">
        <v>424149471034</v>
      </c>
      <c r="C623" s="1" t="s">
        <v>301</v>
      </c>
      <c r="D623" s="1" t="s">
        <v>25</v>
      </c>
      <c r="E623" s="1" t="s">
        <v>182</v>
      </c>
      <c r="F623" s="2">
        <f ca="1">VLOOKUP(A623,Sheet2!C:D,2,0)</f>
        <v>1989</v>
      </c>
      <c r="G623" s="2">
        <f ca="1">VLOOKUP(A623,Sheet2!C:E,3,0)</f>
        <v>0</v>
      </c>
      <c r="H623" s="2">
        <f ca="1">VLOOKUP(A623,Sheet2!A:F,6,0)</f>
        <v>0</v>
      </c>
      <c r="I623" s="2">
        <f ca="1">VLOOKUP(A623,Sheet2!C:G,5,0)</f>
        <v>0</v>
      </c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3" t="s">
        <v>665</v>
      </c>
      <c r="B624" s="1">
        <v>895196457504</v>
      </c>
      <c r="C624" s="1" t="s">
        <v>85</v>
      </c>
      <c r="D624" s="1" t="s">
        <v>25</v>
      </c>
      <c r="E624" s="1" t="s">
        <v>182</v>
      </c>
      <c r="F624" s="2">
        <f ca="1">VLOOKUP(A624,Sheet2!C:D,2,0)</f>
        <v>1886</v>
      </c>
      <c r="G624" s="2">
        <f ca="1">VLOOKUP(A624,Sheet2!C:E,3,0)</f>
        <v>0</v>
      </c>
      <c r="H624" s="2">
        <f ca="1">VLOOKUP(A624,Sheet2!A:F,6,0)</f>
        <v>0</v>
      </c>
      <c r="I624" s="2">
        <f ca="1">VLOOKUP(A624,Sheet2!C:G,5,0)</f>
        <v>0</v>
      </c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3" t="s">
        <v>666</v>
      </c>
      <c r="B625" s="1">
        <v>945182868176</v>
      </c>
      <c r="C625" s="1" t="s">
        <v>85</v>
      </c>
      <c r="D625" s="1" t="s">
        <v>47</v>
      </c>
      <c r="E625" s="1" t="s">
        <v>182</v>
      </c>
      <c r="F625" s="2">
        <f ca="1">VLOOKUP(A625,Sheet2!C:D,2,0)</f>
        <v>2074</v>
      </c>
      <c r="G625" s="2">
        <f ca="1">VLOOKUP(A625,Sheet2!C:E,3,0)</f>
        <v>0</v>
      </c>
      <c r="H625" s="2">
        <f ca="1">VLOOKUP(A625,Sheet2!A:F,6,0)</f>
        <v>0</v>
      </c>
      <c r="I625" s="2">
        <f ca="1">VLOOKUP(A625,Sheet2!C:G,5,0)</f>
        <v>0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3" t="s">
        <v>667</v>
      </c>
      <c r="B626" s="2" t="e">
        <f ca="1">VLOOKUP(A626,Sheet2!A:B,2,0)</f>
        <v>#N/A</v>
      </c>
      <c r="C626" s="1" t="s">
        <v>474</v>
      </c>
      <c r="D626" s="3" t="s">
        <v>563</v>
      </c>
      <c r="E626" s="1" t="s">
        <v>668</v>
      </c>
      <c r="F626" s="2" t="e">
        <f ca="1">VLOOKUP(A626,Sheet2!C:D,2,0)</f>
        <v>#N/A</v>
      </c>
      <c r="G626" s="2" t="e">
        <f ca="1">VLOOKUP(A626,Sheet2!C:E,3,0)</f>
        <v>#N/A</v>
      </c>
      <c r="H626" s="2" t="e">
        <f ca="1">VLOOKUP(A626,Sheet2!A:F,6,0)</f>
        <v>#N/A</v>
      </c>
      <c r="I626" s="2" t="e">
        <f ca="1">VLOOKUP(A626,Sheet2!C:G,5,0)</f>
        <v>#N/A</v>
      </c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3" t="s">
        <v>669</v>
      </c>
      <c r="B627" s="1">
        <v>137159402437</v>
      </c>
      <c r="C627" s="1" t="s">
        <v>474</v>
      </c>
      <c r="D627" s="3" t="s">
        <v>563</v>
      </c>
      <c r="E627" s="1" t="s">
        <v>182</v>
      </c>
      <c r="F627" s="2">
        <f ca="1">VLOOKUP(A627,Sheet2!C:D,2,0)</f>
        <v>2336</v>
      </c>
      <c r="G627" s="2" t="str">
        <f ca="1">VLOOKUP(A627,Sheet2!C:E,3,0)</f>
        <v>G11-G12</v>
      </c>
      <c r="H627" s="2" t="str">
        <f ca="1">VLOOKUP(A627,Sheet2!A:F,6,0)</f>
        <v>mohamedr7713253@gmail.com</v>
      </c>
      <c r="I627" s="2" t="str">
        <f ca="1">VLOOKUP(A627,Sheet2!C:G,5,0)</f>
        <v>01007713253</v>
      </c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3" t="s">
        <v>670</v>
      </c>
      <c r="B628" s="1">
        <v>454134237907</v>
      </c>
      <c r="C628" s="1" t="s">
        <v>474</v>
      </c>
      <c r="D628" s="1" t="s">
        <v>611</v>
      </c>
      <c r="E628" s="1" t="s">
        <v>12</v>
      </c>
      <c r="F628" s="2">
        <f ca="1">VLOOKUP(A628,Sheet2!C:D,2,0)</f>
        <v>2341</v>
      </c>
      <c r="G628" s="2">
        <f ca="1">VLOOKUP(A628,Sheet2!C:E,3,0)</f>
        <v>0</v>
      </c>
      <c r="H628" s="2" t="str">
        <f ca="1">VLOOKUP(A628,Sheet2!A:F,6,0)</f>
        <v>mirna_tareksalah97@yahoo.com</v>
      </c>
      <c r="I628" s="2" t="str">
        <f ca="1">VLOOKUP(A628,Sheet2!C:G,5,0)</f>
        <v>01225300158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3" t="s">
        <v>671</v>
      </c>
      <c r="B629" s="1">
        <v>937186279710</v>
      </c>
      <c r="C629" s="1" t="s">
        <v>474</v>
      </c>
      <c r="D629" s="1" t="s">
        <v>611</v>
      </c>
      <c r="E629" s="1" t="s">
        <v>12</v>
      </c>
      <c r="F629" s="2">
        <f ca="1">VLOOKUP(A629,Sheet2!C:D,2,0)</f>
        <v>2338</v>
      </c>
      <c r="G629" s="2">
        <f ca="1">VLOOKUP(A629,Sheet2!C:E,3,0)</f>
        <v>0</v>
      </c>
      <c r="H629" s="2" t="str">
        <f ca="1">VLOOKUP(A629,Sheet2!A:F,6,0)</f>
        <v>remonamoon@gmail.com</v>
      </c>
      <c r="I629" s="2" t="str">
        <f ca="1">VLOOKUP(A629,Sheet2!C:G,5,0)</f>
        <v>01003647713</v>
      </c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3" t="s">
        <v>672</v>
      </c>
      <c r="B630" s="1">
        <v>857181851641</v>
      </c>
      <c r="C630" s="1" t="s">
        <v>474</v>
      </c>
      <c r="D630" s="3" t="s">
        <v>69</v>
      </c>
      <c r="E630" s="1" t="s">
        <v>182</v>
      </c>
      <c r="F630" s="2">
        <f ca="1">VLOOKUP(A630,Sheet2!C:D,2,0)</f>
        <v>2263</v>
      </c>
      <c r="G630" s="2" t="str">
        <f ca="1">VLOOKUP(A630,Sheet2!C:E,3,0)</f>
        <v>EG08-EG09-EG10-EG11-EG12</v>
      </c>
      <c r="H630" s="2" t="str">
        <f ca="1">VLOOKUP(A630,Sheet2!A:F,6,0)</f>
        <v>islam.m.darweesh@gmail.com</v>
      </c>
      <c r="I630" s="2" t="str">
        <f ca="1">VLOOKUP(A630,Sheet2!C:G,5,0)</f>
        <v>01153839716</v>
      </c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3" t="s">
        <v>673</v>
      </c>
      <c r="B631" s="2" t="str">
        <f ca="1">VLOOKUP(A631,Sheet2!A:B,2,0)</f>
        <v>No ID</v>
      </c>
      <c r="C631" s="1" t="s">
        <v>10</v>
      </c>
      <c r="D631" s="1" t="s">
        <v>25</v>
      </c>
      <c r="E631" s="1" t="s">
        <v>182</v>
      </c>
      <c r="F631" s="2">
        <f ca="1">VLOOKUP(A631,Sheet2!C:D,2,0)</f>
        <v>0</v>
      </c>
      <c r="G631" s="2">
        <f ca="1">VLOOKUP(A631,Sheet2!C:E,3,0)</f>
        <v>0</v>
      </c>
      <c r="H631" s="2">
        <f ca="1">VLOOKUP(A631,Sheet2!A:F,6,0)</f>
        <v>0</v>
      </c>
      <c r="I631" s="2">
        <f ca="1">VLOOKUP(A631,Sheet2!C:G,5,0)</f>
        <v>0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3" t="s">
        <v>674</v>
      </c>
      <c r="B632" s="1">
        <v>716141713108</v>
      </c>
      <c r="C632" s="1" t="s">
        <v>301</v>
      </c>
      <c r="D632" s="1" t="s">
        <v>170</v>
      </c>
      <c r="E632" s="1" t="s">
        <v>35</v>
      </c>
      <c r="F632" s="2">
        <f ca="1">VLOOKUP(A632,Sheet2!C:D,2,0)</f>
        <v>2355</v>
      </c>
      <c r="G632" s="2" t="str">
        <f ca="1">VLOOKUP(A632,Sheet2!C:E,3,0)</f>
        <v>EG07-EG08-EG09</v>
      </c>
      <c r="H632" s="2" t="str">
        <f ca="1">VLOOKUP(A632,Sheet2!A:F,6,0)</f>
        <v>nrmeensaeed28191@gmail.com</v>
      </c>
      <c r="I632" s="2" t="str">
        <f ca="1">VLOOKUP(A632,Sheet2!C:G,5,0)</f>
        <v>01065167912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3" t="s">
        <v>675</v>
      </c>
      <c r="B633" s="1">
        <v>905158654524</v>
      </c>
      <c r="C633" s="1" t="s">
        <v>85</v>
      </c>
      <c r="D633" s="3" t="s">
        <v>201</v>
      </c>
      <c r="E633" s="1" t="s">
        <v>668</v>
      </c>
      <c r="F633" s="2">
        <f ca="1">VLOOKUP(A633,Sheet2!C:D,2,0)</f>
        <v>0</v>
      </c>
      <c r="G633" s="2">
        <f ca="1">VLOOKUP(A633,Sheet2!C:E,3,0)</f>
        <v>0</v>
      </c>
      <c r="H633" s="2" t="str">
        <f ca="1">VLOOKUP(A633,Sheet2!A:F,6,0)</f>
        <v>rabdo6492@gmail.com</v>
      </c>
      <c r="I633" s="2">
        <f ca="1">VLOOKUP(A633,Sheet2!C:G,5,0)</f>
        <v>0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3" t="s">
        <v>676</v>
      </c>
      <c r="B634" s="1">
        <v>783123583101</v>
      </c>
      <c r="C634" s="1" t="s">
        <v>474</v>
      </c>
      <c r="D634" s="1" t="s">
        <v>25</v>
      </c>
      <c r="E634" s="1" t="s">
        <v>35</v>
      </c>
      <c r="F634" s="2">
        <f ca="1">VLOOKUP(A634,Sheet2!C:D,2,0)</f>
        <v>2376</v>
      </c>
      <c r="G634" s="2" t="str">
        <f ca="1">VLOOKUP(A634,Sheet2!C:E,3,0)</f>
        <v>EG09-EG10-EG11</v>
      </c>
      <c r="H634" s="2" t="str">
        <f ca="1">VLOOKUP(A634,Sheet2!A:F,6,0)</f>
        <v>nehalzaher@gmail.com</v>
      </c>
      <c r="I634" s="2">
        <f ca="1">VLOOKUP(A634,Sheet2!C:G,5,0)</f>
        <v>91111734555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3" t="s">
        <v>677</v>
      </c>
      <c r="B635" s="1">
        <v>529183826745</v>
      </c>
      <c r="C635" s="1" t="s">
        <v>474</v>
      </c>
      <c r="D635" s="1" t="s">
        <v>611</v>
      </c>
      <c r="E635" s="1" t="s">
        <v>12</v>
      </c>
      <c r="F635" s="2">
        <f ca="1">VLOOKUP(A635,Sheet2!C:D,2,0)</f>
        <v>2379</v>
      </c>
      <c r="G635" s="2">
        <f ca="1">VLOOKUP(A635,Sheet2!C:E,3,0)</f>
        <v>0</v>
      </c>
      <c r="H635" s="2" t="str">
        <f ca="1">VLOOKUP(A635,Sheet2!A:F,6,0)</f>
        <v>rehamsultan718@gmail.com</v>
      </c>
      <c r="I635" s="2" t="str">
        <f ca="1">VLOOKUP(A635,Sheet2!C:G,5,0)</f>
        <v>01099408611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3" t="s">
        <v>678</v>
      </c>
      <c r="B636" s="1">
        <v>794175742320</v>
      </c>
      <c r="C636" s="1" t="s">
        <v>85</v>
      </c>
      <c r="D636" s="3" t="s">
        <v>69</v>
      </c>
      <c r="E636" s="1" t="s">
        <v>182</v>
      </c>
      <c r="F636" s="2">
        <f ca="1">VLOOKUP(A636,Sheet2!C:D,2,0)</f>
        <v>2370</v>
      </c>
      <c r="G636" s="2" t="str">
        <f ca="1">VLOOKUP(A636,Sheet2!C:E,3,0)</f>
        <v>لم يعجبها نظام الدفع والتسجيلات وقالت إنها لا تريد أن تقدم وقتها في "حاجة غير مجدية" واستقالت بالفعل</v>
      </c>
      <c r="H636" s="2">
        <f ca="1">VLOOKUP(A636,Sheet2!A:F,6,0)</f>
        <v>0</v>
      </c>
      <c r="I636" s="2">
        <f ca="1">VLOOKUP(A636,Sheet2!C:G,5,0)</f>
        <v>0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3" t="s">
        <v>679</v>
      </c>
      <c r="B637" s="1">
        <v>587173545189</v>
      </c>
      <c r="C637" s="1" t="s">
        <v>474</v>
      </c>
      <c r="D637" s="3" t="s">
        <v>69</v>
      </c>
      <c r="E637" s="1" t="s">
        <v>35</v>
      </c>
      <c r="F637" s="2">
        <f ca="1">VLOOKUP(A637,Sheet2!C:D,2,0)</f>
        <v>2371</v>
      </c>
      <c r="G637" s="2" t="str">
        <f ca="1">VLOOKUP(A637,Sheet2!C:E,3,0)</f>
        <v>EG08-EG09-EG10-EG11-EG12</v>
      </c>
      <c r="H637" s="2" t="str">
        <f ca="1">VLOOKUP(A637,Sheet2!A:F,6,0)</f>
        <v>saleh8015@gmail.com</v>
      </c>
      <c r="I637" s="2" t="str">
        <f ca="1">VLOOKUP(A637,Sheet2!C:G,5,0)</f>
        <v>01122606455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3" t="s">
        <v>680</v>
      </c>
      <c r="B638" s="1">
        <v>140157603065</v>
      </c>
      <c r="C638" s="1" t="s">
        <v>85</v>
      </c>
      <c r="D638" s="1" t="s">
        <v>47</v>
      </c>
      <c r="E638" s="1" t="s">
        <v>182</v>
      </c>
      <c r="F638" s="2">
        <f ca="1">VLOOKUP(A638,Sheet2!C:D,2,0)</f>
        <v>2380</v>
      </c>
      <c r="G638" s="2" t="str">
        <f ca="1">VLOOKUP(A638,Sheet2!C:E,3,0)</f>
        <v>EG04</v>
      </c>
      <c r="H638" s="2">
        <f ca="1">VLOOKUP(A638,Sheet2!A:F,6,0)</f>
        <v>0</v>
      </c>
      <c r="I638" s="2">
        <f ca="1">VLOOKUP(A638,Sheet2!C:G,5,0)</f>
        <v>0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3" t="s">
        <v>681</v>
      </c>
      <c r="B639" s="1">
        <v>839185648325</v>
      </c>
      <c r="C639" s="1" t="s">
        <v>85</v>
      </c>
      <c r="D639" s="3" t="s">
        <v>201</v>
      </c>
      <c r="E639" s="1" t="s">
        <v>35</v>
      </c>
      <c r="F639" s="2">
        <f ca="1">VLOOKUP(A639,Sheet2!C:D,2,0)</f>
        <v>2399</v>
      </c>
      <c r="G639" s="2" t="str">
        <f ca="1">VLOOKUP(A639,Sheet2!C:E,3,0)</f>
        <v>EG04-EG05-EG06-G7</v>
      </c>
      <c r="H639" s="2" t="str">
        <f ca="1">VLOOKUP(A639,Sheet2!A:F,6,0)</f>
        <v>maighalia54@gmail.com</v>
      </c>
      <c r="I639" s="2" t="str">
        <f ca="1">VLOOKUP(A639,Sheet2!C:G,5,0)</f>
        <v>01122888386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3" t="s">
        <v>682</v>
      </c>
      <c r="B640" s="1">
        <v>975141754312</v>
      </c>
      <c r="C640" s="1" t="s">
        <v>474</v>
      </c>
      <c r="D640" s="1" t="s">
        <v>475</v>
      </c>
      <c r="E640" s="1" t="s">
        <v>668</v>
      </c>
      <c r="F640" s="2">
        <f ca="1">VLOOKUP(A640,Sheet2!C:D,2,0)</f>
        <v>1999</v>
      </c>
      <c r="G640" s="2">
        <f ca="1">VLOOKUP(A640,Sheet2!C:E,3,0)</f>
        <v>0</v>
      </c>
      <c r="H640" s="2">
        <f ca="1">VLOOKUP(A640,Sheet2!A:F,6,0)</f>
        <v>0</v>
      </c>
      <c r="I640" s="2">
        <f ca="1">VLOOKUP(A640,Sheet2!C:G,5,0)</f>
        <v>0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3" t="s">
        <v>683</v>
      </c>
      <c r="B641" s="1">
        <v>846101762818</v>
      </c>
      <c r="C641" s="1" t="s">
        <v>474</v>
      </c>
      <c r="D641" s="1" t="s">
        <v>486</v>
      </c>
      <c r="E641" s="1" t="s">
        <v>182</v>
      </c>
      <c r="F641" s="2">
        <f ca="1">VLOOKUP(A641,Sheet2!C:D,2,0)</f>
        <v>1781</v>
      </c>
      <c r="G641" s="2">
        <f ca="1">VLOOKUP(A641,Sheet2!C:E,3,0)</f>
        <v>0</v>
      </c>
      <c r="H641" s="2">
        <f ca="1">VLOOKUP(A641,Sheet2!A:F,6,0)</f>
        <v>0</v>
      </c>
      <c r="I641" s="2">
        <f ca="1">VLOOKUP(A641,Sheet2!C:G,5,0)</f>
        <v>0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3" t="s">
        <v>684</v>
      </c>
      <c r="B642" s="2" t="str">
        <f ca="1">VLOOKUP(A642,Sheet2!A:B,2,0)</f>
        <v>No ID</v>
      </c>
      <c r="C642" s="1" t="s">
        <v>474</v>
      </c>
      <c r="D642" s="3" t="s">
        <v>685</v>
      </c>
      <c r="E642" s="1" t="s">
        <v>668</v>
      </c>
      <c r="F642" s="2">
        <f ca="1">VLOOKUP(A642,Sheet2!C:D,2,0)</f>
        <v>0</v>
      </c>
      <c r="G642" s="2">
        <f ca="1">VLOOKUP(A642,Sheet2!C:E,3,0)</f>
        <v>0</v>
      </c>
      <c r="H642" s="2">
        <f ca="1">VLOOKUP(A642,Sheet2!A:F,6,0)</f>
        <v>0</v>
      </c>
      <c r="I642" s="2">
        <f ca="1">VLOOKUP(A642,Sheet2!C:G,5,0)</f>
        <v>0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3" t="s">
        <v>686</v>
      </c>
      <c r="B643" s="2" t="str">
        <f ca="1">VLOOKUP(A643,Sheet2!A:B,2,0)</f>
        <v>No ID</v>
      </c>
      <c r="C643" s="2"/>
      <c r="D643" s="1" t="s">
        <v>47</v>
      </c>
      <c r="E643" s="1" t="s">
        <v>687</v>
      </c>
      <c r="F643" s="2">
        <f ca="1">VLOOKUP(A643,Sheet2!C:D,2,0)</f>
        <v>0</v>
      </c>
      <c r="G643" s="2">
        <f ca="1">VLOOKUP(A643,Sheet2!C:E,3,0)</f>
        <v>0</v>
      </c>
      <c r="H643" s="2">
        <f ca="1">VLOOKUP(A643,Sheet2!A:F,6,0)</f>
        <v>0</v>
      </c>
      <c r="I643" s="2">
        <f ca="1">VLOOKUP(A643,Sheet2!C:G,5,0)</f>
        <v>0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3" t="s">
        <v>688</v>
      </c>
      <c r="B644" s="1">
        <v>876163930275</v>
      </c>
      <c r="C644" s="1" t="s">
        <v>301</v>
      </c>
      <c r="D644" s="1" t="s">
        <v>47</v>
      </c>
      <c r="E644" s="1" t="s">
        <v>35</v>
      </c>
      <c r="F644" s="2">
        <f ca="1">VLOOKUP(A644,Sheet2!C:D,2,0)</f>
        <v>1374</v>
      </c>
      <c r="G644" s="2">
        <f ca="1">VLOOKUP(A644,Sheet2!C:E,3,0)</f>
        <v>0</v>
      </c>
      <c r="H644" s="2" t="str">
        <f ca="1">VLOOKUP(A644,Sheet2!A:F,6,0)</f>
        <v>mohamed.ahmed.kamal@nagwa.com</v>
      </c>
      <c r="I644" s="2" t="str">
        <f ca="1">VLOOKUP(A644,Sheet2!C:G,5,0)</f>
        <v>01001120294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3" t="s">
        <v>689</v>
      </c>
      <c r="B645" s="1">
        <v>962104368108</v>
      </c>
      <c r="C645" s="1" t="s">
        <v>85</v>
      </c>
      <c r="D645" s="1" t="s">
        <v>47</v>
      </c>
      <c r="E645" s="1" t="s">
        <v>35</v>
      </c>
      <c r="F645" s="2">
        <f ca="1">VLOOKUP(A645,Sheet2!C:D,2,0)</f>
        <v>1928</v>
      </c>
      <c r="G645" s="2" t="str">
        <f ca="1">VLOOKUP(A645,Sheet2!C:E,3,0)</f>
        <v>EG04-EG05-EG06-EG07-EG08-EG09</v>
      </c>
      <c r="H645" s="2">
        <f ca="1">VLOOKUP(A645,Sheet2!A:F,6,0)</f>
        <v>0</v>
      </c>
      <c r="I645" s="2">
        <f ca="1">VLOOKUP(A645,Sheet2!C:G,5,0)</f>
        <v>0</v>
      </c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3" t="s">
        <v>690</v>
      </c>
      <c r="B646" s="2" t="str">
        <f ca="1">VLOOKUP(A646,Sheet2!A:B,2,0)</f>
        <v>No ID</v>
      </c>
      <c r="C646" s="1" t="s">
        <v>301</v>
      </c>
      <c r="D646" s="3" t="s">
        <v>69</v>
      </c>
      <c r="E646" s="1" t="s">
        <v>35</v>
      </c>
      <c r="F646" s="2">
        <f ca="1">VLOOKUP(A646,Sheet2!C:D,2,0)</f>
        <v>0</v>
      </c>
      <c r="G646" s="2" t="str">
        <f ca="1">VLOOKUP(A646,Sheet2!C:E,3,0)</f>
        <v>EG07-EG08-EG09-EG10</v>
      </c>
      <c r="H646" s="2">
        <f ca="1">VLOOKUP(A646,Sheet2!A:F,6,0)</f>
        <v>0</v>
      </c>
      <c r="I646" s="2">
        <f ca="1">VLOOKUP(A646,Sheet2!C:G,5,0)</f>
        <v>0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3" t="s">
        <v>691</v>
      </c>
      <c r="B647" s="2" t="str">
        <f ca="1">VLOOKUP(A647,Sheet2!A:B,2,0)</f>
        <v>No ID</v>
      </c>
      <c r="C647" s="1" t="s">
        <v>301</v>
      </c>
      <c r="D647" s="1" t="s">
        <v>170</v>
      </c>
      <c r="E647" s="1" t="s">
        <v>182</v>
      </c>
      <c r="F647" s="2">
        <f ca="1">VLOOKUP(A647,Sheet2!C:D,2,0)</f>
        <v>0</v>
      </c>
      <c r="G647" s="2" t="str">
        <f ca="1">VLOOKUP(A647,Sheet2!C:E,3,0)</f>
        <v>EG07-EG08-EG09</v>
      </c>
      <c r="H647" s="2">
        <f ca="1">VLOOKUP(A647,Sheet2!A:F,6,0)</f>
        <v>0</v>
      </c>
      <c r="I647" s="2">
        <f ca="1">VLOOKUP(A647,Sheet2!C:G,5,0)</f>
        <v>0</v>
      </c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3" t="s">
        <v>692</v>
      </c>
      <c r="B648" s="1">
        <v>194168206386</v>
      </c>
      <c r="C648" s="1" t="s">
        <v>474</v>
      </c>
      <c r="D648" s="3" t="s">
        <v>69</v>
      </c>
      <c r="E648" s="1" t="s">
        <v>35</v>
      </c>
      <c r="F648" s="2">
        <f ca="1">VLOOKUP(A648,Sheet2!C:D,2,0)</f>
        <v>2412</v>
      </c>
      <c r="G648" s="2" t="str">
        <f ca="1">VLOOKUP(A648,Sheet2!C:E,3,0)</f>
        <v>EG10-EG11-EG12</v>
      </c>
      <c r="H648" s="2" t="str">
        <f ca="1">VLOOKUP(A648,Sheet2!A:F,6,0)</f>
        <v>shemsad94@gmail.com</v>
      </c>
      <c r="I648" s="2" t="str">
        <f ca="1">VLOOKUP(A648,Sheet2!C:G,5,0)</f>
        <v>01000478016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3" t="s">
        <v>693</v>
      </c>
      <c r="B649" s="1">
        <v>904157297454</v>
      </c>
      <c r="C649" s="1" t="s">
        <v>10</v>
      </c>
      <c r="D649" s="1" t="s">
        <v>25</v>
      </c>
      <c r="E649" s="1" t="s">
        <v>182</v>
      </c>
      <c r="F649" s="2">
        <f ca="1">VLOOKUP(A649,Sheet2!C:D,2,0)</f>
        <v>2425</v>
      </c>
      <c r="G649" s="2" t="str">
        <f ca="1">VLOOKUP(A649,Sheet2!C:E,3,0)</f>
        <v>EG01-EG02-EG03</v>
      </c>
      <c r="H649" s="2" t="str">
        <f ca="1">VLOOKUP(A649,Sheet2!A:F,6,0)</f>
        <v>shaimaa.shawshaw@gmail.com</v>
      </c>
      <c r="I649" s="2" t="str">
        <f ca="1">VLOOKUP(A649,Sheet2!C:G,5,0)</f>
        <v>01061516190</v>
      </c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3" t="s">
        <v>694</v>
      </c>
      <c r="B650" s="1">
        <v>139146351896</v>
      </c>
      <c r="C650" s="1" t="s">
        <v>85</v>
      </c>
      <c r="D650" s="3" t="s">
        <v>201</v>
      </c>
      <c r="E650" s="1" t="s">
        <v>35</v>
      </c>
      <c r="F650" s="2">
        <f ca="1">VLOOKUP(A650,Sheet2!C:D,2,0)</f>
        <v>2435</v>
      </c>
      <c r="G650" s="2" t="str">
        <f ca="1">VLOOKUP(A650,Sheet2!C:E,3,0)</f>
        <v>EG4-EG05-EG06</v>
      </c>
      <c r="H650" s="2" t="str">
        <f ca="1">VLOOKUP(A650,Sheet2!A:F,6,0)</f>
        <v>manarnabil88@gmail.com</v>
      </c>
      <c r="I650" s="2">
        <f ca="1">VLOOKUP(A650,Sheet2!C:G,5,0)</f>
        <v>0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3" t="s">
        <v>695</v>
      </c>
      <c r="B651" s="1">
        <v>969151976052</v>
      </c>
      <c r="C651" s="1" t="s">
        <v>85</v>
      </c>
      <c r="D651" s="1" t="s">
        <v>47</v>
      </c>
      <c r="E651" s="1" t="s">
        <v>182</v>
      </c>
      <c r="F651" s="2">
        <f ca="1">VLOOKUP(A651,Sheet2!C:D,2,0)</f>
        <v>2468</v>
      </c>
      <c r="G651" s="2" t="str">
        <f ca="1">VLOOKUP(A651,Sheet2!C:E,3,0)</f>
        <v>EG04-EG05-EG06</v>
      </c>
      <c r="H651" s="2" t="str">
        <f ca="1">VLOOKUP(A651,Sheet2!A:F,6,0)</f>
        <v>rihameltawil91@gmail.com</v>
      </c>
      <c r="I651" s="2">
        <f ca="1">VLOOKUP(A651,Sheet2!C:G,5,0)</f>
        <v>0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3" t="s">
        <v>696</v>
      </c>
      <c r="B652" s="1">
        <v>458171934281</v>
      </c>
      <c r="C652" s="1" t="s">
        <v>85</v>
      </c>
      <c r="D652" s="1" t="s">
        <v>25</v>
      </c>
      <c r="E652" s="1" t="s">
        <v>182</v>
      </c>
      <c r="F652" s="2">
        <f ca="1">VLOOKUP(A652,Sheet2!C:D,2,0)</f>
        <v>2472</v>
      </c>
      <c r="G652" s="2" t="str">
        <f ca="1">VLOOKUP(A652,Sheet2!C:E,3,0)</f>
        <v>EG04-EG05-EG06-EG07-EG08-EG09</v>
      </c>
      <c r="H652" s="2">
        <f ca="1">VLOOKUP(A652,Sheet2!A:F,6,0)</f>
        <v>0</v>
      </c>
      <c r="I652" s="2">
        <f ca="1">VLOOKUP(A652,Sheet2!C:G,5,0)</f>
        <v>0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3" t="s">
        <v>697</v>
      </c>
      <c r="B653" s="1">
        <v>925193924973</v>
      </c>
      <c r="C653" s="1" t="s">
        <v>10</v>
      </c>
      <c r="D653" s="1" t="s">
        <v>25</v>
      </c>
      <c r="E653" s="1" t="s">
        <v>35</v>
      </c>
      <c r="F653" s="2">
        <f ca="1">VLOOKUP(A653,Sheet2!C:D,2,0)</f>
        <v>2487</v>
      </c>
      <c r="G653" s="2" t="str">
        <f ca="1">VLOOKUP(A653,Sheet2!C:E,3,0)</f>
        <v>EG01-EG02-EG03</v>
      </c>
      <c r="H653" s="2" t="str">
        <f ca="1">VLOOKUP(A653,Sheet2!A:F,6,0)</f>
        <v>amira.galal60@yahoo.com</v>
      </c>
      <c r="I653" s="2" t="str">
        <f ca="1">VLOOKUP(A653,Sheet2!C:G,5,0)</f>
        <v>01013983718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3" t="s">
        <v>698</v>
      </c>
      <c r="B654" s="1">
        <v>675158027827</v>
      </c>
      <c r="C654" s="1" t="s">
        <v>301</v>
      </c>
      <c r="D654" s="3" t="s">
        <v>201</v>
      </c>
      <c r="E654" s="1" t="s">
        <v>35</v>
      </c>
      <c r="F654" s="2">
        <f ca="1">VLOOKUP(A654,Sheet2!C:D,2,0)</f>
        <v>2492</v>
      </c>
      <c r="G654" s="2" t="str">
        <f ca="1">VLOOKUP(A654,Sheet2!C:E,3,0)</f>
        <v>EG07-EG08-EG09</v>
      </c>
      <c r="H654" s="2" t="str">
        <f ca="1">VLOOKUP(A654,Sheet2!A:F,6,0)</f>
        <v>zidanhanan106@gmail.com</v>
      </c>
      <c r="I654" s="2" t="str">
        <f ca="1">VLOOKUP(A654,Sheet2!C:G,5,0)</f>
        <v>01000832547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3" t="s">
        <v>699</v>
      </c>
      <c r="B655" s="1">
        <v>803173848636</v>
      </c>
      <c r="C655" s="1" t="s">
        <v>85</v>
      </c>
      <c r="D655" s="1" t="s">
        <v>125</v>
      </c>
      <c r="E655" s="1" t="s">
        <v>182</v>
      </c>
      <c r="F655" s="2">
        <f ca="1">VLOOKUP(A655,Sheet2!C:D,2,0)</f>
        <v>2498</v>
      </c>
      <c r="G655" s="2" t="str">
        <f ca="1">VLOOKUP(A655,Sheet2!C:E,3,0)</f>
        <v>EG04-EG05-EG06</v>
      </c>
      <c r="H655" s="2" t="str">
        <f ca="1">VLOOKUP(A655,Sheet2!A:F,6,0)</f>
        <v>ranaelbadry753@gmail.com</v>
      </c>
      <c r="I655" s="2" t="str">
        <f ca="1">VLOOKUP(A655,Sheet2!C:G,5,0)</f>
        <v>01090632568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3" t="s">
        <v>700</v>
      </c>
      <c r="B656" s="1">
        <v>827159763903</v>
      </c>
      <c r="C656" s="1" t="s">
        <v>85</v>
      </c>
      <c r="D656" s="3" t="s">
        <v>248</v>
      </c>
      <c r="E656" s="1" t="s">
        <v>182</v>
      </c>
      <c r="F656" s="2">
        <f ca="1">VLOOKUP(A656,Sheet2!C:D,2,0)</f>
        <v>2488</v>
      </c>
      <c r="G656" s="2" t="str">
        <f ca="1">VLOOKUP(A656,Sheet2!C:E,3,0)</f>
        <v>EG04-EG05-EG06-EG07</v>
      </c>
      <c r="H656" s="2" t="str">
        <f ca="1">VLOOKUP(A656,Sheet2!A:F,6,0)</f>
        <v>abdo11ashraf99@gmail.com</v>
      </c>
      <c r="I656" s="2" t="str">
        <f ca="1">VLOOKUP(A656,Sheet2!C:G,5,0)</f>
        <v>01025827201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3" t="s">
        <v>701</v>
      </c>
      <c r="B657" s="2" t="str">
        <f ca="1">VLOOKUP(A657,Sheet2!A:B,2,0)</f>
        <v>No ID</v>
      </c>
      <c r="C657" s="1" t="s">
        <v>10</v>
      </c>
      <c r="D657" s="3" t="s">
        <v>63</v>
      </c>
      <c r="E657" s="1" t="s">
        <v>182</v>
      </c>
      <c r="F657" s="2">
        <f ca="1">VLOOKUP(A657,Sheet2!C:D,2,0)</f>
        <v>0</v>
      </c>
      <c r="G657" s="2" t="str">
        <f ca="1">VLOOKUP(A657,Sheet2!C:E,3,0)</f>
        <v>EG01-EG02-EG03-EG04</v>
      </c>
      <c r="H657" s="2">
        <f ca="1">VLOOKUP(A657,Sheet2!A:F,6,0)</f>
        <v>0</v>
      </c>
      <c r="I657" s="2">
        <f ca="1">VLOOKUP(A657,Sheet2!C:G,5,0)</f>
        <v>0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3" t="s">
        <v>702</v>
      </c>
      <c r="B658" s="1">
        <v>795161084548</v>
      </c>
      <c r="C658" s="1" t="s">
        <v>474</v>
      </c>
      <c r="D658" s="1" t="s">
        <v>604</v>
      </c>
      <c r="E658" s="1" t="s">
        <v>12</v>
      </c>
      <c r="F658" s="2">
        <f ca="1">VLOOKUP(A658,Sheet2!C:D,2,0)</f>
        <v>2532</v>
      </c>
      <c r="G658" s="2">
        <f ca="1">VLOOKUP(A658,Sheet2!C:E,3,0)</f>
        <v>0</v>
      </c>
      <c r="H658" s="2" t="str">
        <f ca="1">VLOOKUP(A658,Sheet2!A:F,6,0)</f>
        <v>yasmiensaied90@gmail.com</v>
      </c>
      <c r="I658" s="2">
        <f ca="1">VLOOKUP(A658,Sheet2!C:G,5,0)</f>
        <v>0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3" t="s">
        <v>703</v>
      </c>
      <c r="B659" s="2" t="str">
        <f ca="1">VLOOKUP(A659,Sheet2!A:B,2,0)</f>
        <v>No ID</v>
      </c>
      <c r="C659" s="1" t="s">
        <v>474</v>
      </c>
      <c r="D659" s="1" t="s">
        <v>25</v>
      </c>
      <c r="E659" s="1" t="s">
        <v>182</v>
      </c>
      <c r="F659" s="2">
        <f ca="1">VLOOKUP(A659,Sheet2!C:D,2,0)</f>
        <v>0</v>
      </c>
      <c r="G659" s="2" t="str">
        <f ca="1">VLOOKUP(A659,Sheet2!C:E,3,0)</f>
        <v>EG09-EG10-EG11</v>
      </c>
      <c r="H659" s="2">
        <f ca="1">VLOOKUP(A659,Sheet2!A:F,6,0)</f>
        <v>0</v>
      </c>
      <c r="I659" s="2">
        <f ca="1">VLOOKUP(A659,Sheet2!C:G,5,0)</f>
        <v>0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3" t="s">
        <v>704</v>
      </c>
      <c r="B660" s="2" t="str">
        <f ca="1">VLOOKUP(A660,Sheet2!A:B,2,0)</f>
        <v>No ID</v>
      </c>
      <c r="C660" s="1" t="s">
        <v>10</v>
      </c>
      <c r="D660" s="3" t="s">
        <v>63</v>
      </c>
      <c r="E660" s="1" t="s">
        <v>12</v>
      </c>
      <c r="F660" s="2">
        <f ca="1">VLOOKUP(A660,Sheet2!C:D,2,0)</f>
        <v>0</v>
      </c>
      <c r="G660" s="2" t="str">
        <f ca="1">VLOOKUP(A660,Sheet2!C:E,3,0)</f>
        <v>EG01-EG02-EG03-EG04-EG05-EG06</v>
      </c>
      <c r="H660" s="2">
        <f ca="1">VLOOKUP(A660,Sheet2!A:F,6,0)</f>
        <v>0</v>
      </c>
      <c r="I660" s="2">
        <f ca="1">VLOOKUP(A660,Sheet2!C:G,5,0)</f>
        <v>0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3" t="s">
        <v>705</v>
      </c>
      <c r="B661" s="1">
        <v>638195271502</v>
      </c>
      <c r="C661" s="1" t="s">
        <v>301</v>
      </c>
      <c r="D661" s="3" t="s">
        <v>201</v>
      </c>
      <c r="E661" s="1" t="s">
        <v>12</v>
      </c>
      <c r="F661" s="2">
        <f ca="1">VLOOKUP(A661,Sheet2!C:D,2,0)</f>
        <v>2559</v>
      </c>
      <c r="G661" s="2" t="str">
        <f ca="1">VLOOKUP(A661,Sheet2!C:E,3,0)</f>
        <v>EG07-EG08-EG09</v>
      </c>
      <c r="H661" s="2" t="str">
        <f ca="1">VLOOKUP(A661,Sheet2!A:F,6,0)</f>
        <v>hany.hawas175@gmail.com</v>
      </c>
      <c r="I661" s="2">
        <f ca="1">VLOOKUP(A661,Sheet2!C:G,5,0)</f>
        <v>0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3" t="s">
        <v>706</v>
      </c>
      <c r="B662" s="2" t="str">
        <f ca="1">VLOOKUP(A662,Sheet2!A:B,2,0)</f>
        <v>No ID</v>
      </c>
      <c r="C662" s="1" t="s">
        <v>301</v>
      </c>
      <c r="D662" s="1" t="s">
        <v>25</v>
      </c>
      <c r="E662" s="1" t="s">
        <v>12</v>
      </c>
      <c r="F662" s="2">
        <f ca="1">VLOOKUP(A662,Sheet2!C:D,2,0)</f>
        <v>0</v>
      </c>
      <c r="G662" s="2" t="str">
        <f ca="1">VLOOKUP(A662,Sheet2!C:E,3,0)</f>
        <v>EG07-EG08-EG09-EG10-EG11-EG12</v>
      </c>
      <c r="H662" s="2">
        <f ca="1">VLOOKUP(A662,Sheet2!A:F,6,0)</f>
        <v>0</v>
      </c>
      <c r="I662" s="2">
        <f ca="1">VLOOKUP(A662,Sheet2!C:G,5,0)</f>
        <v>0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3" t="s">
        <v>707</v>
      </c>
      <c r="B663" s="1">
        <v>367106989606</v>
      </c>
      <c r="C663" s="1" t="s">
        <v>301</v>
      </c>
      <c r="D663" s="1" t="s">
        <v>25</v>
      </c>
      <c r="E663" s="1" t="s">
        <v>182</v>
      </c>
      <c r="F663" s="2">
        <f ca="1">VLOOKUP(A663,Sheet2!C:D,2,0)</f>
        <v>2585</v>
      </c>
      <c r="G663" s="2" t="str">
        <f ca="1">VLOOKUP(A663,Sheet2!C:E,3,0)</f>
        <v>EG07-EG08-EG09-EG10-EG11-EG12</v>
      </c>
      <c r="H663" s="2" t="str">
        <f ca="1">VLOOKUP(A663,Sheet2!A:F,6,0)</f>
        <v>jasminaahmed60@gmail.com</v>
      </c>
      <c r="I663" s="2">
        <f ca="1">VLOOKUP(A663,Sheet2!C:G,5,0)</f>
        <v>0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3" t="s">
        <v>708</v>
      </c>
      <c r="B664" s="1">
        <v>746149714625</v>
      </c>
      <c r="C664" s="1" t="s">
        <v>85</v>
      </c>
      <c r="D664" s="1" t="s">
        <v>25</v>
      </c>
      <c r="E664" s="1" t="s">
        <v>182</v>
      </c>
      <c r="F664" s="2">
        <f ca="1">VLOOKUP(A664,Sheet2!C:D,2,0)</f>
        <v>2591</v>
      </c>
      <c r="G664" s="2" t="str">
        <f ca="1">VLOOKUP(A664,Sheet2!C:E,3,0)</f>
        <v>EG04-EG05-EG06</v>
      </c>
      <c r="H664" s="2" t="str">
        <f ca="1">VLOOKUP(A664,Sheet2!A:F,6,0)</f>
        <v>nsanad90@gmail.com</v>
      </c>
      <c r="I664" s="2">
        <f ca="1">VLOOKUP(A664,Sheet2!C:G,5,0)</f>
        <v>0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3" t="s">
        <v>709</v>
      </c>
      <c r="B665" s="1">
        <v>235192420945</v>
      </c>
      <c r="C665" s="1" t="s">
        <v>301</v>
      </c>
      <c r="D665" s="1" t="s">
        <v>25</v>
      </c>
      <c r="E665" s="1" t="s">
        <v>35</v>
      </c>
      <c r="F665" s="2">
        <f ca="1">VLOOKUP(A665,Sheet2!C:D,2,0)</f>
        <v>2606</v>
      </c>
      <c r="G665" s="2" t="str">
        <f ca="1">VLOOKUP(A665,Sheet2!C:E,3,0)</f>
        <v>EG07-EG08-EG09-EG10-EG11-EG12</v>
      </c>
      <c r="H665" s="2" t="str">
        <f ca="1">VLOOKUP(A665,Sheet2!A:F,6,0)</f>
        <v>hakem2006@gmail.com</v>
      </c>
      <c r="I665" s="2">
        <f ca="1">VLOOKUP(A665,Sheet2!C:G,5,0)</f>
        <v>0</v>
      </c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3" t="s">
        <v>710</v>
      </c>
      <c r="B666" s="1">
        <v>175142750434</v>
      </c>
      <c r="C666" s="1" t="s">
        <v>10</v>
      </c>
      <c r="D666" s="3" t="s">
        <v>69</v>
      </c>
      <c r="E666" s="1" t="s">
        <v>182</v>
      </c>
      <c r="F666" s="2">
        <f ca="1">VLOOKUP(A666,Sheet2!C:D,2,0)</f>
        <v>2600</v>
      </c>
      <c r="G666" s="2" t="str">
        <f ca="1">VLOOKUP(A666,Sheet2!C:E,3,0)</f>
        <v>EG01-EG02-EG03</v>
      </c>
      <c r="H666" s="2" t="str">
        <f ca="1">VLOOKUP(A666,Sheet2!A:F,6,0)</f>
        <v>dodo.lougy2014@gmail.com</v>
      </c>
      <c r="I666" s="2">
        <f ca="1">VLOOKUP(A666,Sheet2!C:G,5,0)</f>
        <v>0</v>
      </c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3" t="s">
        <v>711</v>
      </c>
      <c r="B667" s="1">
        <v>156165436060</v>
      </c>
      <c r="C667" s="1" t="s">
        <v>301</v>
      </c>
      <c r="D667" s="3" t="s">
        <v>69</v>
      </c>
      <c r="E667" s="1" t="s">
        <v>182</v>
      </c>
      <c r="F667" s="2">
        <f ca="1">VLOOKUP(A667,Sheet2!C:D,2,0)</f>
        <v>2599</v>
      </c>
      <c r="G667" s="2" t="str">
        <f ca="1">VLOOKUP(A667,Sheet2!C:E,3,0)</f>
        <v>EG06-EG07-EG08-EG09</v>
      </c>
      <c r="H667" s="2" t="str">
        <f ca="1">VLOOKUP(A667,Sheet2!A:F,6,0)</f>
        <v>okhalim2022@gmail.com</v>
      </c>
      <c r="I667" s="2" t="str">
        <f ca="1">VLOOKUP(A667,Sheet2!C:G,5,0)</f>
        <v>01024105035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3" t="s">
        <v>712</v>
      </c>
      <c r="B668" s="1">
        <v>696138691285</v>
      </c>
      <c r="C668" s="1" t="s">
        <v>85</v>
      </c>
      <c r="D668" s="1" t="s">
        <v>47</v>
      </c>
      <c r="E668" s="1" t="s">
        <v>35</v>
      </c>
      <c r="F668" s="2">
        <f ca="1">VLOOKUP(A668,Sheet2!C:D,2,0)</f>
        <v>2258</v>
      </c>
      <c r="G668" s="2" t="str">
        <f ca="1">VLOOKUP(A668,Sheet2!C:E,3,0)</f>
        <v>EG04-EG05-EG06</v>
      </c>
      <c r="H668" s="2" t="str">
        <f ca="1">VLOOKUP(A668,Sheet2!A:F,6,0)</f>
        <v>egymath2020@gmail.com</v>
      </c>
      <c r="I668" s="2" t="str">
        <f ca="1">VLOOKUP(A668,Sheet2!C:G,5,0)</f>
        <v>01550007664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3" t="s">
        <v>713</v>
      </c>
      <c r="B669" s="1">
        <v>596160630240</v>
      </c>
      <c r="C669" s="1" t="s">
        <v>85</v>
      </c>
      <c r="D669" s="1" t="s">
        <v>47</v>
      </c>
      <c r="E669" s="1" t="s">
        <v>12</v>
      </c>
      <c r="F669" s="2">
        <f ca="1">VLOOKUP(A669,Sheet2!C:D,2,0)</f>
        <v>2622</v>
      </c>
      <c r="G669" s="2" t="str">
        <f ca="1">VLOOKUP(A669,Sheet2!C:E,3,0)</f>
        <v>EG04-EG05-EG06</v>
      </c>
      <c r="H669" s="2" t="str">
        <f ca="1">VLOOKUP(A669,Sheet2!A:F,6,0)</f>
        <v>dalianabil145@gmail.com</v>
      </c>
      <c r="I669" s="2">
        <f ca="1">VLOOKUP(A669,Sheet2!C:G,5,0)</f>
        <v>0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3" t="s">
        <v>714</v>
      </c>
      <c r="B670" s="2" t="str">
        <f ca="1">VLOOKUP(A670,Sheet2!A:B,2,0)</f>
        <v>No ID</v>
      </c>
      <c r="C670" s="1" t="s">
        <v>85</v>
      </c>
      <c r="D670" s="3" t="s">
        <v>69</v>
      </c>
      <c r="E670" s="1" t="s">
        <v>35</v>
      </c>
      <c r="F670" s="2">
        <f ca="1">VLOOKUP(A670,Sheet2!C:D,2,0)</f>
        <v>0</v>
      </c>
      <c r="G670" s="2" t="str">
        <f ca="1">VLOOKUP(A670,Sheet2!C:E,3,0)</f>
        <v>EG04-EG05-EG06</v>
      </c>
      <c r="H670" s="2">
        <f ca="1">VLOOKUP(A670,Sheet2!A:F,6,0)</f>
        <v>0</v>
      </c>
      <c r="I670" s="2">
        <f ca="1">VLOOKUP(A670,Sheet2!C:G,5,0)</f>
        <v>0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3" t="s">
        <v>715</v>
      </c>
      <c r="B671" s="1">
        <v>828156185164</v>
      </c>
      <c r="C671" s="1" t="s">
        <v>85</v>
      </c>
      <c r="D671" s="1" t="s">
        <v>25</v>
      </c>
      <c r="E671" s="1" t="s">
        <v>35</v>
      </c>
      <c r="F671" s="2">
        <f ca="1">VLOOKUP(A671,Sheet2!C:D,2,0)</f>
        <v>2646</v>
      </c>
      <c r="G671" s="2" t="str">
        <f ca="1">VLOOKUP(A671,Sheet2!C:E,3,0)</f>
        <v>EG04-EG05-EG06</v>
      </c>
      <c r="H671" s="2" t="str">
        <f ca="1">VLOOKUP(A671,Sheet2!A:F,6,0)</f>
        <v>poissons29.2@gmail.com</v>
      </c>
      <c r="I671" s="2">
        <f ca="1">VLOOKUP(A671,Sheet2!C:G,5,0)</f>
        <v>0</v>
      </c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3" t="s">
        <v>716</v>
      </c>
      <c r="B672" s="1">
        <v>305106396548</v>
      </c>
      <c r="C672" s="1" t="s">
        <v>301</v>
      </c>
      <c r="D672" s="1" t="s">
        <v>25</v>
      </c>
      <c r="E672" s="1" t="s">
        <v>35</v>
      </c>
      <c r="F672" s="2">
        <f ca="1">VLOOKUP(A672,Sheet2!C:D,2,0)</f>
        <v>2641</v>
      </c>
      <c r="G672" s="2" t="str">
        <f ca="1">VLOOKUP(A672,Sheet2!C:E,3,0)</f>
        <v>EG07-EG08-EG09</v>
      </c>
      <c r="H672" s="2" t="str">
        <f ca="1">VLOOKUP(A672,Sheet2!A:F,6,0)</f>
        <v>gamerahmedg@gmail.com</v>
      </c>
      <c r="I672" s="2">
        <f ca="1">VLOOKUP(A672,Sheet2!C:G,5,0)</f>
        <v>0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3" t="s">
        <v>717</v>
      </c>
      <c r="B673" s="1">
        <v>630141786235</v>
      </c>
      <c r="C673" s="1" t="s">
        <v>85</v>
      </c>
      <c r="D673" s="3" t="s">
        <v>69</v>
      </c>
      <c r="E673" s="1" t="s">
        <v>35</v>
      </c>
      <c r="F673" s="2">
        <f ca="1">VLOOKUP(A673,Sheet2!C:D,2,0)</f>
        <v>2662</v>
      </c>
      <c r="G673" s="2" t="str">
        <f ca="1">VLOOKUP(A673,Sheet2!C:E,3,0)</f>
        <v>EG04-EG05-EG06</v>
      </c>
      <c r="H673" s="2" t="str">
        <f ca="1">VLOOKUP(A673,Sheet2!A:F,6,0)</f>
        <v>mwnyalghzaly@gmail.com</v>
      </c>
      <c r="I673" s="2" t="str">
        <f ca="1">VLOOKUP(A673,Sheet2!C:G,5,0)</f>
        <v>01121870666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3" t="s">
        <v>718</v>
      </c>
      <c r="B674" s="1">
        <v>868143149757</v>
      </c>
      <c r="C674" s="1" t="s">
        <v>301</v>
      </c>
      <c r="D674" s="3" t="s">
        <v>63</v>
      </c>
      <c r="E674" s="1" t="s">
        <v>35</v>
      </c>
      <c r="F674" s="2">
        <f ca="1">VLOOKUP(A674,Sheet2!C:D,2,0)</f>
        <v>2672</v>
      </c>
      <c r="G674" s="2" t="str">
        <f ca="1">VLOOKUP(A674,Sheet2!C:E,3,0)</f>
        <v>EG07-EG08-EG09</v>
      </c>
      <c r="H674" s="2" t="str">
        <f ca="1">VLOOKUP(A674,Sheet2!A:F,6,0)</f>
        <v>mrfthsyn962@gmail.com</v>
      </c>
      <c r="I674" s="2">
        <f ca="1">VLOOKUP(A674,Sheet2!C:G,5,0)</f>
        <v>0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3" t="s">
        <v>719</v>
      </c>
      <c r="B675" s="2" t="str">
        <f ca="1">VLOOKUP(A675,Sheet2!A:B,2,0)</f>
        <v>No ID</v>
      </c>
      <c r="C675" s="1" t="s">
        <v>301</v>
      </c>
      <c r="D675" s="1" t="s">
        <v>47</v>
      </c>
      <c r="E675" s="1" t="s">
        <v>12</v>
      </c>
      <c r="F675" s="2">
        <f ca="1">VLOOKUP(A675,Sheet2!C:D,2,0)</f>
        <v>0</v>
      </c>
      <c r="G675" s="2" t="str">
        <f ca="1">VLOOKUP(A675,Sheet2!C:E,3,0)</f>
        <v>EG07-EG08-EG09</v>
      </c>
      <c r="H675" s="2">
        <f ca="1">VLOOKUP(A675,Sheet2!A:F,6,0)</f>
        <v>0</v>
      </c>
      <c r="I675" s="2">
        <f ca="1">VLOOKUP(A675,Sheet2!C:G,5,0)</f>
        <v>0</v>
      </c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3" t="s">
        <v>720</v>
      </c>
      <c r="B676" s="1">
        <v>643165236429</v>
      </c>
      <c r="C676" s="1" t="s">
        <v>301</v>
      </c>
      <c r="D676" s="1" t="s">
        <v>170</v>
      </c>
      <c r="E676" s="1" t="s">
        <v>35</v>
      </c>
      <c r="F676" s="2">
        <f ca="1">VLOOKUP(A676,Sheet2!C:D,2,0)</f>
        <v>2655</v>
      </c>
      <c r="G676" s="2" t="str">
        <f ca="1">VLOOKUP(A676,Sheet2!C:E,3,0)</f>
        <v>EG07-EG08-EG09</v>
      </c>
      <c r="H676" s="2" t="str">
        <f ca="1">VLOOKUP(A676,Sheet2!A:F,6,0)</f>
        <v>abeervet81@gmail.com</v>
      </c>
      <c r="I676" s="2">
        <f ca="1">VLOOKUP(A676,Sheet2!C:G,5,0)</f>
        <v>0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3" t="s">
        <v>721</v>
      </c>
      <c r="B677" s="1">
        <v>689156982321</v>
      </c>
      <c r="C677" s="1" t="s">
        <v>85</v>
      </c>
      <c r="D677" s="1" t="s">
        <v>170</v>
      </c>
      <c r="E677" s="1" t="s">
        <v>35</v>
      </c>
      <c r="F677" s="2">
        <f ca="1">VLOOKUP(A677,Sheet2!C:D,2,0)</f>
        <v>2690</v>
      </c>
      <c r="G677" s="2" t="str">
        <f ca="1">VLOOKUP(A677,Sheet2!C:E,3,0)</f>
        <v>EG04-EG05-EG06</v>
      </c>
      <c r="H677" s="2" t="str">
        <f ca="1">VLOOKUP(A677,Sheet2!A:F,6,0)</f>
        <v>nayeramahmoed@gmail.com</v>
      </c>
      <c r="I677" s="2">
        <f ca="1">VLOOKUP(A677,Sheet2!C:G,5,0)</f>
        <v>0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3" t="s">
        <v>722</v>
      </c>
      <c r="B678" s="2" t="str">
        <f ca="1">VLOOKUP(A678,Sheet2!A:B,2,0)</f>
        <v>No ID</v>
      </c>
      <c r="C678" s="1" t="s">
        <v>10</v>
      </c>
      <c r="D678" s="3" t="s">
        <v>69</v>
      </c>
      <c r="E678" s="1" t="s">
        <v>12</v>
      </c>
      <c r="F678" s="2">
        <f ca="1">VLOOKUP(A678,Sheet2!C:D,2,0)</f>
        <v>0</v>
      </c>
      <c r="G678" s="2" t="str">
        <f ca="1">VLOOKUP(A678,Sheet2!C:E,3,0)</f>
        <v>EG01-EG02-EG03-EG04</v>
      </c>
      <c r="H678" s="2">
        <f ca="1">VLOOKUP(A678,Sheet2!A:F,6,0)</f>
        <v>0</v>
      </c>
      <c r="I678" s="2">
        <f ca="1">VLOOKUP(A678,Sheet2!C:G,5,0)</f>
        <v>0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3" t="s">
        <v>723</v>
      </c>
      <c r="B679" s="1">
        <v>767182953239</v>
      </c>
      <c r="C679" s="1" t="s">
        <v>10</v>
      </c>
      <c r="D679" s="3" t="s">
        <v>69</v>
      </c>
      <c r="E679" s="1" t="s">
        <v>12</v>
      </c>
      <c r="F679" s="2">
        <f ca="1">VLOOKUP(A679,Sheet2!C:D,2,0)</f>
        <v>2688</v>
      </c>
      <c r="G679" s="2" t="str">
        <f ca="1">VLOOKUP(A679,Sheet2!C:E,3,0)</f>
        <v>EG01-EG02-EG03-EG04-EG05-EG06</v>
      </c>
      <c r="H679" s="2" t="str">
        <f ca="1">VLOOKUP(A679,Sheet2!A:F,6,0)</f>
        <v>hebakamal1991@gmail.com</v>
      </c>
      <c r="I679" s="2" t="str">
        <f ca="1">VLOOKUP(A679,Sheet2!C:G,5,0)</f>
        <v>01129502289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3" t="s">
        <v>724</v>
      </c>
      <c r="B680" s="2" t="str">
        <f ca="1">VLOOKUP(A680,Sheet2!A:B,2,0)</f>
        <v>No ID</v>
      </c>
      <c r="C680" s="1" t="s">
        <v>10</v>
      </c>
      <c r="D680" s="3" t="s">
        <v>63</v>
      </c>
      <c r="E680" s="1" t="s">
        <v>12</v>
      </c>
      <c r="F680" s="2">
        <f ca="1">VLOOKUP(A680,Sheet2!C:D,2,0)</f>
        <v>0</v>
      </c>
      <c r="G680" s="2" t="str">
        <f ca="1">VLOOKUP(A680,Sheet2!C:E,3,0)</f>
        <v>EG01-EG02-EG03-EG04-EG05-EG06</v>
      </c>
      <c r="H680" s="2">
        <f ca="1">VLOOKUP(A680,Sheet2!A:F,6,0)</f>
        <v>0</v>
      </c>
      <c r="I680" s="2">
        <f ca="1">VLOOKUP(A680,Sheet2!C:G,5,0)</f>
        <v>0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3" t="s">
        <v>725</v>
      </c>
      <c r="B681" s="1">
        <v>678163084015</v>
      </c>
      <c r="C681" s="1" t="s">
        <v>85</v>
      </c>
      <c r="D681" s="1" t="s">
        <v>170</v>
      </c>
      <c r="E681" s="1" t="s">
        <v>182</v>
      </c>
      <c r="F681" s="2">
        <f ca="1">VLOOKUP(A681,Sheet2!C:D,2,0)</f>
        <v>2719</v>
      </c>
      <c r="G681" s="2" t="str">
        <f ca="1">VLOOKUP(A681,Sheet2!C:E,3,0)</f>
        <v>EG04-EG05-EG06</v>
      </c>
      <c r="H681" s="2" t="str">
        <f ca="1">VLOOKUP(A681,Sheet2!A:F,6,0)</f>
        <v>nadawaleed1155@gmail.com</v>
      </c>
      <c r="I681" s="2" t="str">
        <f ca="1">VLOOKUP(A681,Sheet2!C:G,5,0)</f>
        <v>01024516454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3" t="s">
        <v>726</v>
      </c>
      <c r="B682" s="1">
        <v>938102694209</v>
      </c>
      <c r="C682" s="1" t="s">
        <v>85</v>
      </c>
      <c r="D682" s="1" t="s">
        <v>47</v>
      </c>
      <c r="E682" s="1" t="s">
        <v>35</v>
      </c>
      <c r="F682" s="2">
        <f ca="1">VLOOKUP(A682,Sheet2!C:D,2,0)</f>
        <v>2728</v>
      </c>
      <c r="G682" s="2" t="str">
        <f ca="1">VLOOKUP(A682,Sheet2!C:E,3,0)</f>
        <v>EG02-EG03-EG04-EG05-EG06</v>
      </c>
      <c r="H682" s="2" t="str">
        <f ca="1">VLOOKUP(A682,Sheet2!A:F,6,0)</f>
        <v>nourhan866@yahoo.com</v>
      </c>
      <c r="I682" s="2" t="str">
        <f ca="1">VLOOKUP(A682,Sheet2!C:G,5,0)</f>
        <v>01208185748</v>
      </c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3" t="s">
        <v>727</v>
      </c>
      <c r="B683" s="1">
        <v>913159713718</v>
      </c>
      <c r="C683" s="1" t="s">
        <v>474</v>
      </c>
      <c r="D683" s="3" t="s">
        <v>63</v>
      </c>
      <c r="E683" s="1" t="s">
        <v>35</v>
      </c>
      <c r="F683" s="2">
        <f ca="1">VLOOKUP(A683,Sheet2!C:D,2,0)</f>
        <v>2738</v>
      </c>
      <c r="G683" s="2" t="str">
        <f ca="1">VLOOKUP(A683,Sheet2!C:E,3,0)</f>
        <v>EG09-EG10-EG11</v>
      </c>
      <c r="H683" s="2" t="str">
        <f ca="1">VLOOKUP(A683,Sheet2!A:F,6,0)</f>
        <v>mbdalbast990@gmail.com</v>
      </c>
      <c r="I683" s="2" t="str">
        <f ca="1">VLOOKUP(A683,Sheet2!C:G,5,0)</f>
        <v>01025284144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3" t="s">
        <v>728</v>
      </c>
      <c r="B684" s="1">
        <v>487176043708</v>
      </c>
      <c r="C684" s="1" t="s">
        <v>85</v>
      </c>
      <c r="D684" s="1" t="s">
        <v>170</v>
      </c>
      <c r="E684" s="1" t="s">
        <v>182</v>
      </c>
      <c r="F684" s="2">
        <f ca="1">VLOOKUP(A684,Sheet2!C:D,2,0)</f>
        <v>2744</v>
      </c>
      <c r="G684" s="2" t="str">
        <f ca="1">VLOOKUP(A684,Sheet2!C:E,3,0)</f>
        <v>EG04-EG05-EG06</v>
      </c>
      <c r="H684" s="2" t="str">
        <f ca="1">VLOOKUP(A684,Sheet2!A:F,6,0)</f>
        <v>aya.alaa85@yahoo.com</v>
      </c>
      <c r="I684" s="2" t="str">
        <f ca="1">VLOOKUP(A684,Sheet2!C:G,5,0)</f>
        <v>01159348705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3" t="s">
        <v>729</v>
      </c>
      <c r="B685" s="2" t="str">
        <f ca="1">VLOOKUP(A685,Sheet2!A:B,2,0)</f>
        <v>No ID</v>
      </c>
      <c r="C685" s="1" t="s">
        <v>10</v>
      </c>
      <c r="D685" s="3" t="s">
        <v>69</v>
      </c>
      <c r="E685" s="1" t="s">
        <v>12</v>
      </c>
      <c r="F685" s="2">
        <f ca="1">VLOOKUP(A685,Sheet2!C:D,2,0)</f>
        <v>0</v>
      </c>
      <c r="G685" s="2" t="str">
        <f ca="1">VLOOKUP(A685,Sheet2!C:E,3,0)</f>
        <v>EG01-EG02-EG03</v>
      </c>
      <c r="H685" s="2">
        <f ca="1">VLOOKUP(A685,Sheet2!A:F,6,0)</f>
        <v>0</v>
      </c>
      <c r="I685" s="2">
        <f ca="1">VLOOKUP(A685,Sheet2!C:G,5,0)</f>
        <v>0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3" t="s">
        <v>730</v>
      </c>
      <c r="B686" s="2" t="str">
        <f ca="1">VLOOKUP(A686,Sheet2!A:B,2,0)</f>
        <v>No ID</v>
      </c>
      <c r="C686" s="1" t="s">
        <v>301</v>
      </c>
      <c r="D686" s="1" t="s">
        <v>170</v>
      </c>
      <c r="E686" s="1" t="s">
        <v>12</v>
      </c>
      <c r="F686" s="2">
        <f ca="1">VLOOKUP(A686,Sheet2!C:D,2,0)</f>
        <v>0</v>
      </c>
      <c r="G686" s="2" t="str">
        <f ca="1">VLOOKUP(A686,Sheet2!C:E,3,0)</f>
        <v>EG04-EG05-EG06-EG07-EG08-EG09</v>
      </c>
      <c r="H686" s="2">
        <f ca="1">VLOOKUP(A686,Sheet2!A:F,6,0)</f>
        <v>0</v>
      </c>
      <c r="I686" s="2">
        <f ca="1">VLOOKUP(A686,Sheet2!C:G,5,0)</f>
        <v>0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3" t="s">
        <v>731</v>
      </c>
      <c r="B687" s="2" t="str">
        <f ca="1">VLOOKUP(A687,Sheet2!A:B,2,0)</f>
        <v>No ID</v>
      </c>
      <c r="C687" s="1" t="s">
        <v>301</v>
      </c>
      <c r="D687" s="1" t="s">
        <v>170</v>
      </c>
      <c r="E687" s="1" t="s">
        <v>12</v>
      </c>
      <c r="F687" s="2">
        <f ca="1">VLOOKUP(A687,Sheet2!C:D,2,0)</f>
        <v>0</v>
      </c>
      <c r="G687" s="2" t="str">
        <f ca="1">VLOOKUP(A687,Sheet2!C:E,3,0)</f>
        <v>EG04-EG05-EG06-EG07-EG08-EG09</v>
      </c>
      <c r="H687" s="2">
        <f ca="1">VLOOKUP(A687,Sheet2!A:F,6,0)</f>
        <v>0</v>
      </c>
      <c r="I687" s="2">
        <f ca="1">VLOOKUP(A687,Sheet2!C:G,5,0)</f>
        <v>0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3" t="s">
        <v>732</v>
      </c>
      <c r="B688" s="1">
        <v>597190609069</v>
      </c>
      <c r="C688" s="1" t="s">
        <v>85</v>
      </c>
      <c r="D688" s="1" t="s">
        <v>25</v>
      </c>
      <c r="E688" s="1" t="s">
        <v>182</v>
      </c>
      <c r="F688" s="2">
        <f ca="1">VLOOKUP(A688,Sheet2!C:D,2,0)</f>
        <v>2769</v>
      </c>
      <c r="G688" s="2" t="str">
        <f ca="1">VLOOKUP(A688,Sheet2!C:E,3,0)</f>
        <v>EG04-EG05-EG06-EG07</v>
      </c>
      <c r="H688" s="2" t="str">
        <f ca="1">VLOOKUP(A688,Sheet2!A:F,6,0)</f>
        <v>kristeensamir361@gmail.com</v>
      </c>
      <c r="I688" s="2">
        <f ca="1">VLOOKUP(A688,Sheet2!C:G,5,0)</f>
        <v>0</v>
      </c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3" t="s">
        <v>733</v>
      </c>
      <c r="B689" s="2" t="str">
        <f ca="1">VLOOKUP(A689,Sheet2!A:B,2,0)</f>
        <v>No ID</v>
      </c>
      <c r="C689" s="1" t="s">
        <v>85</v>
      </c>
      <c r="D689" s="1" t="s">
        <v>125</v>
      </c>
      <c r="E689" s="1" t="s">
        <v>12</v>
      </c>
      <c r="F689" s="2">
        <f ca="1">VLOOKUP(A689,Sheet2!C:D,2,0)</f>
        <v>0</v>
      </c>
      <c r="G689" s="2" t="str">
        <f ca="1">VLOOKUP(A689,Sheet2!C:E,3,0)</f>
        <v>EG04-EG05-EG06</v>
      </c>
      <c r="H689" s="2">
        <f ca="1">VLOOKUP(A689,Sheet2!A:F,6,0)</f>
        <v>0</v>
      </c>
      <c r="I689" s="2">
        <f ca="1">VLOOKUP(A689,Sheet2!C:G,5,0)</f>
        <v>0</v>
      </c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3" t="s">
        <v>734</v>
      </c>
      <c r="B690" s="2" t="str">
        <f ca="1">VLOOKUP(A690,Sheet2!A:B,2,0)</f>
        <v>No ID</v>
      </c>
      <c r="C690" s="1" t="s">
        <v>301</v>
      </c>
      <c r="D690" s="3" t="s">
        <v>69</v>
      </c>
      <c r="E690" s="1" t="s">
        <v>12</v>
      </c>
      <c r="F690" s="2">
        <f ca="1">VLOOKUP(A690,Sheet2!C:D,2,0)</f>
        <v>0</v>
      </c>
      <c r="G690" s="2" t="str">
        <f ca="1">VLOOKUP(A690,Sheet2!C:E,3,0)</f>
        <v>EG07-EG08-EG09-EG10-EG11-EG12</v>
      </c>
      <c r="H690" s="2">
        <f ca="1">VLOOKUP(A690,Sheet2!A:F,6,0)</f>
        <v>0</v>
      </c>
      <c r="I690" s="2">
        <f ca="1">VLOOKUP(A690,Sheet2!C:G,5,0)</f>
        <v>0</v>
      </c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3" t="s">
        <v>735</v>
      </c>
      <c r="B691" s="1">
        <v>837150415794</v>
      </c>
      <c r="C691" s="1" t="s">
        <v>10</v>
      </c>
      <c r="D691" s="1" t="s">
        <v>47</v>
      </c>
      <c r="E691" s="1" t="s">
        <v>35</v>
      </c>
      <c r="F691" s="2">
        <f ca="1">VLOOKUP(A691,Sheet2!C:D,2,0)</f>
        <v>2776</v>
      </c>
      <c r="G691" s="2" t="str">
        <f ca="1">VLOOKUP(A691,Sheet2!C:E,3,0)</f>
        <v>EG01-EG02-EG03-EG04-EG05-EG06</v>
      </c>
      <c r="H691" s="2" t="str">
        <f ca="1">VLOOKUP(A691,Sheet2!A:F,6,0)</f>
        <v>gorgy7martina@gmail.com</v>
      </c>
      <c r="I691" s="2">
        <f ca="1">VLOOKUP(A691,Sheet2!C:G,5,0)</f>
        <v>0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3" t="s">
        <v>736</v>
      </c>
      <c r="B692" s="1">
        <v>540154691675</v>
      </c>
      <c r="C692" s="1" t="s">
        <v>85</v>
      </c>
      <c r="D692" s="1" t="s">
        <v>170</v>
      </c>
      <c r="E692" s="1" t="s">
        <v>182</v>
      </c>
      <c r="F692" s="2">
        <f ca="1">VLOOKUP(A692,Sheet2!C:D,2,0)</f>
        <v>2788</v>
      </c>
      <c r="G692" s="2" t="str">
        <f ca="1">VLOOKUP(A692,Sheet2!C:E,3,0)</f>
        <v>EG03-EG04-EG05-EG06</v>
      </c>
      <c r="H692" s="2" t="str">
        <f ca="1">VLOOKUP(A692,Sheet2!A:F,6,0)</f>
        <v>hadeermuhamad3@gmail.com</v>
      </c>
      <c r="I692" s="2" t="str">
        <f ca="1">VLOOKUP(A692,Sheet2!C:G,5,0)</f>
        <v>01270016684.    -     03 3563898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3" t="s">
        <v>737</v>
      </c>
      <c r="B693" s="1">
        <v>782124541790</v>
      </c>
      <c r="C693" s="1" t="s">
        <v>10</v>
      </c>
      <c r="D693" s="1" t="s">
        <v>25</v>
      </c>
      <c r="E693" s="1" t="s">
        <v>182</v>
      </c>
      <c r="F693" s="2">
        <f ca="1">VLOOKUP(A693,Sheet2!C:D,2,0)</f>
        <v>2789</v>
      </c>
      <c r="G693" s="2" t="str">
        <f ca="1">VLOOKUP(A693,Sheet2!C:E,3,0)</f>
        <v>EG01-EG02-EG03-EG04-EG05</v>
      </c>
      <c r="H693" s="2" t="str">
        <f ca="1">VLOOKUP(A693,Sheet2!A:F,6,0)</f>
        <v>marwacambridge66@gmail.com</v>
      </c>
      <c r="I693" s="2">
        <f ca="1">VLOOKUP(A693,Sheet2!C:G,5,0)</f>
        <v>0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3" t="s">
        <v>738</v>
      </c>
      <c r="B694" s="2" t="str">
        <f ca="1">VLOOKUP(A694,Sheet2!A:B,2,0)</f>
        <v>No ID</v>
      </c>
      <c r="C694" s="1" t="s">
        <v>10</v>
      </c>
      <c r="D694" s="1" t="s">
        <v>25</v>
      </c>
      <c r="E694" s="1" t="s">
        <v>12</v>
      </c>
      <c r="F694" s="2">
        <f ca="1">VLOOKUP(A694,Sheet2!C:D,2,0)</f>
        <v>0</v>
      </c>
      <c r="G694" s="2" t="str">
        <f ca="1">VLOOKUP(A694,Sheet2!C:E,3,0)</f>
        <v>EG01-EG02-EG03-EG04-EG05-EG06</v>
      </c>
      <c r="H694" s="2">
        <f ca="1">VLOOKUP(A694,Sheet2!A:F,6,0)</f>
        <v>0</v>
      </c>
      <c r="I694" s="2">
        <f ca="1">VLOOKUP(A694,Sheet2!C:G,5,0)</f>
        <v>0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3" t="s">
        <v>739</v>
      </c>
      <c r="B695" s="2" t="str">
        <f ca="1">VLOOKUP(A695,Sheet2!A:B,2,0)</f>
        <v>No ID</v>
      </c>
      <c r="C695" s="1" t="s">
        <v>85</v>
      </c>
      <c r="D695" s="3" t="s">
        <v>63</v>
      </c>
      <c r="E695" s="1" t="s">
        <v>12</v>
      </c>
      <c r="F695" s="2">
        <f ca="1">VLOOKUP(A695,Sheet2!C:D,2,0)</f>
        <v>0</v>
      </c>
      <c r="G695" s="2" t="str">
        <f ca="1">VLOOKUP(A695,Sheet2!C:E,3,0)</f>
        <v>EG03-EG04-EG05-EG06</v>
      </c>
      <c r="H695" s="2">
        <f ca="1">VLOOKUP(A695,Sheet2!A:F,6,0)</f>
        <v>0</v>
      </c>
      <c r="I695" s="2">
        <f ca="1">VLOOKUP(A695,Sheet2!C:G,5,0)</f>
        <v>0</v>
      </c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3" t="s">
        <v>740</v>
      </c>
      <c r="B696" s="2" t="str">
        <f ca="1">VLOOKUP(A696,Sheet2!A:B,2,0)</f>
        <v>No ID</v>
      </c>
      <c r="C696" s="1" t="s">
        <v>301</v>
      </c>
      <c r="D696" s="3" t="s">
        <v>63</v>
      </c>
      <c r="E696" s="1" t="s">
        <v>12</v>
      </c>
      <c r="F696" s="2">
        <f ca="1">VLOOKUP(A696,Sheet2!C:D,2,0)</f>
        <v>0</v>
      </c>
      <c r="G696" s="2" t="str">
        <f ca="1">VLOOKUP(A696,Sheet2!C:E,3,0)</f>
        <v>EG07-EG08-EG09</v>
      </c>
      <c r="H696" s="2">
        <f ca="1">VLOOKUP(A696,Sheet2!A:F,6,0)</f>
        <v>0</v>
      </c>
      <c r="I696" s="2">
        <f ca="1">VLOOKUP(A696,Sheet2!C:G,5,0)</f>
        <v>0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3" t="s">
        <v>741</v>
      </c>
      <c r="B697" s="1">
        <v>960189502368</v>
      </c>
      <c r="C697" s="1" t="s">
        <v>10</v>
      </c>
      <c r="D697" s="1" t="s">
        <v>25</v>
      </c>
      <c r="E697" s="1" t="s">
        <v>182</v>
      </c>
      <c r="F697" s="2">
        <f ca="1">VLOOKUP(A697,Sheet2!C:D,2,0)</f>
        <v>2786</v>
      </c>
      <c r="G697" s="2" t="str">
        <f ca="1">VLOOKUP(A697,Sheet2!C:E,3,0)</f>
        <v>EG01-EG02-EG03</v>
      </c>
      <c r="H697" s="2" t="str">
        <f ca="1">VLOOKUP(A697,Sheet2!A:F,6,0)</f>
        <v>nourananwar47@gmail.com</v>
      </c>
      <c r="I697" s="2">
        <f ca="1">VLOOKUP(A697,Sheet2!C:G,5,0)</f>
        <v>0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3" t="s">
        <v>742</v>
      </c>
      <c r="B698" s="2" t="str">
        <f ca="1">VLOOKUP(A698,Sheet2!A:B,2,0)</f>
        <v>No ID</v>
      </c>
      <c r="C698" s="1" t="s">
        <v>10</v>
      </c>
      <c r="D698" s="3" t="s">
        <v>60</v>
      </c>
      <c r="E698" s="1" t="s">
        <v>12</v>
      </c>
      <c r="F698" s="2">
        <f ca="1">VLOOKUP(A698,Sheet2!C:D,2,0)</f>
        <v>0</v>
      </c>
      <c r="G698" s="2" t="str">
        <f ca="1">VLOOKUP(A698,Sheet2!C:E,3,0)</f>
        <v>EG01-EG02-EG03</v>
      </c>
      <c r="H698" s="2">
        <f ca="1">VLOOKUP(A698,Sheet2!A:F,6,0)</f>
        <v>0</v>
      </c>
      <c r="I698" s="2">
        <f ca="1">VLOOKUP(A698,Sheet2!C:G,5,0)</f>
        <v>0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3" t="s">
        <v>743</v>
      </c>
      <c r="B699" s="2" t="str">
        <f ca="1">VLOOKUP(A699,Sheet2!A:B,2,0)</f>
        <v>No ID</v>
      </c>
      <c r="C699" s="1" t="s">
        <v>10</v>
      </c>
      <c r="D699" s="1" t="s">
        <v>11</v>
      </c>
      <c r="E699" s="1" t="s">
        <v>12</v>
      </c>
      <c r="F699" s="2">
        <f ca="1">VLOOKUP(A699,Sheet2!C:D,2,0)</f>
        <v>0</v>
      </c>
      <c r="G699" s="2" t="str">
        <f ca="1">VLOOKUP(A699,Sheet2!C:E,3,0)</f>
        <v>EG01-EG02-EG03</v>
      </c>
      <c r="H699" s="2">
        <f ca="1">VLOOKUP(A699,Sheet2!A:F,6,0)</f>
        <v>0</v>
      </c>
      <c r="I699" s="2">
        <f ca="1">VLOOKUP(A699,Sheet2!C:G,5,0)</f>
        <v>0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3" t="s">
        <v>744</v>
      </c>
      <c r="B700" s="2" t="str">
        <f ca="1">VLOOKUP(A700,Sheet2!A:B,2,0)</f>
        <v>No ID</v>
      </c>
      <c r="C700" s="1" t="s">
        <v>85</v>
      </c>
      <c r="D700" s="1" t="s">
        <v>125</v>
      </c>
      <c r="E700" s="1" t="s">
        <v>12</v>
      </c>
      <c r="F700" s="2">
        <f ca="1">VLOOKUP(A700,Sheet2!C:D,2,0)</f>
        <v>0</v>
      </c>
      <c r="G700" s="2">
        <f ca="1">VLOOKUP(A700,Sheet2!C:E,3,0)</f>
        <v>0</v>
      </c>
      <c r="H700" s="2">
        <f ca="1">VLOOKUP(A700,Sheet2!A:F,6,0)</f>
        <v>0</v>
      </c>
      <c r="I700" s="2">
        <f ca="1">VLOOKUP(A700,Sheet2!C:G,5,0)</f>
        <v>0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3" t="s">
        <v>745</v>
      </c>
      <c r="B701" s="2">
        <f ca="1">VLOOKUP(A701,Sheet2!A:B,2,0)</f>
        <v>407151345617</v>
      </c>
      <c r="C701" s="1" t="s">
        <v>10</v>
      </c>
      <c r="D701" s="1" t="s">
        <v>47</v>
      </c>
      <c r="E701" s="1" t="s">
        <v>12</v>
      </c>
      <c r="F701" s="2">
        <f ca="1">VLOOKUP(A701,Sheet2!C:D,2,0)</f>
        <v>0</v>
      </c>
      <c r="G701" s="2" t="str">
        <f ca="1">VLOOKUP(A701,Sheet2!C:E,3,0)</f>
        <v>EG01-EG02-EG03</v>
      </c>
      <c r="H701" s="2" t="str">
        <f ca="1">VLOOKUP(A701,Sheet2!A:F,6,0)</f>
        <v>loreesnashaat@gmail.com</v>
      </c>
      <c r="I701" s="2" t="str">
        <f ca="1">VLOOKUP(A701,Sheet2!C:G,5,0)</f>
        <v>01223512495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3" t="s">
        <v>746</v>
      </c>
      <c r="B702" s="2" t="str">
        <f ca="1">VLOOKUP(A702,Sheet2!A:B,2,0)</f>
        <v>No ID</v>
      </c>
      <c r="C702" s="1" t="s">
        <v>85</v>
      </c>
      <c r="D702" s="1" t="s">
        <v>25</v>
      </c>
      <c r="E702" s="1" t="s">
        <v>12</v>
      </c>
      <c r="F702" s="2">
        <f ca="1">VLOOKUP(A702,Sheet2!C:D,2,0)</f>
        <v>0</v>
      </c>
      <c r="G702" s="2" t="str">
        <f ca="1">VLOOKUP(A702,Sheet2!C:E,3,0)</f>
        <v>EG04-EG05-EG06-EG07-EG08-EG09</v>
      </c>
      <c r="H702" s="2">
        <f ca="1">VLOOKUP(A702,Sheet2!A:F,6,0)</f>
        <v>0</v>
      </c>
      <c r="I702" s="2">
        <f ca="1">VLOOKUP(A702,Sheet2!C:G,5,0)</f>
        <v>0</v>
      </c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3" t="s">
        <v>747</v>
      </c>
      <c r="B703" s="2">
        <f ca="1">VLOOKUP(A703,Sheet2!A:B,2,0)</f>
        <v>405140392850</v>
      </c>
      <c r="C703" s="1" t="s">
        <v>85</v>
      </c>
      <c r="D703" s="3" t="s">
        <v>201</v>
      </c>
      <c r="E703" s="1" t="s">
        <v>12</v>
      </c>
      <c r="F703" s="2">
        <f ca="1">VLOOKUP(A703,Sheet2!C:D,2,0)</f>
        <v>0</v>
      </c>
      <c r="G703" s="2" t="str">
        <f ca="1">VLOOKUP(A703,Sheet2!C:E,3,0)</f>
        <v>EG03-EG04-EG05-EG06</v>
      </c>
      <c r="H703" s="2" t="str">
        <f ca="1">VLOOKUP(A703,Sheet2!A:F,6,0)</f>
        <v>sarahamdy.hamza2015@gmail.com</v>
      </c>
      <c r="I703" s="2">
        <f ca="1">VLOOKUP(A703,Sheet2!C:G,5,0)</f>
        <v>0</v>
      </c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3" t="s">
        <v>748</v>
      </c>
      <c r="B704" s="2">
        <f ca="1">VLOOKUP(A704,Sheet2!A:B,2,0)</f>
        <v>464168323849</v>
      </c>
      <c r="C704" s="1" t="s">
        <v>10</v>
      </c>
      <c r="D704" s="1" t="s">
        <v>11</v>
      </c>
      <c r="E704" s="1" t="s">
        <v>12</v>
      </c>
      <c r="F704" s="2">
        <f ca="1">VLOOKUP(A704,Sheet2!C:D,2,0)</f>
        <v>0</v>
      </c>
      <c r="G704" s="2" t="str">
        <f ca="1">VLOOKUP(A704,Sheet2!C:E,3,0)</f>
        <v>EG01-EG02-EG03</v>
      </c>
      <c r="H704" s="2" t="str">
        <f ca="1">VLOOKUP(A704,Sheet2!A:F,6,0)</f>
        <v>maihassan1234567@gmail.com</v>
      </c>
      <c r="I704" s="2">
        <f ca="1">VLOOKUP(A704,Sheet2!C:G,5,0)</f>
        <v>0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3" t="s">
        <v>749</v>
      </c>
      <c r="B705" s="2" t="str">
        <f ca="1">VLOOKUP(A705,Sheet2!A:B,2,0)</f>
        <v>No ID</v>
      </c>
      <c r="C705" s="1" t="s">
        <v>85</v>
      </c>
      <c r="D705" s="3" t="s">
        <v>201</v>
      </c>
      <c r="E705" s="1" t="s">
        <v>12</v>
      </c>
      <c r="F705" s="2">
        <f ca="1">VLOOKUP(A705,Sheet2!C:D,2,0)</f>
        <v>0</v>
      </c>
      <c r="G705" s="2" t="str">
        <f ca="1">VLOOKUP(A705,Sheet2!C:E,3,0)</f>
        <v>EG03-EG04-EG05-EG06</v>
      </c>
      <c r="H705" s="2">
        <f ca="1">VLOOKUP(A705,Sheet2!A:F,6,0)</f>
        <v>0</v>
      </c>
      <c r="I705" s="2">
        <f ca="1">VLOOKUP(A705,Sheet2!C:G,5,0)</f>
        <v>0</v>
      </c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3" t="s">
        <v>750</v>
      </c>
      <c r="B706" s="1">
        <v>609181324791</v>
      </c>
      <c r="C706" s="1" t="s">
        <v>10</v>
      </c>
      <c r="D706" s="1" t="s">
        <v>25</v>
      </c>
      <c r="E706" s="1" t="s">
        <v>182</v>
      </c>
      <c r="F706" s="2">
        <f ca="1">VLOOKUP(A706,Sheet2!C:D,2,0)</f>
        <v>2512</v>
      </c>
      <c r="G706" s="2" t="str">
        <f ca="1">VLOOKUP(A706,Sheet2!C:E,3,0)</f>
        <v>EG01-EG02-EG03</v>
      </c>
      <c r="H706" s="2">
        <f ca="1">VLOOKUP(A706,Sheet2!A:F,6,0)</f>
        <v>0</v>
      </c>
      <c r="I706" s="2">
        <f ca="1">VLOOKUP(A706,Sheet2!C:G,5,0)</f>
        <v>0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3" t="s">
        <v>751</v>
      </c>
      <c r="B707" s="1">
        <v>189136923623</v>
      </c>
      <c r="C707" s="1" t="s">
        <v>85</v>
      </c>
      <c r="D707" s="3" t="s">
        <v>248</v>
      </c>
      <c r="E707" s="1" t="s">
        <v>12</v>
      </c>
      <c r="F707" s="2">
        <f ca="1">VLOOKUP(A707,Sheet2!C:D,2,0)</f>
        <v>2542</v>
      </c>
      <c r="G707" s="2" t="str">
        <f ca="1">VLOOKUP(A707,Sheet2!C:E,3,0)</f>
        <v>EG04-EG05-EG06</v>
      </c>
      <c r="H707" s="2" t="str">
        <f ca="1">VLOOKUP(A707,Sheet2!A:F,6,0)</f>
        <v>nayeraismailm@gmail.com</v>
      </c>
      <c r="I707" s="2" t="str">
        <f ca="1">VLOOKUP(A707,Sheet2!C:G,5,0)</f>
        <v>01022608292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3" t="s">
        <v>752</v>
      </c>
      <c r="B708" s="1">
        <v>878128791902</v>
      </c>
      <c r="C708" s="1" t="s">
        <v>301</v>
      </c>
      <c r="D708" s="3" t="s">
        <v>69</v>
      </c>
      <c r="E708" s="1" t="s">
        <v>12</v>
      </c>
      <c r="F708" s="2">
        <f ca="1">VLOOKUP(A708,Sheet2!C:D,2,0)</f>
        <v>2638</v>
      </c>
      <c r="G708" s="2" t="str">
        <f ca="1">VLOOKUP(A708,Sheet2!C:E,3,0)</f>
        <v>EG04-EG05-EG06-EG07-EG08-EG09</v>
      </c>
      <c r="H708" s="2" t="str">
        <f ca="1">VLOOKUP(A708,Sheet2!A:F,6,0)</f>
        <v>mohsenqandel03@gmail.com</v>
      </c>
      <c r="I708" s="2">
        <f ca="1">VLOOKUP(A708,Sheet2!C:G,5,0)</f>
        <v>0</v>
      </c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3" t="s">
        <v>753</v>
      </c>
      <c r="B709" s="1">
        <v>516103937369</v>
      </c>
      <c r="C709" s="2"/>
      <c r="D709" s="2"/>
      <c r="E709" s="1" t="s">
        <v>35</v>
      </c>
      <c r="F709" s="2" t="str">
        <f ca="1">VLOOKUP(A709,Sheet2!C:D,2,0)</f>
        <v>#N/A</v>
      </c>
      <c r="G709" s="2">
        <f ca="1">VLOOKUP(A709,Sheet2!C:E,3,0)</f>
        <v>0</v>
      </c>
      <c r="H709" s="2" t="str">
        <f ca="1">VLOOKUP(A709,Sheet2!A:F,6,0)</f>
        <v>mohammed.eid.gad@gmail.com</v>
      </c>
      <c r="I709" s="2" t="str">
        <f ca="1">VLOOKUP(A709,Sheet2!C:G,5,0)</f>
        <v>01027610533</v>
      </c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3" t="s">
        <v>754</v>
      </c>
      <c r="B710" s="1">
        <v>516123085380</v>
      </c>
      <c r="C710" s="2"/>
      <c r="D710" s="2"/>
      <c r="E710" s="1" t="s">
        <v>35</v>
      </c>
      <c r="F710" s="2" t="str">
        <f ca="1">VLOOKUP(A710,Sheet2!C:D,2,0)</f>
        <v>#N/A</v>
      </c>
      <c r="G710" s="2">
        <f ca="1">VLOOKUP(A710,Sheet2!C:E,3,0)</f>
        <v>0</v>
      </c>
      <c r="H710" s="2" t="str">
        <f ca="1">VLOOKUP(A710,Sheet2!A:F,6,0)</f>
        <v>israaibrahim182@gmail.com</v>
      </c>
      <c r="I710" s="2">
        <f ca="1">VLOOKUP(A710,Sheet2!C:G,5,0)</f>
        <v>0</v>
      </c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3" t="s">
        <v>755</v>
      </c>
      <c r="B711" s="1">
        <v>324151012329</v>
      </c>
      <c r="C711" s="2"/>
      <c r="D711" s="2"/>
      <c r="E711" s="1" t="s">
        <v>35</v>
      </c>
      <c r="F711" s="2" t="str">
        <f ca="1">VLOOKUP(A711,Sheet2!C:D,2,0)</f>
        <v>#N/A</v>
      </c>
      <c r="G711" s="2">
        <f ca="1">VLOOKUP(A711,Sheet2!C:E,3,0)</f>
        <v>0</v>
      </c>
      <c r="H711" s="2" t="str">
        <f ca="1">VLOOKUP(A711,Sheet2!A:F,6,0)</f>
        <v>mahmoud.abdo@nagwa.com</v>
      </c>
      <c r="I711" s="2">
        <f ca="1">VLOOKUP(A711,Sheet2!C:G,5,0)</f>
        <v>0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3" t="s">
        <v>756</v>
      </c>
      <c r="B712" s="1">
        <v>416167232707</v>
      </c>
      <c r="C712" s="2"/>
      <c r="D712" s="2"/>
      <c r="E712" s="1" t="s">
        <v>14</v>
      </c>
      <c r="F712" s="4" t="str">
        <f ca="1">VLOOKUP(A712,Sheet2!C:D,2,0)</f>
        <v>2289</v>
      </c>
      <c r="G712" s="2">
        <f ca="1">VLOOKUP(A712,Sheet2!C:E,3,0)</f>
        <v>0</v>
      </c>
      <c r="H712" s="2" t="str">
        <f ca="1">VLOOKUP(A712,Sheet2!A:F,6,0)</f>
        <v>aabdalgamal@gmail.com</v>
      </c>
      <c r="I712" s="2" t="str">
        <f ca="1">VLOOKUP(A712,Sheet2!C:G,5,0)</f>
        <v>01033208400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3" t="s">
        <v>757</v>
      </c>
      <c r="B713" s="1">
        <v>873160320409</v>
      </c>
      <c r="C713" s="2"/>
      <c r="D713" s="2"/>
      <c r="E713" s="1" t="s">
        <v>182</v>
      </c>
      <c r="F713" s="2" t="str">
        <f ca="1">VLOOKUP(A713,Sheet2!C:D,2,0)</f>
        <v>#N/A</v>
      </c>
      <c r="G713" s="2">
        <f ca="1">VLOOKUP(A713,Sheet2!C:E,3,0)</f>
        <v>0</v>
      </c>
      <c r="H713" s="2">
        <f ca="1">VLOOKUP(A713,Sheet2!A:F,6,0)</f>
        <v>0</v>
      </c>
      <c r="I713" s="2">
        <f ca="1">VLOOKUP(A713,Sheet2!C:G,5,0)</f>
        <v>0</v>
      </c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3" t="s">
        <v>758</v>
      </c>
      <c r="B714" s="1">
        <v>482158476754</v>
      </c>
      <c r="C714" s="2"/>
      <c r="D714" s="2"/>
      <c r="E714" s="1" t="s">
        <v>182</v>
      </c>
      <c r="F714" s="2" t="str">
        <f ca="1">VLOOKUP(A714,Sheet2!C:D,2,0)</f>
        <v>#N/A</v>
      </c>
      <c r="G714" s="2">
        <f ca="1">VLOOKUP(A714,Sheet2!C:E,3,0)</f>
        <v>0</v>
      </c>
      <c r="H714" s="2">
        <f ca="1">VLOOKUP(A714,Sheet2!A:F,6,0)</f>
        <v>0</v>
      </c>
      <c r="I714" s="2">
        <f ca="1">VLOOKUP(A714,Sheet2!C:G,5,0)</f>
        <v>0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3" t="s">
        <v>759</v>
      </c>
      <c r="B715" s="1">
        <v>785160848368</v>
      </c>
      <c r="C715" s="2"/>
      <c r="D715" s="2"/>
      <c r="E715" s="1" t="s">
        <v>182</v>
      </c>
      <c r="F715" s="2" t="str">
        <f ca="1">VLOOKUP(A715,Sheet2!C:D,2,0)</f>
        <v>#N/A</v>
      </c>
      <c r="G715" s="2">
        <f ca="1">VLOOKUP(A715,Sheet2!C:E,3,0)</f>
        <v>0</v>
      </c>
      <c r="H715" s="2">
        <f ca="1">VLOOKUP(A715,Sheet2!A:F,6,0)</f>
        <v>0</v>
      </c>
      <c r="I715" s="2">
        <f ca="1">VLOOKUP(A715,Sheet2!C:G,5,0)</f>
        <v>0</v>
      </c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3" t="s">
        <v>760</v>
      </c>
      <c r="B716" s="1">
        <v>956195390908</v>
      </c>
      <c r="C716" s="2"/>
      <c r="D716" s="2"/>
      <c r="E716" s="1" t="s">
        <v>182</v>
      </c>
      <c r="F716" s="2" t="str">
        <f ca="1">VLOOKUP(A716,Sheet2!C:D,2,0)</f>
        <v>#N/A</v>
      </c>
      <c r="G716" s="2">
        <f ca="1">VLOOKUP(A716,Sheet2!C:E,3,0)</f>
        <v>0</v>
      </c>
      <c r="H716" s="2">
        <f ca="1">VLOOKUP(A716,Sheet2!A:F,6,0)</f>
        <v>0</v>
      </c>
      <c r="I716" s="2">
        <f ca="1">VLOOKUP(A716,Sheet2!C:G,5,0)</f>
        <v>0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3" t="s">
        <v>761</v>
      </c>
      <c r="B717" s="1">
        <v>802195734191</v>
      </c>
      <c r="C717" s="2"/>
      <c r="D717" s="2"/>
      <c r="E717" s="1" t="s">
        <v>182</v>
      </c>
      <c r="F717" s="2" t="str">
        <f ca="1">VLOOKUP(A717,Sheet2!C:D,2,0)</f>
        <v>#N/A</v>
      </c>
      <c r="G717" s="2">
        <f ca="1">VLOOKUP(A717,Sheet2!C:E,3,0)</f>
        <v>0</v>
      </c>
      <c r="H717" s="2">
        <f ca="1">VLOOKUP(A717,Sheet2!A:F,6,0)</f>
        <v>0</v>
      </c>
      <c r="I717" s="2">
        <f ca="1">VLOOKUP(A717,Sheet2!C:G,5,0)</f>
        <v>0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3" t="s">
        <v>762</v>
      </c>
      <c r="B718" s="1">
        <v>542163764786</v>
      </c>
      <c r="C718" s="2"/>
      <c r="D718" s="2"/>
      <c r="E718" s="1" t="s">
        <v>182</v>
      </c>
      <c r="F718" s="2" t="str">
        <f ca="1">VLOOKUP(A718,Sheet2!C:D,2,0)</f>
        <v>#N/A</v>
      </c>
      <c r="G718" s="2">
        <f ca="1">VLOOKUP(A718,Sheet2!C:E,3,0)</f>
        <v>0</v>
      </c>
      <c r="H718" s="2">
        <f ca="1">VLOOKUP(A718,Sheet2!A:F,6,0)</f>
        <v>0</v>
      </c>
      <c r="I718" s="2">
        <f ca="1">VLOOKUP(A718,Sheet2!C:G,5,0)</f>
        <v>0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3" t="s">
        <v>763</v>
      </c>
      <c r="B719" s="1">
        <v>943182573596</v>
      </c>
      <c r="C719" s="2"/>
      <c r="D719" s="2"/>
      <c r="E719" s="2"/>
      <c r="F719" s="2" t="str">
        <f ca="1">VLOOKUP(A719,Sheet2!C:D,2,0)</f>
        <v>#N/A</v>
      </c>
      <c r="G719" s="2">
        <f ca="1">VLOOKUP(A719,Sheet2!C:E,3,0)</f>
        <v>0</v>
      </c>
      <c r="H719" s="2" t="str">
        <f ca="1">VLOOKUP(A719,Sheet2!A:F,6,0)</f>
        <v>esraamorsy78@gmail.com</v>
      </c>
      <c r="I719" s="2">
        <f ca="1">VLOOKUP(A719,Sheet2!C:G,5,0)</f>
        <v>0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3" t="s">
        <v>764</v>
      </c>
      <c r="B720" s="1">
        <v>963108518023</v>
      </c>
      <c r="C720" s="2"/>
      <c r="D720" s="2"/>
      <c r="E720" s="2"/>
      <c r="F720" s="2" t="str">
        <f ca="1">VLOOKUP(A720,Sheet2!C:D,2,0)</f>
        <v>#N/A</v>
      </c>
      <c r="G720" s="2">
        <f ca="1">VLOOKUP(A720,Sheet2!C:E,3,0)</f>
        <v>0</v>
      </c>
      <c r="H720" s="2">
        <f ca="1">VLOOKUP(A720,Sheet2!A:F,6,0)</f>
        <v>0</v>
      </c>
      <c r="I720" s="2">
        <f ca="1">VLOOKUP(A720,Sheet2!C:G,5,0)</f>
        <v>0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3" t="s">
        <v>765</v>
      </c>
      <c r="B721" s="1">
        <v>197153280125</v>
      </c>
      <c r="C721" s="2"/>
      <c r="D721" s="2"/>
      <c r="E721" s="1" t="s">
        <v>766</v>
      </c>
      <c r="F721" s="2" t="str">
        <f ca="1">VLOOKUP(A721,Sheet2!C:D,2,0)</f>
        <v>#N/A</v>
      </c>
      <c r="G721" s="2">
        <f ca="1">VLOOKUP(A721,Sheet2!C:E,3,0)</f>
        <v>0</v>
      </c>
      <c r="H721" s="2" t="str">
        <f ca="1">VLOOKUP(A721,Sheet2!A:F,6,0)</f>
        <v>ahmedashourayyad@gmail.com</v>
      </c>
      <c r="I721" s="2">
        <f ca="1">VLOOKUP(A721,Sheet2!C:G,5,0)</f>
        <v>0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3" t="s">
        <v>767</v>
      </c>
      <c r="B722" s="1">
        <v>869135808760</v>
      </c>
      <c r="C722" s="2"/>
      <c r="D722" s="2"/>
      <c r="E722" s="1" t="s">
        <v>768</v>
      </c>
      <c r="F722" s="2" t="str">
        <f ca="1">VLOOKUP(A722,Sheet2!C:D,2,0)</f>
        <v>#N/A</v>
      </c>
      <c r="G722" s="2">
        <f ca="1">VLOOKUP(A722,Sheet2!C:E,3,0)</f>
        <v>0</v>
      </c>
      <c r="H722" s="2" t="str">
        <f ca="1">VLOOKUP(A722,Sheet2!A:F,6,0)</f>
        <v>monicanaeim85@gmail.com</v>
      </c>
      <c r="I722" s="2">
        <f ca="1">VLOOKUP(A722,Sheet2!C:G,5,0)</f>
        <v>0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3" t="s">
        <v>769</v>
      </c>
      <c r="B723" s="1">
        <v>910137201294</v>
      </c>
      <c r="C723" s="2"/>
      <c r="D723" s="2"/>
      <c r="E723" s="1" t="s">
        <v>768</v>
      </c>
      <c r="F723" s="2" t="str">
        <f ca="1">VLOOKUP(A723,Sheet2!C:D,2,0)</f>
        <v>#N/A</v>
      </c>
      <c r="G723" s="2">
        <f ca="1">VLOOKUP(A723,Sheet2!C:E,3,0)</f>
        <v>0</v>
      </c>
      <c r="H723" s="2" t="str">
        <f ca="1">VLOOKUP(A723,Sheet2!A:F,6,0)</f>
        <v>zienabkhaled10@gmail.com</v>
      </c>
      <c r="I723" s="2">
        <f ca="1">VLOOKUP(A723,Sheet2!C:G,5,0)</f>
        <v>0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3" t="s">
        <v>770</v>
      </c>
      <c r="B724" s="1">
        <v>514126712393</v>
      </c>
      <c r="C724" s="2"/>
      <c r="D724" s="2"/>
      <c r="E724" s="1" t="s">
        <v>771</v>
      </c>
      <c r="F724" s="2">
        <f ca="1">VLOOKUP(A724,Sheet2!C:D,2,0)</f>
        <v>2827</v>
      </c>
      <c r="G724" s="2" t="str">
        <f ca="1">VLOOKUP(A724,Sheet2!C:E,3,0)</f>
        <v>EG1-EG2-EG3</v>
      </c>
      <c r="H724" s="2" t="str">
        <f ca="1">VLOOKUP(A724,Sheet2!A:F,6,0)</f>
        <v>marianmaher01094762364@gmail.com</v>
      </c>
      <c r="I724" s="2">
        <f ca="1">VLOOKUP(A724,Sheet2!C:G,5,0)</f>
        <v>0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3" t="s">
        <v>772</v>
      </c>
      <c r="B725" s="1">
        <v>352134305787</v>
      </c>
      <c r="C725" s="2"/>
      <c r="D725" s="2"/>
      <c r="E725" s="1" t="s">
        <v>687</v>
      </c>
      <c r="F725" s="4" t="str">
        <f ca="1">VLOOKUP(A725,Sheet2!C:D,2,0)</f>
        <v>1212</v>
      </c>
      <c r="G725" s="2">
        <f ca="1">VLOOKUP(A725,Sheet2!C:E,3,0)</f>
        <v>0</v>
      </c>
      <c r="H725" s="2">
        <f ca="1">VLOOKUP(A725,Sheet2!A:F,6,0)</f>
        <v>0</v>
      </c>
      <c r="I725" s="2">
        <f ca="1">VLOOKUP(A725,Sheet2!C:G,5,0)</f>
        <v>0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3" t="s">
        <v>773</v>
      </c>
      <c r="B726" s="1">
        <v>437189298603</v>
      </c>
      <c r="C726" s="2"/>
      <c r="D726" s="2"/>
      <c r="E726" s="1" t="s">
        <v>687</v>
      </c>
      <c r="F726" s="4" t="str">
        <f ca="1">VLOOKUP(A726,Sheet2!C:D,2,0)</f>
        <v>1863</v>
      </c>
      <c r="G726" s="2" t="str">
        <f ca="1">VLOOKUP(A726,Sheet2!C:E,3,0)</f>
        <v>G11-G12</v>
      </c>
      <c r="H726" s="2">
        <f ca="1">VLOOKUP(A726,Sheet2!A:F,6,0)</f>
        <v>0</v>
      </c>
      <c r="I726" s="2">
        <f ca="1">VLOOKUP(A726,Sheet2!C:G,5,0)</f>
        <v>0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3" t="s">
        <v>774</v>
      </c>
      <c r="B727" s="1">
        <v>594131489651</v>
      </c>
      <c r="C727" s="2"/>
      <c r="D727" s="2"/>
      <c r="E727" s="1" t="s">
        <v>687</v>
      </c>
      <c r="F727" s="2">
        <f ca="1">VLOOKUP(A727,Sheet2!C:D,2,0)</f>
        <v>1926</v>
      </c>
      <c r="G727" s="2">
        <f ca="1">VLOOKUP(A727,Sheet2!C:E,3,0)</f>
        <v>0</v>
      </c>
      <c r="H727" s="2">
        <f ca="1">VLOOKUP(A727,Sheet2!A:F,6,0)</f>
        <v>0</v>
      </c>
      <c r="I727" s="2">
        <f ca="1">VLOOKUP(A727,Sheet2!C:G,5,0)</f>
        <v>0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3" t="s">
        <v>775</v>
      </c>
      <c r="B728" s="1">
        <v>848146561605</v>
      </c>
      <c r="C728" s="2"/>
      <c r="D728" s="2"/>
      <c r="E728" s="1" t="s">
        <v>687</v>
      </c>
      <c r="F728" s="4" t="str">
        <f ca="1">VLOOKUP(A728,Sheet2!C:D,2,0)</f>
        <v>1943</v>
      </c>
      <c r="G728" s="2" t="str">
        <f ca="1">VLOOKUP(A728,Sheet2!C:E,3,0)</f>
        <v>تخلف كثيرا عن الالتحاق بفصوله من البداية ولن نعتمد عليه ثانية
EG08-EG09-EG10-EG11-EG12</v>
      </c>
      <c r="H728" s="2" t="str">
        <f ca="1">VLOOKUP(A728,Sheet2!A:F,6,0)</f>
        <v>ahmedsaladin10@gmail.com</v>
      </c>
      <c r="I728" s="2" t="str">
        <f ca="1">VLOOKUP(A728,Sheet2!C:G,5,0)</f>
        <v>01141745377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3" t="s">
        <v>776</v>
      </c>
      <c r="B729" s="1">
        <v>258141760167</v>
      </c>
      <c r="C729" s="2"/>
      <c r="D729" s="2"/>
      <c r="E729" s="1" t="s">
        <v>687</v>
      </c>
      <c r="F729" s="4" t="str">
        <f ca="1">VLOOKUP(A729,Sheet2!C:D,2,0)</f>
        <v>1971</v>
      </c>
      <c r="G729" s="2" t="str">
        <f ca="1">VLOOKUP(A729,Sheet2!C:E,3,0)</f>
        <v>EG10-EG11-G12</v>
      </c>
      <c r="H729" s="2" t="str">
        <f ca="1">VLOOKUP(A729,Sheet2!A:F,6,0)</f>
        <v>mrbadrawy333@gmail.com</v>
      </c>
      <c r="I729" s="2" t="str">
        <f ca="1">VLOOKUP(A729,Sheet2!C:G,5,0)</f>
        <v>01152735223</v>
      </c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3" t="s">
        <v>777</v>
      </c>
      <c r="B730" s="1">
        <v>535169286572</v>
      </c>
      <c r="C730" s="2"/>
      <c r="D730" s="2"/>
      <c r="E730" s="1" t="s">
        <v>687</v>
      </c>
      <c r="F730" s="4">
        <f ca="1">VLOOKUP(A730,Sheet2!C:D,2,0)</f>
        <v>1980</v>
      </c>
      <c r="G730" s="2">
        <f ca="1">VLOOKUP(A730,Sheet2!C:E,3,0)</f>
        <v>0</v>
      </c>
      <c r="H730" s="2" t="str">
        <f ca="1">VLOOKUP(A730,Sheet2!A:F,6,0)</f>
        <v>mg306@hotmail.com</v>
      </c>
      <c r="I730" s="2">
        <f ca="1">VLOOKUP(A730,Sheet2!C:G,5,0)</f>
        <v>0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3" t="s">
        <v>778</v>
      </c>
      <c r="B731" s="1">
        <v>285163691768</v>
      </c>
      <c r="C731" s="2"/>
      <c r="D731" s="2"/>
      <c r="E731" s="1" t="s">
        <v>687</v>
      </c>
      <c r="F731" s="4" t="str">
        <f ca="1">VLOOKUP(A731,Sheet2!C:D,2,0)</f>
        <v>1972</v>
      </c>
      <c r="G731" s="2">
        <f ca="1">VLOOKUP(A731,Sheet2!C:E,3,0)</f>
        <v>0</v>
      </c>
      <c r="H731" s="2">
        <f ca="1">VLOOKUP(A731,Sheet2!A:F,6,0)</f>
        <v>0</v>
      </c>
      <c r="I731" s="2">
        <f ca="1">VLOOKUP(A731,Sheet2!C:G,5,0)</f>
        <v>0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3" t="s">
        <v>779</v>
      </c>
      <c r="B732" s="1">
        <v>102179305430</v>
      </c>
      <c r="C732" s="2"/>
      <c r="D732" s="2"/>
      <c r="E732" s="1" t="s">
        <v>687</v>
      </c>
      <c r="F732" s="2">
        <f ca="1">VLOOKUP(A732,Sheet2!C:D,2,0)</f>
        <v>2022</v>
      </c>
      <c r="G732" s="2">
        <f ca="1">VLOOKUP(A732,Sheet2!C:E,3,0)</f>
        <v>0</v>
      </c>
      <c r="H732" s="2">
        <f ca="1">VLOOKUP(A732,Sheet2!A:F,6,0)</f>
        <v>0</v>
      </c>
      <c r="I732" s="2">
        <f ca="1">VLOOKUP(A732,Sheet2!C:G,5,0)</f>
        <v>0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3" t="s">
        <v>780</v>
      </c>
      <c r="B733" s="1">
        <v>797194713202</v>
      </c>
      <c r="C733" s="2"/>
      <c r="D733" s="2"/>
      <c r="E733" s="1" t="s">
        <v>687</v>
      </c>
      <c r="F733" s="4" t="str">
        <f ca="1">VLOOKUP(A733,Sheet2!C:D,2,0)</f>
        <v>2037</v>
      </c>
      <c r="G733" s="2">
        <f ca="1">VLOOKUP(A733,Sheet2!C:E,3,0)</f>
        <v>0</v>
      </c>
      <c r="H733" s="2">
        <f ca="1">VLOOKUP(A733,Sheet2!A:F,6,0)</f>
        <v>0</v>
      </c>
      <c r="I733" s="2">
        <f ca="1">VLOOKUP(A733,Sheet2!C:G,5,0)</f>
        <v>0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3" t="s">
        <v>781</v>
      </c>
      <c r="B734" s="1">
        <v>107149593948</v>
      </c>
      <c r="C734" s="2"/>
      <c r="D734" s="2"/>
      <c r="E734" s="1" t="s">
        <v>687</v>
      </c>
      <c r="F734" s="2">
        <f ca="1">VLOOKUP(A734,Sheet2!C:D,2,0)</f>
        <v>2095</v>
      </c>
      <c r="G734" s="2">
        <f ca="1">VLOOKUP(A734,Sheet2!C:E,3,0)</f>
        <v>0</v>
      </c>
      <c r="H734" s="2">
        <f ca="1">VLOOKUP(A734,Sheet2!A:F,6,0)</f>
        <v>0</v>
      </c>
      <c r="I734" s="2">
        <f ca="1">VLOOKUP(A734,Sheet2!C:G,5,0)</f>
        <v>0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3" t="s">
        <v>782</v>
      </c>
      <c r="B735" s="1">
        <v>435147575802</v>
      </c>
      <c r="C735" s="2"/>
      <c r="D735" s="2"/>
      <c r="E735" s="1" t="s">
        <v>687</v>
      </c>
      <c r="F735" s="4" t="str">
        <f ca="1">VLOOKUP(A735,Sheet2!C:D,2,0)</f>
        <v>2259</v>
      </c>
      <c r="G735" s="2">
        <f ca="1">VLOOKUP(A735,Sheet2!C:E,3,0)</f>
        <v>0</v>
      </c>
      <c r="H735" s="2">
        <f ca="1">VLOOKUP(A735,Sheet2!A:F,6,0)</f>
        <v>0</v>
      </c>
      <c r="I735" s="2">
        <f ca="1">VLOOKUP(A735,Sheet2!C:G,5,0)</f>
        <v>0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3" t="s">
        <v>783</v>
      </c>
      <c r="B736" s="1">
        <v>472109857194</v>
      </c>
      <c r="C736" s="2"/>
      <c r="D736" s="2"/>
      <c r="E736" s="1" t="s">
        <v>687</v>
      </c>
      <c r="F736" s="4" t="str">
        <f ca="1">VLOOKUP(A736,Sheet2!C:D,2,0)</f>
        <v>2208</v>
      </c>
      <c r="G736" s="2" t="str">
        <f ca="1">VLOOKUP(A736,Sheet2!C:E,3,0)</f>
        <v>EG10-EG11-G12</v>
      </c>
      <c r="H736" s="2">
        <f ca="1">VLOOKUP(A736,Sheet2!A:F,6,0)</f>
        <v>0</v>
      </c>
      <c r="I736" s="2">
        <f ca="1">VLOOKUP(A736,Sheet2!C:G,5,0)</f>
        <v>0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3" t="s">
        <v>784</v>
      </c>
      <c r="B737" s="1">
        <v>480107524608</v>
      </c>
      <c r="C737" s="2"/>
      <c r="D737" s="2"/>
      <c r="E737" s="1" t="s">
        <v>687</v>
      </c>
      <c r="F737" s="4" t="str">
        <f ca="1">VLOOKUP(A737,Sheet2!C:D,2,0)</f>
        <v>2214</v>
      </c>
      <c r="G737" s="2" t="str">
        <f ca="1">VLOOKUP(A737,Sheet2!C:E,3,0)</f>
        <v>EG04-EG05-EG06-EG07</v>
      </c>
      <c r="H737" s="2">
        <f ca="1">VLOOKUP(A737,Sheet2!A:F,6,0)</f>
        <v>0</v>
      </c>
      <c r="I737" s="2">
        <f ca="1">VLOOKUP(A737,Sheet2!C:G,5,0)</f>
        <v>0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3" t="s">
        <v>785</v>
      </c>
      <c r="B738" s="1">
        <v>279185808176</v>
      </c>
      <c r="C738" s="2"/>
      <c r="D738" s="2"/>
      <c r="E738" s="1" t="s">
        <v>687</v>
      </c>
      <c r="F738" s="4" t="str">
        <f ca="1">VLOOKUP(A738,Sheet2!C:D,2,0)</f>
        <v>2239</v>
      </c>
      <c r="G738" s="2">
        <f ca="1">VLOOKUP(A738,Sheet2!C:E,3,0)</f>
        <v>0</v>
      </c>
      <c r="H738" s="2">
        <f ca="1">VLOOKUP(A738,Sheet2!A:F,6,0)</f>
        <v>0</v>
      </c>
      <c r="I738" s="2">
        <f ca="1">VLOOKUP(A738,Sheet2!C:G,5,0)</f>
        <v>0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3" t="s">
        <v>786</v>
      </c>
      <c r="B739" s="1">
        <v>238140327279</v>
      </c>
      <c r="C739" s="2"/>
      <c r="D739" s="2"/>
      <c r="E739" s="1" t="s">
        <v>687</v>
      </c>
      <c r="F739" s="2">
        <f ca="1">VLOOKUP(A739,Sheet2!C:D,2,0)</f>
        <v>2350</v>
      </c>
      <c r="G739" s="2" t="str">
        <f ca="1">VLOOKUP(A739,Sheet2!C:E,3,0)</f>
        <v>EG07-EG08-EG09</v>
      </c>
      <c r="H739" s="2">
        <f ca="1">VLOOKUP(A739,Sheet2!A:F,6,0)</f>
        <v>0</v>
      </c>
      <c r="I739" s="2">
        <f ca="1">VLOOKUP(A739,Sheet2!C:G,5,0)</f>
        <v>0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3" t="s">
        <v>787</v>
      </c>
      <c r="B740" s="1">
        <v>804162065074</v>
      </c>
      <c r="C740" s="2"/>
      <c r="D740" s="2"/>
      <c r="E740" s="1" t="s">
        <v>687</v>
      </c>
      <c r="F740" s="2">
        <f ca="1">VLOOKUP(A740,Sheet2!C:D,2,0)</f>
        <v>2453</v>
      </c>
      <c r="G740" s="2" t="str">
        <f ca="1">VLOOKUP(A740,Sheet2!C:E,3,0)</f>
        <v>EG07-EG08-EG09</v>
      </c>
      <c r="H740" s="2">
        <f ca="1">VLOOKUP(A740,Sheet2!A:F,6,0)</f>
        <v>0</v>
      </c>
      <c r="I740" s="2">
        <f ca="1">VLOOKUP(A740,Sheet2!C:G,5,0)</f>
        <v>0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3" t="s">
        <v>788</v>
      </c>
      <c r="B741" s="1">
        <v>742164906960</v>
      </c>
      <c r="C741" s="2"/>
      <c r="D741" s="2"/>
      <c r="E741" s="1" t="s">
        <v>687</v>
      </c>
      <c r="F741" s="2">
        <f ca="1">VLOOKUP(A741,Sheet2!C:D,2,0)</f>
        <v>2051</v>
      </c>
      <c r="G741" s="2">
        <f ca="1">VLOOKUP(A741,Sheet2!C:E,3,0)</f>
        <v>0</v>
      </c>
      <c r="H741" s="2" t="str">
        <f ca="1">VLOOKUP(A741,Sheet2!A:F,6,0)</f>
        <v>mohammedtawfik1974@gmail.com</v>
      </c>
      <c r="I741" s="2">
        <f ca="1">VLOOKUP(A741,Sheet2!C:G,5,0)</f>
        <v>0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3" t="s">
        <v>789</v>
      </c>
      <c r="B742" s="1">
        <v>960186095390</v>
      </c>
      <c r="C742" s="2"/>
      <c r="D742" s="2"/>
      <c r="E742" s="1" t="s">
        <v>687</v>
      </c>
      <c r="F742" s="2">
        <f ca="1">VLOOKUP(A742,Sheet2!C:D,2,0)</f>
        <v>2587</v>
      </c>
      <c r="G742" s="2" t="str">
        <f ca="1">VLOOKUP(A742,Sheet2!C:E,3,0)</f>
        <v>EG01-EG02-EG03</v>
      </c>
      <c r="H742" s="2" t="str">
        <f ca="1">VLOOKUP(A742,Sheet2!A:F,6,0)</f>
        <v>nesmasultan933@gmail.com</v>
      </c>
      <c r="I742" s="2">
        <f ca="1">VLOOKUP(A742,Sheet2!C:G,5,0)</f>
        <v>0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3" t="s">
        <v>790</v>
      </c>
      <c r="B743" s="2">
        <f ca="1">VLOOKUP(A743,Sheet2!A:B,2,0)</f>
        <v>389136139475</v>
      </c>
      <c r="C743" s="1" t="s">
        <v>10</v>
      </c>
      <c r="D743" s="1" t="s">
        <v>47</v>
      </c>
      <c r="E743" s="1" t="s">
        <v>12</v>
      </c>
      <c r="F743" s="2">
        <f ca="1">VLOOKUP(A743,Sheet2!C:D,2,0)</f>
        <v>2834</v>
      </c>
      <c r="G743" s="2" t="str">
        <f ca="1">VLOOKUP(A743,Sheet2!C:E,3,0)</f>
        <v>EG01-EG02-EG03</v>
      </c>
      <c r="H743" s="2" t="str">
        <f ca="1">VLOOKUP(A743,Sheet2!A:F,6,0)</f>
        <v>safaazidan44@gmail.com</v>
      </c>
      <c r="I743" s="2">
        <f ca="1">VLOOKUP(A743,Sheet2!C:G,5,0)</f>
        <v>0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3" t="s">
        <v>791</v>
      </c>
      <c r="B744" s="2" t="e">
        <f ca="1">VLOOKUP(A744,Sheet2!A:B,2,0)</f>
        <v>#N/A</v>
      </c>
      <c r="C744" s="1" t="s">
        <v>85</v>
      </c>
      <c r="D744" s="1" t="s">
        <v>25</v>
      </c>
      <c r="E744" s="1" t="s">
        <v>12</v>
      </c>
      <c r="F744" s="2" t="e">
        <f ca="1">VLOOKUP(A744,Sheet2!C:D,2,0)</f>
        <v>#N/A</v>
      </c>
      <c r="G744" s="2" t="e">
        <f ca="1">VLOOKUP(A744,Sheet2!C:E,3,0)</f>
        <v>#N/A</v>
      </c>
      <c r="H744" s="2" t="e">
        <f ca="1">VLOOKUP(A744,Sheet2!A:F,6,0)</f>
        <v>#N/A</v>
      </c>
      <c r="I744" s="2" t="e">
        <f ca="1">VLOOKUP(A744,Sheet2!C:G,5,0)</f>
        <v>#N/A</v>
      </c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3" t="s">
        <v>792</v>
      </c>
      <c r="B745" s="2">
        <f ca="1">VLOOKUP(A745,Sheet2!A:B,2,0)</f>
        <v>418150453208</v>
      </c>
      <c r="C745" s="1" t="s">
        <v>10</v>
      </c>
      <c r="D745" s="1" t="s">
        <v>25</v>
      </c>
      <c r="E745" s="1" t="s">
        <v>12</v>
      </c>
      <c r="F745" s="2">
        <f ca="1">VLOOKUP(A745,Sheet2!C:D,2,0)</f>
        <v>2840</v>
      </c>
      <c r="G745" s="2" t="str">
        <f ca="1">VLOOKUP(A745,Sheet2!C:E,3,0)</f>
        <v>EG01-EG02-EG03</v>
      </c>
      <c r="H745" s="2" t="str">
        <f ca="1">VLOOKUP(A745,Sheet2!A:F,6,0)</f>
        <v>Mariawahib600@gmail.com</v>
      </c>
      <c r="I745" s="2">
        <f ca="1">VLOOKUP(A745,Sheet2!C:G,5,0)</f>
        <v>0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3" t="s">
        <v>793</v>
      </c>
      <c r="B746" s="2">
        <f ca="1">VLOOKUP(A746,Sheet2!A:B,2,0)</f>
        <v>592102843710</v>
      </c>
      <c r="C746" s="2"/>
      <c r="D746" s="3" t="s">
        <v>63</v>
      </c>
      <c r="E746" s="1" t="s">
        <v>12</v>
      </c>
      <c r="F746" s="2">
        <f ca="1">VLOOKUP(A746,Sheet2!C:D,2,0)</f>
        <v>2841</v>
      </c>
      <c r="G746" s="2" t="str">
        <f ca="1">VLOOKUP(A746,Sheet2!C:E,3,0)</f>
        <v>EG07-EG08-EG09</v>
      </c>
      <c r="H746" s="2" t="str">
        <f ca="1">VLOOKUP(A746,Sheet2!A:F,6,0)</f>
        <v>khairykamal63@gmail.com</v>
      </c>
      <c r="I746" s="2">
        <f ca="1">VLOOKUP(A746,Sheet2!C:G,5,0)</f>
        <v>1003571622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3" t="s">
        <v>794</v>
      </c>
      <c r="B747" s="2">
        <f ca="1">VLOOKUP(A747,Sheet2!A:B,2,0)</f>
        <v>653130960231</v>
      </c>
      <c r="C747" s="2"/>
      <c r="D747" s="3" t="s">
        <v>63</v>
      </c>
      <c r="E747" s="1" t="s">
        <v>12</v>
      </c>
      <c r="F747" s="2" t="str">
        <f ca="1">VLOOKUP(A747,Sheet2!C:D,2,0)</f>
        <v>#N/A</v>
      </c>
      <c r="G747" s="2">
        <f ca="1">VLOOKUP(A747,Sheet2!C:E,3,0)</f>
        <v>0</v>
      </c>
      <c r="H747" s="2" t="str">
        <f ca="1">VLOOKUP(A747,Sheet2!A:F,6,0)</f>
        <v>mohamedhussain5078@gmail.com</v>
      </c>
      <c r="I747" s="2" t="str">
        <f ca="1">VLOOKUP(A747,Sheet2!C:G,5,0)</f>
        <v>01095569461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3" t="s">
        <v>795</v>
      </c>
      <c r="B748" s="2">
        <f ca="1">VLOOKUP(A748,Sheet2!A:B,2,0)</f>
        <v>127152579046</v>
      </c>
      <c r="C748" s="1" t="s">
        <v>85</v>
      </c>
      <c r="D748" s="1" t="s">
        <v>25</v>
      </c>
      <c r="E748" s="1" t="s">
        <v>12</v>
      </c>
      <c r="F748" s="2">
        <f ca="1">VLOOKUP(A748,Sheet2!C:D,2,0)</f>
        <v>2842</v>
      </c>
      <c r="G748" s="2" t="str">
        <f ca="1">VLOOKUP(A748,Sheet2!C:E,3,0)</f>
        <v>EG03-EG04-EG05-EG06</v>
      </c>
      <c r="H748" s="2" t="str">
        <f ca="1">VLOOKUP(A748,Sheet2!A:F,6,0)</f>
        <v>miss.shirengamal@yahoo.com</v>
      </c>
      <c r="I748" s="2" t="str">
        <f ca="1">VLOOKUP(A748,Sheet2!C:G,5,0)</f>
        <v>01276234136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3" t="s">
        <v>796</v>
      </c>
      <c r="B749" s="2" t="e">
        <f ca="1">VLOOKUP(A749,Sheet2!A:B,2,0)</f>
        <v>#N/A</v>
      </c>
      <c r="C749" s="2"/>
      <c r="D749" s="3" t="s">
        <v>63</v>
      </c>
      <c r="E749" s="1" t="s">
        <v>12</v>
      </c>
      <c r="F749" s="2" t="e">
        <f ca="1">VLOOKUP(A749,Sheet2!C:D,2,0)</f>
        <v>#N/A</v>
      </c>
      <c r="G749" s="2" t="e">
        <f ca="1">VLOOKUP(A749,Sheet2!C:E,3,0)</f>
        <v>#N/A</v>
      </c>
      <c r="H749" s="2" t="e">
        <f ca="1">VLOOKUP(A749,Sheet2!A:F,6,0)</f>
        <v>#N/A</v>
      </c>
      <c r="I749" s="2" t="e">
        <f ca="1">VLOOKUP(A749,Sheet2!C:G,5,0)</f>
        <v>#N/A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3" t="s">
        <v>797</v>
      </c>
      <c r="B750" s="2" t="e">
        <f ca="1">VLOOKUP(A750,Sheet2!A:B,2,0)</f>
        <v>#N/A</v>
      </c>
      <c r="C750" s="1" t="s">
        <v>301</v>
      </c>
      <c r="D750" s="1" t="s">
        <v>25</v>
      </c>
      <c r="E750" s="1" t="s">
        <v>12</v>
      </c>
      <c r="F750" s="2" t="e">
        <f ca="1">VLOOKUP(A750,Sheet2!C:D,2,0)</f>
        <v>#N/A</v>
      </c>
      <c r="G750" s="2" t="e">
        <f ca="1">VLOOKUP(A750,Sheet2!C:E,3,0)</f>
        <v>#N/A</v>
      </c>
      <c r="H750" s="2" t="e">
        <f ca="1">VLOOKUP(A750,Sheet2!A:F,6,0)</f>
        <v>#N/A</v>
      </c>
      <c r="I750" s="2" t="e">
        <f ca="1">VLOOKUP(A750,Sheet2!C:G,5,0)</f>
        <v>#N/A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3" t="s">
        <v>798</v>
      </c>
      <c r="B751" s="2" t="e">
        <f ca="1">VLOOKUP(A751,Sheet2!A:B,2,0)</f>
        <v>#N/A</v>
      </c>
      <c r="C751" s="1" t="s">
        <v>301</v>
      </c>
      <c r="D751" s="1" t="s">
        <v>25</v>
      </c>
      <c r="E751" s="1" t="s">
        <v>12</v>
      </c>
      <c r="F751" s="2" t="e">
        <f ca="1">VLOOKUP(A751,Sheet2!C:D,2,0)</f>
        <v>#N/A</v>
      </c>
      <c r="G751" s="2" t="e">
        <f ca="1">VLOOKUP(A751,Sheet2!C:E,3,0)</f>
        <v>#N/A</v>
      </c>
      <c r="H751" s="2" t="e">
        <f ca="1">VLOOKUP(A751,Sheet2!A:F,6,0)</f>
        <v>#N/A</v>
      </c>
      <c r="I751" s="2" t="e">
        <f ca="1">VLOOKUP(A751,Sheet2!C:G,5,0)</f>
        <v>#N/A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3" t="s">
        <v>799</v>
      </c>
      <c r="B752" s="2" t="e">
        <f ca="1">VLOOKUP(A752,Sheet2!A:B,2,0)</f>
        <v>#N/A</v>
      </c>
      <c r="C752" s="1" t="s">
        <v>301</v>
      </c>
      <c r="D752" s="1" t="s">
        <v>25</v>
      </c>
      <c r="E752" s="1" t="s">
        <v>12</v>
      </c>
      <c r="F752" s="2" t="e">
        <f ca="1">VLOOKUP(A752,Sheet2!C:D,2,0)</f>
        <v>#N/A</v>
      </c>
      <c r="G752" s="2" t="e">
        <f ca="1">VLOOKUP(A752,Sheet2!C:E,3,0)</f>
        <v>#N/A</v>
      </c>
      <c r="H752" s="2" t="e">
        <f ca="1">VLOOKUP(A752,Sheet2!A:F,6,0)</f>
        <v>#N/A</v>
      </c>
      <c r="I752" s="2" t="e">
        <f ca="1">VLOOKUP(A752,Sheet2!C:G,5,0)</f>
        <v>#N/A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3" t="s">
        <v>800</v>
      </c>
      <c r="B753" s="2">
        <f ca="1">VLOOKUP(A753,Sheet2!A:B,2,0)</f>
        <v>458108584108</v>
      </c>
      <c r="C753" s="1" t="s">
        <v>474</v>
      </c>
      <c r="D753" s="3" t="s">
        <v>801</v>
      </c>
      <c r="E753" s="1" t="s">
        <v>12</v>
      </c>
      <c r="F753" s="2">
        <f ca="1">VLOOKUP(A753,Sheet2!C:D,2,0)</f>
        <v>2851</v>
      </c>
      <c r="G753" s="2" t="str">
        <f ca="1">VLOOKUP(A753,Sheet2!C:E,3,0)</f>
        <v>EG10</v>
      </c>
      <c r="H753" s="2" t="str">
        <f ca="1">VLOOKUP(A753,Sheet2!A:F,6,0)</f>
        <v>faragreezk123@gmail.com</v>
      </c>
      <c r="I753" s="2" t="str">
        <f ca="1">VLOOKUP(A753,Sheet2!C:G,5,0)</f>
        <v>01064174270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3" t="s">
        <v>802</v>
      </c>
      <c r="B754" s="2" t="e">
        <f ca="1">VLOOKUP(A754,Sheet2!A:B,2,0)</f>
        <v>#N/A</v>
      </c>
      <c r="C754" s="2"/>
      <c r="D754" s="1" t="s">
        <v>475</v>
      </c>
      <c r="E754" s="1" t="s">
        <v>182</v>
      </c>
      <c r="F754" s="2" t="e">
        <f ca="1">VLOOKUP(A754,Sheet2!C:D,2,0)</f>
        <v>#N/A</v>
      </c>
      <c r="G754" s="2" t="e">
        <f ca="1">VLOOKUP(A754,Sheet2!C:E,3,0)</f>
        <v>#N/A</v>
      </c>
      <c r="H754" s="2" t="e">
        <f ca="1">VLOOKUP(A754,Sheet2!A:F,6,0)</f>
        <v>#N/A</v>
      </c>
      <c r="I754" s="2" t="e">
        <f ca="1">VLOOKUP(A754,Sheet2!C:G,5,0)</f>
        <v>#N/A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3" t="s">
        <v>803</v>
      </c>
      <c r="B755" s="2" t="e">
        <f ca="1">VLOOKUP(A755,Sheet2!A:B,2,0)</f>
        <v>#N/A</v>
      </c>
      <c r="C755" s="1" t="s">
        <v>301</v>
      </c>
      <c r="D755" s="3" t="s">
        <v>201</v>
      </c>
      <c r="E755" s="1" t="s">
        <v>12</v>
      </c>
      <c r="F755" s="2" t="e">
        <f ca="1">VLOOKUP(A755,Sheet2!C:D,2,0)</f>
        <v>#N/A</v>
      </c>
      <c r="G755" s="2" t="e">
        <f ca="1">VLOOKUP(A755,Sheet2!C:E,3,0)</f>
        <v>#N/A</v>
      </c>
      <c r="H755" s="2" t="e">
        <f ca="1">VLOOKUP(A755,Sheet2!A:F,6,0)</f>
        <v>#N/A</v>
      </c>
      <c r="I755" s="2" t="e">
        <f ca="1">VLOOKUP(A755,Sheet2!C:G,5,0)</f>
        <v>#N/A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3" t="s">
        <v>804</v>
      </c>
      <c r="B756" s="2">
        <f ca="1">VLOOKUP(A756,Sheet2!A:B,2,0)</f>
        <v>362130914353</v>
      </c>
      <c r="C756" s="1" t="s">
        <v>85</v>
      </c>
      <c r="D756" s="1" t="s">
        <v>25</v>
      </c>
      <c r="E756" s="1" t="s">
        <v>12</v>
      </c>
      <c r="F756" s="2">
        <f ca="1">VLOOKUP(A756,Sheet2!C:D,2,0)</f>
        <v>2852</v>
      </c>
      <c r="G756" s="2" t="str">
        <f ca="1">VLOOKUP(A756,Sheet2!C:E,3,0)</f>
        <v>EG4-EG5-EG6-EG7-EG8</v>
      </c>
      <c r="H756" s="2" t="str">
        <f ca="1">VLOOKUP(A756,Sheet2!A:F,6,0)</f>
        <v>sabitalbatal@gmail.com</v>
      </c>
      <c r="I756" s="2">
        <f ca="1">VLOOKUP(A756,Sheet2!C:G,5,0)</f>
        <v>0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3" t="s">
        <v>805</v>
      </c>
      <c r="B757" s="2">
        <f ca="1">VLOOKUP(A757,Sheet2!A:B,2,0)</f>
        <v>825149219294</v>
      </c>
      <c r="C757" s="1" t="s">
        <v>301</v>
      </c>
      <c r="D757" s="1" t="s">
        <v>170</v>
      </c>
      <c r="E757" s="1" t="s">
        <v>12</v>
      </c>
      <c r="F757" s="2">
        <f ca="1">VLOOKUP(A757,Sheet2!C:D,2,0)</f>
        <v>2832</v>
      </c>
      <c r="G757" s="2" t="str">
        <f ca="1">VLOOKUP(A757,Sheet2!C:E,3,0)</f>
        <v>EG07-EG08-EG09</v>
      </c>
      <c r="H757" s="2" t="str">
        <f ca="1">VLOOKUP(A757,Sheet2!A:F,6,0)</f>
        <v>bishoymagdy82@gmail.com</v>
      </c>
      <c r="I757" s="2" t="str">
        <f ca="1">VLOOKUP(A757,Sheet2!C:G,5,0)</f>
        <v>01226557050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3" t="s">
        <v>806</v>
      </c>
      <c r="B758" s="2" t="e">
        <f ca="1">VLOOKUP(A758,Sheet2!A:B,2,0)</f>
        <v>#N/A</v>
      </c>
      <c r="C758" s="1" t="s">
        <v>301</v>
      </c>
      <c r="D758" s="3" t="s">
        <v>201</v>
      </c>
      <c r="E758" s="1" t="s">
        <v>12</v>
      </c>
      <c r="F758" s="2" t="e">
        <f ca="1">VLOOKUP(A758,Sheet2!C:D,2,0)</f>
        <v>#N/A</v>
      </c>
      <c r="G758" s="2" t="e">
        <f ca="1">VLOOKUP(A758,Sheet2!C:E,3,0)</f>
        <v>#N/A</v>
      </c>
      <c r="H758" s="2" t="e">
        <f ca="1">VLOOKUP(A758,Sheet2!A:F,6,0)</f>
        <v>#N/A</v>
      </c>
      <c r="I758" s="2" t="e">
        <f ca="1">VLOOKUP(A758,Sheet2!C:G,5,0)</f>
        <v>#N/A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3" t="s">
        <v>807</v>
      </c>
      <c r="B759" s="2">
        <f ca="1">VLOOKUP(A759,Sheet2!A:B,2,0)</f>
        <v>518178303713</v>
      </c>
      <c r="C759" s="1" t="s">
        <v>301</v>
      </c>
      <c r="D759" s="3" t="s">
        <v>69</v>
      </c>
      <c r="E759" s="1" t="s">
        <v>12</v>
      </c>
      <c r="F759" s="2">
        <f ca="1">VLOOKUP(A759,Sheet2!C:D,2,0)</f>
        <v>2855</v>
      </c>
      <c r="G759" s="2" t="str">
        <f ca="1">VLOOKUP(A759,Sheet2!C:E,3,0)</f>
        <v>EG07-EG08-EG09</v>
      </c>
      <c r="H759" s="2" t="str">
        <f ca="1">VLOOKUP(A759,Sheet2!A:F,6,0)</f>
        <v>wegawega1989@gmail.com</v>
      </c>
      <c r="I759" s="2">
        <f ca="1">VLOOKUP(A759,Sheet2!C:G,5,0)</f>
        <v>0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3" t="s">
        <v>808</v>
      </c>
      <c r="B760" s="2" t="e">
        <f ca="1">VLOOKUP(A760,Sheet2!A:B,2,0)</f>
        <v>#N/A</v>
      </c>
      <c r="C760" s="1" t="s">
        <v>85</v>
      </c>
      <c r="D760" s="3" t="s">
        <v>69</v>
      </c>
      <c r="E760" s="1" t="s">
        <v>12</v>
      </c>
      <c r="F760" s="2" t="e">
        <f ca="1">VLOOKUP(A760,Sheet2!C:D,2,0)</f>
        <v>#N/A</v>
      </c>
      <c r="G760" s="2" t="e">
        <f ca="1">VLOOKUP(A760,Sheet2!C:E,3,0)</f>
        <v>#N/A</v>
      </c>
      <c r="H760" s="2" t="e">
        <f ca="1">VLOOKUP(A760,Sheet2!A:F,6,0)</f>
        <v>#N/A</v>
      </c>
      <c r="I760" s="2" t="e">
        <f ca="1">VLOOKUP(A760,Sheet2!C:G,5,0)</f>
        <v>#N/A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3" t="s">
        <v>809</v>
      </c>
      <c r="B761" s="2" t="e">
        <f ca="1">VLOOKUP(A761,Sheet2!A:B,2,0)</f>
        <v>#N/A</v>
      </c>
      <c r="C761" s="1" t="s">
        <v>301</v>
      </c>
      <c r="D761" s="1" t="s">
        <v>170</v>
      </c>
      <c r="E761" s="1" t="s">
        <v>12</v>
      </c>
      <c r="F761" s="2" t="e">
        <f ca="1">VLOOKUP(A761,Sheet2!C:D,2,0)</f>
        <v>#N/A</v>
      </c>
      <c r="G761" s="2" t="e">
        <f ca="1">VLOOKUP(A761,Sheet2!C:E,3,0)</f>
        <v>#N/A</v>
      </c>
      <c r="H761" s="2" t="e">
        <f ca="1">VLOOKUP(A761,Sheet2!A:F,6,0)</f>
        <v>#N/A</v>
      </c>
      <c r="I761" s="2" t="e">
        <f ca="1">VLOOKUP(A761,Sheet2!C:G,5,0)</f>
        <v>#N/A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3" t="s">
        <v>810</v>
      </c>
      <c r="B762" s="2" t="e">
        <f ca="1">VLOOKUP(A762,Sheet2!A:B,2,0)</f>
        <v>#N/A</v>
      </c>
      <c r="C762" s="1" t="s">
        <v>85</v>
      </c>
      <c r="D762" s="3" t="s">
        <v>201</v>
      </c>
      <c r="E762" s="1" t="s">
        <v>12</v>
      </c>
      <c r="F762" s="2" t="e">
        <f ca="1">VLOOKUP(A762,Sheet2!C:D,2,0)</f>
        <v>#N/A</v>
      </c>
      <c r="G762" s="2" t="e">
        <f ca="1">VLOOKUP(A762,Sheet2!C:E,3,0)</f>
        <v>#N/A</v>
      </c>
      <c r="H762" s="2" t="e">
        <f ca="1">VLOOKUP(A762,Sheet2!A:F,6,0)</f>
        <v>#N/A</v>
      </c>
      <c r="I762" s="2" t="e">
        <f ca="1">VLOOKUP(A762,Sheet2!C:G,5,0)</f>
        <v>#N/A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3" t="s">
        <v>811</v>
      </c>
      <c r="B763" s="2">
        <f ca="1">VLOOKUP(A763,Sheet2!A:B,2,0)</f>
        <v>123132713791</v>
      </c>
      <c r="C763" s="1" t="s">
        <v>85</v>
      </c>
      <c r="D763" s="3" t="s">
        <v>201</v>
      </c>
      <c r="E763" s="1" t="s">
        <v>12</v>
      </c>
      <c r="F763" s="2">
        <f ca="1">VLOOKUP(A763,Sheet2!C:D,2,0)</f>
        <v>2853</v>
      </c>
      <c r="G763" s="2" t="str">
        <f ca="1">VLOOKUP(A763,Sheet2!C:E,3,0)</f>
        <v>EG03-EG04-EG05-EG06</v>
      </c>
      <c r="H763" s="2" t="str">
        <f ca="1">VLOOKUP(A763,Sheet2!A:F,6,0)</f>
        <v>abdallah20111995@gmail.com</v>
      </c>
      <c r="I763" s="2">
        <f ca="1">VLOOKUP(A763,Sheet2!C:G,5,0)</f>
        <v>1117321211</v>
      </c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3" t="s">
        <v>812</v>
      </c>
      <c r="B764" s="2">
        <f ca="1">VLOOKUP(A764,Sheet2!A:B,2,0)</f>
        <v>375183747813</v>
      </c>
      <c r="C764" s="1" t="s">
        <v>10</v>
      </c>
      <c r="D764" s="3" t="s">
        <v>69</v>
      </c>
      <c r="E764" s="1" t="s">
        <v>12</v>
      </c>
      <c r="F764" s="2">
        <f ca="1">VLOOKUP(A764,Sheet2!C:D,2,0)</f>
        <v>2857</v>
      </c>
      <c r="G764" s="2" t="str">
        <f ca="1">VLOOKUP(A764,Sheet2!C:E,3,0)</f>
        <v>EG01-EG02-EG03</v>
      </c>
      <c r="H764" s="2" t="str">
        <f ca="1">VLOOKUP(A764,Sheet2!A:F,6,0)</f>
        <v>mostafaradwa190@gmail.com</v>
      </c>
      <c r="I764" s="2" t="str">
        <f ca="1">VLOOKUP(A764,Sheet2!C:G,5,0)</f>
        <v>01280110379</v>
      </c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3" t="s">
        <v>813</v>
      </c>
      <c r="B765" s="2" t="e">
        <f ca="1">VLOOKUP(A765,Sheet2!A:B,2,0)</f>
        <v>#N/A</v>
      </c>
      <c r="C765" s="1" t="s">
        <v>85</v>
      </c>
      <c r="D765" s="1" t="s">
        <v>25</v>
      </c>
      <c r="E765" s="1" t="s">
        <v>12</v>
      </c>
      <c r="F765" s="2" t="e">
        <f ca="1">VLOOKUP(A765,Sheet2!C:D,2,0)</f>
        <v>#N/A</v>
      </c>
      <c r="G765" s="2" t="e">
        <f ca="1">VLOOKUP(A765,Sheet2!C:E,3,0)</f>
        <v>#N/A</v>
      </c>
      <c r="H765" s="2" t="e">
        <f ca="1">VLOOKUP(A765,Sheet2!A:F,6,0)</f>
        <v>#N/A</v>
      </c>
      <c r="I765" s="2" t="e">
        <f ca="1">VLOOKUP(A765,Sheet2!C:G,5,0)</f>
        <v>#N/A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3" t="s">
        <v>814</v>
      </c>
      <c r="B766" s="2">
        <f ca="1">VLOOKUP(A766,Sheet2!A:B,2,0)</f>
        <v>979127456161</v>
      </c>
      <c r="C766" s="1" t="s">
        <v>85</v>
      </c>
      <c r="D766" s="1" t="s">
        <v>170</v>
      </c>
      <c r="E766" s="1" t="s">
        <v>12</v>
      </c>
      <c r="F766" s="2">
        <f ca="1">VLOOKUP(A766,Sheet2!C:D,2,0)</f>
        <v>2874</v>
      </c>
      <c r="G766" s="2" t="str">
        <f ca="1">VLOOKUP(A766,Sheet2!C:E,3,0)</f>
        <v>EG04-EG05-EG06</v>
      </c>
      <c r="H766" s="2" t="str">
        <f ca="1">VLOOKUP(A766,Sheet2!A:F,6,0)</f>
        <v>dadel7052@gmail.com</v>
      </c>
      <c r="I766" s="2" t="str">
        <f ca="1">VLOOKUP(A766,Sheet2!C:G,5,0)</f>
        <v>01095076094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3" t="s">
        <v>815</v>
      </c>
      <c r="B767" s="2">
        <f ca="1">VLOOKUP(A767,Sheet2!A:B,2,0)</f>
        <v>857187871618</v>
      </c>
      <c r="C767" s="1" t="s">
        <v>85</v>
      </c>
      <c r="D767" s="3" t="s">
        <v>63</v>
      </c>
      <c r="E767" s="1" t="s">
        <v>12</v>
      </c>
      <c r="F767" s="2">
        <f ca="1">VLOOKUP(A767,Sheet2!C:D,2,0)</f>
        <v>2870</v>
      </c>
      <c r="G767" s="2" t="str">
        <f ca="1">VLOOKUP(A767,Sheet2!C:E,3,0)</f>
        <v>EG03-EG04-EG05-EG06</v>
      </c>
      <c r="H767" s="2" t="str">
        <f ca="1">VLOOKUP(A767,Sheet2!A:F,6,0)</f>
        <v>gad17197@gmail.com</v>
      </c>
      <c r="I767" s="2" t="str">
        <f ca="1">VLOOKUP(A767,Sheet2!C:G,5,0)</f>
        <v>01005619745</v>
      </c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3" t="s">
        <v>816</v>
      </c>
      <c r="B768" s="2">
        <f ca="1">VLOOKUP(A768,Sheet2!A:B,2,0)</f>
        <v>892131842437</v>
      </c>
      <c r="C768" s="1" t="s">
        <v>10</v>
      </c>
      <c r="D768" s="1" t="s">
        <v>47</v>
      </c>
      <c r="E768" s="1" t="s">
        <v>12</v>
      </c>
      <c r="F768" s="2">
        <f ca="1">VLOOKUP(A768,Sheet2!C:D,2,0)</f>
        <v>2845</v>
      </c>
      <c r="G768" s="2" t="str">
        <f ca="1">VLOOKUP(A768,Sheet2!C:E,3,0)</f>
        <v>EG01-EG02-EG03</v>
      </c>
      <c r="H768" s="2" t="str">
        <f ca="1">VLOOKUP(A768,Sheet2!A:F,6,0)</f>
        <v>novasameh1@gmail.com</v>
      </c>
      <c r="I768" s="2" t="str">
        <f ca="1">VLOOKUP(A768,Sheet2!C:G,5,0)</f>
        <v>01122260857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3" t="s">
        <v>817</v>
      </c>
      <c r="B769" s="2" t="e">
        <f ca="1">VLOOKUP(A769,Sheet2!A:B,2,0)</f>
        <v>#N/A</v>
      </c>
      <c r="C769" s="1" t="s">
        <v>10</v>
      </c>
      <c r="D769" s="3" t="s">
        <v>69</v>
      </c>
      <c r="E769" s="1" t="s">
        <v>12</v>
      </c>
      <c r="F769" s="2" t="e">
        <f ca="1">VLOOKUP(A769,Sheet2!C:D,2,0)</f>
        <v>#N/A</v>
      </c>
      <c r="G769" s="2" t="e">
        <f ca="1">VLOOKUP(A769,Sheet2!C:E,3,0)</f>
        <v>#N/A</v>
      </c>
      <c r="H769" s="2" t="e">
        <f ca="1">VLOOKUP(A769,Sheet2!A:F,6,0)</f>
        <v>#N/A</v>
      </c>
      <c r="I769" s="2" t="e">
        <f ca="1">VLOOKUP(A769,Sheet2!C:G,5,0)</f>
        <v>#N/A</v>
      </c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3" t="s">
        <v>818</v>
      </c>
      <c r="B770" s="2" t="e">
        <f ca="1">VLOOKUP(A770,Sheet2!A:B,2,0)</f>
        <v>#N/A</v>
      </c>
      <c r="C770" s="1" t="s">
        <v>10</v>
      </c>
      <c r="D770" s="3" t="s">
        <v>69</v>
      </c>
      <c r="E770" s="1" t="s">
        <v>12</v>
      </c>
      <c r="F770" s="2" t="e">
        <f ca="1">VLOOKUP(A770,Sheet2!C:D,2,0)</f>
        <v>#N/A</v>
      </c>
      <c r="G770" s="2" t="e">
        <f ca="1">VLOOKUP(A770,Sheet2!C:E,3,0)</f>
        <v>#N/A</v>
      </c>
      <c r="H770" s="2" t="e">
        <f ca="1">VLOOKUP(A770,Sheet2!A:F,6,0)</f>
        <v>#N/A</v>
      </c>
      <c r="I770" s="2" t="e">
        <f ca="1">VLOOKUP(A770,Sheet2!C:G,5,0)</f>
        <v>#N/A</v>
      </c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3" t="s">
        <v>819</v>
      </c>
      <c r="B771" s="2" t="e">
        <f ca="1">VLOOKUP(A771,Sheet2!A:B,2,0)</f>
        <v>#N/A</v>
      </c>
      <c r="C771" s="1" t="s">
        <v>474</v>
      </c>
      <c r="D771" s="1" t="s">
        <v>499</v>
      </c>
      <c r="E771" s="1" t="s">
        <v>668</v>
      </c>
      <c r="F771" s="2" t="e">
        <f ca="1">VLOOKUP(A771,Sheet2!C:D,2,0)</f>
        <v>#N/A</v>
      </c>
      <c r="G771" s="2" t="e">
        <f ca="1">VLOOKUP(A771,Sheet2!C:E,3,0)</f>
        <v>#N/A</v>
      </c>
      <c r="H771" s="2" t="e">
        <f ca="1">VLOOKUP(A771,Sheet2!A:F,6,0)</f>
        <v>#N/A</v>
      </c>
      <c r="I771" s="2" t="e">
        <f ca="1">VLOOKUP(A771,Sheet2!C:G,5,0)</f>
        <v>#N/A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3" t="s">
        <v>820</v>
      </c>
      <c r="B772" s="2" t="e">
        <f ca="1">VLOOKUP(A772,Sheet2!A:B,2,0)</f>
        <v>#N/A</v>
      </c>
      <c r="C772" s="1" t="s">
        <v>85</v>
      </c>
      <c r="D772" s="3" t="s">
        <v>63</v>
      </c>
      <c r="E772" s="1" t="s">
        <v>668</v>
      </c>
      <c r="F772" s="2" t="e">
        <f ca="1">VLOOKUP(A772,Sheet2!C:D,2,0)</f>
        <v>#N/A</v>
      </c>
      <c r="G772" s="2" t="e">
        <f ca="1">VLOOKUP(A772,Sheet2!C:E,3,0)</f>
        <v>#N/A</v>
      </c>
      <c r="H772" s="2" t="e">
        <f ca="1">VLOOKUP(A772,Sheet2!A:F,6,0)</f>
        <v>#N/A</v>
      </c>
      <c r="I772" s="2" t="e">
        <f ca="1">VLOOKUP(A772,Sheet2!C:G,5,0)</f>
        <v>#N/A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3" t="s">
        <v>821</v>
      </c>
      <c r="B773" s="2" t="e">
        <f ca="1">VLOOKUP(A773,Sheet2!A:B,2,0)</f>
        <v>#N/A</v>
      </c>
      <c r="C773" s="1" t="s">
        <v>301</v>
      </c>
      <c r="D773" s="3" t="s">
        <v>69</v>
      </c>
      <c r="E773" s="1" t="s">
        <v>668</v>
      </c>
      <c r="F773" s="2" t="e">
        <f ca="1">VLOOKUP(A773,Sheet2!C:D,2,0)</f>
        <v>#N/A</v>
      </c>
      <c r="G773" s="2" t="e">
        <f ca="1">VLOOKUP(A773,Sheet2!C:E,3,0)</f>
        <v>#N/A</v>
      </c>
      <c r="H773" s="2" t="e">
        <f ca="1">VLOOKUP(A773,Sheet2!A:F,6,0)</f>
        <v>#N/A</v>
      </c>
      <c r="I773" s="2" t="e">
        <f ca="1">VLOOKUP(A773,Sheet2!C:G,5,0)</f>
        <v>#N/A</v>
      </c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3" t="s">
        <v>822</v>
      </c>
      <c r="B774" s="2" t="e">
        <f ca="1">VLOOKUP(A774,Sheet2!A:B,2,0)</f>
        <v>#N/A</v>
      </c>
      <c r="C774" s="1" t="s">
        <v>10</v>
      </c>
      <c r="D774" s="1" t="s">
        <v>25</v>
      </c>
      <c r="E774" s="1" t="s">
        <v>668</v>
      </c>
      <c r="F774" s="2" t="e">
        <f ca="1">VLOOKUP(A774,Sheet2!C:D,2,0)</f>
        <v>#N/A</v>
      </c>
      <c r="G774" s="2" t="e">
        <f ca="1">VLOOKUP(A774,Sheet2!C:E,3,0)</f>
        <v>#N/A</v>
      </c>
      <c r="H774" s="2" t="e">
        <f ca="1">VLOOKUP(A774,Sheet2!A:F,6,0)</f>
        <v>#N/A</v>
      </c>
      <c r="I774" s="2" t="e">
        <f ca="1">VLOOKUP(A774,Sheet2!C:G,5,0)</f>
        <v>#N/A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3" t="s">
        <v>823</v>
      </c>
      <c r="B775" s="2" t="e">
        <f ca="1">VLOOKUP(A775,Sheet2!A:B,2,0)</f>
        <v>#N/A</v>
      </c>
      <c r="C775" s="1" t="s">
        <v>301</v>
      </c>
      <c r="D775" s="3" t="s">
        <v>201</v>
      </c>
      <c r="E775" s="1" t="s">
        <v>668</v>
      </c>
      <c r="F775" s="2" t="e">
        <f ca="1">VLOOKUP(A775,Sheet2!C:D,2,0)</f>
        <v>#N/A</v>
      </c>
      <c r="G775" s="2" t="e">
        <f ca="1">VLOOKUP(A775,Sheet2!C:E,3,0)</f>
        <v>#N/A</v>
      </c>
      <c r="H775" s="2" t="e">
        <f ca="1">VLOOKUP(A775,Sheet2!A:F,6,0)</f>
        <v>#N/A</v>
      </c>
      <c r="I775" s="2" t="e">
        <f ca="1">VLOOKUP(A775,Sheet2!C:G,5,0)</f>
        <v>#N/A</v>
      </c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3" t="s">
        <v>824</v>
      </c>
      <c r="B776" s="2" t="e">
        <f ca="1">VLOOKUP(A776,Sheet2!A:B,2,0)</f>
        <v>#N/A</v>
      </c>
      <c r="C776" s="1" t="s">
        <v>85</v>
      </c>
      <c r="D776" s="3" t="s">
        <v>69</v>
      </c>
      <c r="E776" s="1" t="s">
        <v>668</v>
      </c>
      <c r="F776" s="2" t="e">
        <f ca="1">VLOOKUP(A776,Sheet2!C:D,2,0)</f>
        <v>#N/A</v>
      </c>
      <c r="G776" s="2" t="e">
        <f ca="1">VLOOKUP(A776,Sheet2!C:E,3,0)</f>
        <v>#N/A</v>
      </c>
      <c r="H776" s="2" t="e">
        <f ca="1">VLOOKUP(A776,Sheet2!A:F,6,0)</f>
        <v>#N/A</v>
      </c>
      <c r="I776" s="2" t="e">
        <f ca="1">VLOOKUP(A776,Sheet2!C:G,5,0)</f>
        <v>#N/A</v>
      </c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3" t="s">
        <v>825</v>
      </c>
      <c r="B777" s="2" t="e">
        <f ca="1">VLOOKUP(A777,Sheet2!A:B,2,0)</f>
        <v>#N/A</v>
      </c>
      <c r="C777" s="1" t="s">
        <v>301</v>
      </c>
      <c r="D777" s="3" t="s">
        <v>201</v>
      </c>
      <c r="E777" s="1" t="s">
        <v>668</v>
      </c>
      <c r="F777" s="2" t="e">
        <f ca="1">VLOOKUP(A777,Sheet2!C:D,2,0)</f>
        <v>#N/A</v>
      </c>
      <c r="G777" s="2" t="e">
        <f ca="1">VLOOKUP(A777,Sheet2!C:E,3,0)</f>
        <v>#N/A</v>
      </c>
      <c r="H777" s="2" t="e">
        <f ca="1">VLOOKUP(A777,Sheet2!A:F,6,0)</f>
        <v>#N/A</v>
      </c>
      <c r="I777" s="2" t="e">
        <f ca="1">VLOOKUP(A777,Sheet2!C:G,5,0)</f>
        <v>#N/A</v>
      </c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3" t="s">
        <v>826</v>
      </c>
      <c r="B778" s="2" t="e">
        <f ca="1">VLOOKUP(A778,Sheet2!A:B,2,0)</f>
        <v>#N/A</v>
      </c>
      <c r="C778" s="1" t="s">
        <v>301</v>
      </c>
      <c r="D778" s="3" t="s">
        <v>69</v>
      </c>
      <c r="E778" s="1" t="s">
        <v>668</v>
      </c>
      <c r="F778" s="2" t="e">
        <f ca="1">VLOOKUP(A778,Sheet2!C:D,2,0)</f>
        <v>#N/A</v>
      </c>
      <c r="G778" s="2" t="e">
        <f ca="1">VLOOKUP(A778,Sheet2!C:E,3,0)</f>
        <v>#N/A</v>
      </c>
      <c r="H778" s="2" t="e">
        <f ca="1">VLOOKUP(A778,Sheet2!A:F,6,0)</f>
        <v>#N/A</v>
      </c>
      <c r="I778" s="2" t="e">
        <f ca="1">VLOOKUP(A778,Sheet2!C:G,5,0)</f>
        <v>#N/A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60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7" max="7" width="27.140625" customWidth="1"/>
    <col min="8" max="8" width="20.5703125" customWidth="1"/>
    <col min="9" max="9" width="13.7109375" customWidth="1"/>
  </cols>
  <sheetData>
    <row r="1" spans="1:2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7" t="s">
        <v>9</v>
      </c>
      <c r="B2" s="8">
        <v>137198142829</v>
      </c>
      <c r="C2" s="8" t="s">
        <v>10</v>
      </c>
      <c r="D2" s="8" t="s">
        <v>11</v>
      </c>
      <c r="E2" s="8" t="s">
        <v>12</v>
      </c>
      <c r="F2" s="9">
        <v>1840</v>
      </c>
      <c r="G2" s="9" t="s">
        <v>827</v>
      </c>
      <c r="H2" s="9" t="s">
        <v>828</v>
      </c>
      <c r="I2" s="9" t="s">
        <v>829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>
      <c r="A3" s="7" t="s">
        <v>13</v>
      </c>
      <c r="B3" s="8">
        <v>193156013197</v>
      </c>
      <c r="C3" s="8" t="s">
        <v>10</v>
      </c>
      <c r="D3" s="8" t="s">
        <v>11</v>
      </c>
      <c r="E3" s="8" t="s">
        <v>14</v>
      </c>
      <c r="F3" s="10" t="s">
        <v>830</v>
      </c>
      <c r="G3" s="9" t="s">
        <v>831</v>
      </c>
      <c r="H3" s="9" t="s">
        <v>832</v>
      </c>
      <c r="I3" s="9" t="s">
        <v>833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7" t="s">
        <v>15</v>
      </c>
      <c r="B4" s="8">
        <v>838198456425</v>
      </c>
      <c r="C4" s="8" t="s">
        <v>10</v>
      </c>
      <c r="D4" s="8" t="s">
        <v>11</v>
      </c>
      <c r="E4" s="8" t="s">
        <v>14</v>
      </c>
      <c r="F4" s="10" t="s">
        <v>834</v>
      </c>
      <c r="G4" s="9" t="s">
        <v>831</v>
      </c>
      <c r="H4" s="9" t="s">
        <v>835</v>
      </c>
      <c r="I4" s="9" t="s">
        <v>836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7" t="s">
        <v>16</v>
      </c>
      <c r="B5" s="8">
        <v>209148542918</v>
      </c>
      <c r="C5" s="8" t="s">
        <v>10</v>
      </c>
      <c r="D5" s="8" t="s">
        <v>11</v>
      </c>
      <c r="E5" s="8" t="s">
        <v>14</v>
      </c>
      <c r="F5" s="10" t="s">
        <v>837</v>
      </c>
      <c r="G5" s="9" t="s">
        <v>838</v>
      </c>
      <c r="H5" s="9" t="s">
        <v>839</v>
      </c>
      <c r="I5" s="9" t="s">
        <v>840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7" t="s">
        <v>17</v>
      </c>
      <c r="B6" s="8">
        <v>105150134960</v>
      </c>
      <c r="C6" s="8" t="s">
        <v>10</v>
      </c>
      <c r="D6" s="8" t="s">
        <v>11</v>
      </c>
      <c r="E6" s="8" t="s">
        <v>14</v>
      </c>
      <c r="F6" s="10">
        <v>2212</v>
      </c>
      <c r="G6" s="9" t="s">
        <v>831</v>
      </c>
      <c r="H6" s="9" t="s">
        <v>841</v>
      </c>
      <c r="I6" s="9" t="s">
        <v>842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7" t="s">
        <v>18</v>
      </c>
      <c r="B7" s="8">
        <v>189108478931</v>
      </c>
      <c r="C7" s="8" t="s">
        <v>10</v>
      </c>
      <c r="D7" s="8" t="s">
        <v>11</v>
      </c>
      <c r="E7" s="8" t="s">
        <v>14</v>
      </c>
      <c r="F7" s="9">
        <v>2443</v>
      </c>
      <c r="G7" s="9" t="s">
        <v>831</v>
      </c>
      <c r="H7" s="9" t="s">
        <v>843</v>
      </c>
      <c r="I7" s="9" t="s">
        <v>844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7" t="s">
        <v>19</v>
      </c>
      <c r="B8" s="8">
        <v>919170561064</v>
      </c>
      <c r="C8" s="8" t="s">
        <v>10</v>
      </c>
      <c r="D8" s="8" t="s">
        <v>11</v>
      </c>
      <c r="E8" s="8" t="s">
        <v>14</v>
      </c>
      <c r="F8" s="9">
        <v>2561</v>
      </c>
      <c r="G8" s="9" t="s">
        <v>831</v>
      </c>
      <c r="H8" s="9" t="s">
        <v>845</v>
      </c>
      <c r="I8" s="9" t="s">
        <v>846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7" t="s">
        <v>20</v>
      </c>
      <c r="B9" s="8">
        <v>623157516497</v>
      </c>
      <c r="C9" s="8" t="s">
        <v>10</v>
      </c>
      <c r="D9" s="8" t="s">
        <v>11</v>
      </c>
      <c r="E9" s="8" t="s">
        <v>14</v>
      </c>
      <c r="F9" s="9">
        <v>2580</v>
      </c>
      <c r="G9" s="9" t="s">
        <v>831</v>
      </c>
      <c r="H9" s="9" t="s">
        <v>847</v>
      </c>
      <c r="I9" s="9" t="s">
        <v>848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7" t="s">
        <v>21</v>
      </c>
      <c r="B10" s="8">
        <v>634163474745</v>
      </c>
      <c r="C10" s="8" t="s">
        <v>10</v>
      </c>
      <c r="D10" s="8" t="s">
        <v>11</v>
      </c>
      <c r="E10" s="8" t="s">
        <v>14</v>
      </c>
      <c r="F10" s="9">
        <v>2722</v>
      </c>
      <c r="G10" s="9" t="s">
        <v>849</v>
      </c>
      <c r="H10" s="9" t="s">
        <v>850</v>
      </c>
      <c r="I10" s="9" t="s">
        <v>851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7" t="s">
        <v>22</v>
      </c>
      <c r="B11" s="8">
        <v>194190610534</v>
      </c>
      <c r="C11" s="8" t="s">
        <v>10</v>
      </c>
      <c r="D11" s="8" t="s">
        <v>11</v>
      </c>
      <c r="E11" s="8" t="s">
        <v>12</v>
      </c>
      <c r="F11" s="9">
        <v>2757</v>
      </c>
      <c r="G11" s="9" t="s">
        <v>852</v>
      </c>
      <c r="H11" s="9" t="s">
        <v>853</v>
      </c>
      <c r="I11" s="9" t="s">
        <v>854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7" t="s">
        <v>23</v>
      </c>
      <c r="B12" s="8">
        <v>148126371346</v>
      </c>
      <c r="C12" s="8" t="s">
        <v>10</v>
      </c>
      <c r="D12" s="8" t="s">
        <v>11</v>
      </c>
      <c r="E12" s="8" t="s">
        <v>12</v>
      </c>
      <c r="F12" s="9">
        <v>2745</v>
      </c>
      <c r="G12" s="9" t="s">
        <v>831</v>
      </c>
      <c r="H12" s="9" t="s">
        <v>855</v>
      </c>
      <c r="I12" s="9" t="s">
        <v>856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7" t="s">
        <v>24</v>
      </c>
      <c r="B13" s="8">
        <v>530189784630</v>
      </c>
      <c r="C13" s="8" t="s">
        <v>10</v>
      </c>
      <c r="D13" s="8" t="s">
        <v>25</v>
      </c>
      <c r="E13" s="8" t="s">
        <v>14</v>
      </c>
      <c r="F13" s="10" t="s">
        <v>857</v>
      </c>
      <c r="G13" s="9" t="s">
        <v>838</v>
      </c>
      <c r="H13" s="9" t="s">
        <v>858</v>
      </c>
      <c r="I13" s="9" t="s">
        <v>859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7" t="s">
        <v>26</v>
      </c>
      <c r="B14" s="8">
        <v>603187625747</v>
      </c>
      <c r="C14" s="8" t="s">
        <v>10</v>
      </c>
      <c r="D14" s="8" t="s">
        <v>25</v>
      </c>
      <c r="E14" s="8" t="s">
        <v>14</v>
      </c>
      <c r="F14" s="10" t="s">
        <v>860</v>
      </c>
      <c r="G14" s="9"/>
      <c r="H14" s="9" t="s">
        <v>861</v>
      </c>
      <c r="I14" s="9" t="s">
        <v>862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7" t="s">
        <v>27</v>
      </c>
      <c r="B15" s="8">
        <v>865121843486</v>
      </c>
      <c r="C15" s="8" t="s">
        <v>10</v>
      </c>
      <c r="D15" s="8" t="s">
        <v>25</v>
      </c>
      <c r="E15" s="8" t="s">
        <v>14</v>
      </c>
      <c r="F15" s="10" t="s">
        <v>863</v>
      </c>
      <c r="G15" s="9"/>
      <c r="H15" s="9" t="s">
        <v>864</v>
      </c>
      <c r="I15" s="9" t="s">
        <v>865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7" t="s">
        <v>28</v>
      </c>
      <c r="B16" s="8">
        <v>758108752769</v>
      </c>
      <c r="C16" s="8" t="s">
        <v>10</v>
      </c>
      <c r="D16" s="8" t="s">
        <v>25</v>
      </c>
      <c r="E16" s="8" t="s">
        <v>14</v>
      </c>
      <c r="F16" s="9">
        <v>2337</v>
      </c>
      <c r="G16" s="9"/>
      <c r="H16" s="9" t="s">
        <v>866</v>
      </c>
      <c r="I16" s="9" t="s">
        <v>867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7" t="s">
        <v>29</v>
      </c>
      <c r="B17" s="8">
        <v>426167021594</v>
      </c>
      <c r="C17" s="8" t="s">
        <v>10</v>
      </c>
      <c r="D17" s="8" t="s">
        <v>25</v>
      </c>
      <c r="E17" s="8" t="s">
        <v>14</v>
      </c>
      <c r="F17" s="9">
        <v>2519</v>
      </c>
      <c r="G17" s="9" t="s">
        <v>868</v>
      </c>
      <c r="H17" s="9" t="s">
        <v>869</v>
      </c>
      <c r="I17" s="9" t="s">
        <v>870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7" t="s">
        <v>30</v>
      </c>
      <c r="B18" s="8">
        <v>915139613231</v>
      </c>
      <c r="C18" s="8" t="s">
        <v>10</v>
      </c>
      <c r="D18" s="8" t="s">
        <v>25</v>
      </c>
      <c r="E18" s="8" t="s">
        <v>12</v>
      </c>
      <c r="F18" s="9">
        <v>2422</v>
      </c>
      <c r="G18" s="9" t="s">
        <v>871</v>
      </c>
      <c r="H18" s="9" t="s">
        <v>872</v>
      </c>
      <c r="I18" s="9" t="s">
        <v>873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7" t="s">
        <v>31</v>
      </c>
      <c r="B19" s="8">
        <v>598135839671</v>
      </c>
      <c r="C19" s="8" t="s">
        <v>10</v>
      </c>
      <c r="D19" s="8" t="s">
        <v>25</v>
      </c>
      <c r="E19" s="8" t="s">
        <v>14</v>
      </c>
      <c r="F19" s="9">
        <v>2493</v>
      </c>
      <c r="G19" s="9" t="s">
        <v>838</v>
      </c>
      <c r="H19" s="9" t="s">
        <v>874</v>
      </c>
      <c r="I19" s="9" t="s">
        <v>875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7" t="s">
        <v>32</v>
      </c>
      <c r="B20" s="8">
        <v>695139708380</v>
      </c>
      <c r="C20" s="8" t="s">
        <v>10</v>
      </c>
      <c r="D20" s="8" t="s">
        <v>25</v>
      </c>
      <c r="E20" s="8" t="s">
        <v>14</v>
      </c>
      <c r="F20" s="9">
        <v>2614</v>
      </c>
      <c r="G20" s="9" t="s">
        <v>838</v>
      </c>
      <c r="H20" s="9" t="s">
        <v>876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7" t="s">
        <v>33</v>
      </c>
      <c r="B21" s="8">
        <v>967160462696</v>
      </c>
      <c r="C21" s="8" t="s">
        <v>10</v>
      </c>
      <c r="D21" s="8" t="s">
        <v>25</v>
      </c>
      <c r="E21" s="8" t="s">
        <v>14</v>
      </c>
      <c r="F21" s="9">
        <v>2643</v>
      </c>
      <c r="G21" s="9" t="s">
        <v>877</v>
      </c>
      <c r="H21" s="9" t="s">
        <v>878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7" t="s">
        <v>34</v>
      </c>
      <c r="B22" s="8">
        <v>135178965350</v>
      </c>
      <c r="C22" s="8" t="s">
        <v>10</v>
      </c>
      <c r="D22" s="8" t="s">
        <v>25</v>
      </c>
      <c r="E22" s="8" t="s">
        <v>35</v>
      </c>
      <c r="F22" s="9">
        <v>2642</v>
      </c>
      <c r="G22" s="9" t="s">
        <v>877</v>
      </c>
      <c r="H22" s="9" t="s">
        <v>879</v>
      </c>
      <c r="I22" s="9" t="s">
        <v>880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7" t="s">
        <v>36</v>
      </c>
      <c r="B23" s="8">
        <v>930131871381</v>
      </c>
      <c r="C23" s="8" t="s">
        <v>10</v>
      </c>
      <c r="D23" s="8" t="s">
        <v>25</v>
      </c>
      <c r="E23" s="8" t="s">
        <v>14</v>
      </c>
      <c r="F23" s="9">
        <v>2715</v>
      </c>
      <c r="G23" s="9" t="s">
        <v>881</v>
      </c>
      <c r="H23" s="9" t="s">
        <v>882</v>
      </c>
      <c r="I23" s="9">
        <v>1013586544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7" t="s">
        <v>37</v>
      </c>
      <c r="B24" s="8">
        <v>208148393089</v>
      </c>
      <c r="C24" s="8" t="s">
        <v>10</v>
      </c>
      <c r="D24" s="8" t="s">
        <v>25</v>
      </c>
      <c r="E24" s="8" t="s">
        <v>14</v>
      </c>
      <c r="F24" s="9">
        <v>2695</v>
      </c>
      <c r="G24" s="9" t="s">
        <v>877</v>
      </c>
      <c r="H24" s="9" t="s">
        <v>883</v>
      </c>
      <c r="I24" s="9" t="s">
        <v>884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7" t="s">
        <v>38</v>
      </c>
      <c r="B25" s="8">
        <v>406159296081</v>
      </c>
      <c r="C25" s="8" t="s">
        <v>10</v>
      </c>
      <c r="D25" s="8" t="s">
        <v>25</v>
      </c>
      <c r="E25" s="8" t="s">
        <v>14</v>
      </c>
      <c r="F25" s="9">
        <v>2730</v>
      </c>
      <c r="G25" s="9" t="s">
        <v>852</v>
      </c>
      <c r="H25" s="9" t="s">
        <v>885</v>
      </c>
      <c r="I25" s="9" t="s">
        <v>886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7" t="s">
        <v>39</v>
      </c>
      <c r="B26" s="8">
        <v>586170564150</v>
      </c>
      <c r="C26" s="8" t="s">
        <v>10</v>
      </c>
      <c r="D26" s="8" t="s">
        <v>25</v>
      </c>
      <c r="E26" s="8" t="s">
        <v>14</v>
      </c>
      <c r="F26" s="9">
        <v>2629</v>
      </c>
      <c r="G26" s="9" t="s">
        <v>852</v>
      </c>
      <c r="H26" s="9" t="s">
        <v>887</v>
      </c>
      <c r="I26" s="9" t="s">
        <v>888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7" t="s">
        <v>40</v>
      </c>
      <c r="B27" s="8">
        <v>450190591429</v>
      </c>
      <c r="C27" s="8" t="s">
        <v>10</v>
      </c>
      <c r="D27" s="8" t="s">
        <v>25</v>
      </c>
      <c r="E27" s="8" t="s">
        <v>14</v>
      </c>
      <c r="F27" s="9">
        <v>2781</v>
      </c>
      <c r="G27" s="9" t="s">
        <v>852</v>
      </c>
      <c r="H27" s="9" t="s">
        <v>889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7" t="s">
        <v>41</v>
      </c>
      <c r="B28" s="8">
        <v>618168909236</v>
      </c>
      <c r="C28" s="8" t="s">
        <v>10</v>
      </c>
      <c r="D28" s="8" t="s">
        <v>25</v>
      </c>
      <c r="E28" s="8" t="s">
        <v>14</v>
      </c>
      <c r="F28" s="9">
        <v>2784</v>
      </c>
      <c r="G28" s="9" t="s">
        <v>849</v>
      </c>
      <c r="H28" s="9" t="s">
        <v>890</v>
      </c>
      <c r="I28" s="9" t="s">
        <v>891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7" t="s">
        <v>42</v>
      </c>
      <c r="B29" s="8">
        <v>729171317072</v>
      </c>
      <c r="C29" s="8" t="s">
        <v>10</v>
      </c>
      <c r="D29" s="8" t="s">
        <v>25</v>
      </c>
      <c r="E29" s="8" t="s">
        <v>14</v>
      </c>
      <c r="F29" s="9">
        <v>2771</v>
      </c>
      <c r="G29" s="9" t="s">
        <v>849</v>
      </c>
      <c r="H29" s="9" t="s">
        <v>892</v>
      </c>
      <c r="I29" s="9" t="s">
        <v>893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7" t="s">
        <v>43</v>
      </c>
      <c r="B30" s="8">
        <v>898178084762</v>
      </c>
      <c r="C30" s="8" t="s">
        <v>10</v>
      </c>
      <c r="D30" s="8" t="s">
        <v>25</v>
      </c>
      <c r="E30" s="8" t="s">
        <v>12</v>
      </c>
      <c r="F30" s="9">
        <v>2783</v>
      </c>
      <c r="G30" s="9" t="s">
        <v>849</v>
      </c>
      <c r="H30" s="9" t="s">
        <v>894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7" t="s">
        <v>44</v>
      </c>
      <c r="B31" s="8">
        <v>193161234392</v>
      </c>
      <c r="C31" s="8" t="s">
        <v>10</v>
      </c>
      <c r="D31" s="8" t="s">
        <v>25</v>
      </c>
      <c r="E31" s="8" t="s">
        <v>35</v>
      </c>
      <c r="F31" s="9">
        <v>2779</v>
      </c>
      <c r="G31" s="9" t="s">
        <v>831</v>
      </c>
      <c r="H31" s="9" t="s">
        <v>895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7" t="s">
        <v>45</v>
      </c>
      <c r="B32" s="8">
        <v>439182479634</v>
      </c>
      <c r="C32" s="8" t="s">
        <v>10</v>
      </c>
      <c r="D32" s="8" t="s">
        <v>25</v>
      </c>
      <c r="E32" s="8" t="s">
        <v>14</v>
      </c>
      <c r="F32" s="9">
        <v>2807</v>
      </c>
      <c r="G32" s="9" t="s">
        <v>852</v>
      </c>
      <c r="H32" s="9" t="s">
        <v>896</v>
      </c>
      <c r="I32" s="9" t="s">
        <v>897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7" t="s">
        <v>46</v>
      </c>
      <c r="B33" s="8">
        <v>363152838573</v>
      </c>
      <c r="C33" s="8" t="s">
        <v>10</v>
      </c>
      <c r="D33" s="8" t="s">
        <v>47</v>
      </c>
      <c r="E33" s="8" t="s">
        <v>14</v>
      </c>
      <c r="F33" s="10" t="s">
        <v>898</v>
      </c>
      <c r="G33" s="9"/>
      <c r="H33" s="9" t="s">
        <v>899</v>
      </c>
      <c r="I33" s="9" t="s">
        <v>900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7" t="s">
        <v>48</v>
      </c>
      <c r="B34" s="8">
        <v>628128564178</v>
      </c>
      <c r="C34" s="8" t="s">
        <v>10</v>
      </c>
      <c r="D34" s="8" t="s">
        <v>47</v>
      </c>
      <c r="E34" s="8" t="s">
        <v>14</v>
      </c>
      <c r="F34" s="10" t="s">
        <v>901</v>
      </c>
      <c r="G34" s="9"/>
      <c r="H34" s="9" t="s">
        <v>902</v>
      </c>
      <c r="I34" s="9" t="s">
        <v>903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7" t="s">
        <v>49</v>
      </c>
      <c r="B35" s="8">
        <v>832181306187</v>
      </c>
      <c r="C35" s="8" t="s">
        <v>10</v>
      </c>
      <c r="D35" s="8" t="s">
        <v>47</v>
      </c>
      <c r="E35" s="8" t="s">
        <v>12</v>
      </c>
      <c r="F35" s="9">
        <v>2436</v>
      </c>
      <c r="G35" s="9" t="s">
        <v>849</v>
      </c>
      <c r="H35" s="9" t="s">
        <v>904</v>
      </c>
      <c r="I35" s="9" t="s">
        <v>905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7" t="s">
        <v>50</v>
      </c>
      <c r="B36" s="8">
        <v>617181867475</v>
      </c>
      <c r="C36" s="8" t="s">
        <v>10</v>
      </c>
      <c r="D36" s="8" t="s">
        <v>47</v>
      </c>
      <c r="E36" s="8" t="s">
        <v>14</v>
      </c>
      <c r="F36" s="9">
        <v>2428</v>
      </c>
      <c r="G36" s="9" t="s">
        <v>849</v>
      </c>
      <c r="H36" s="9" t="s">
        <v>906</v>
      </c>
      <c r="I36" s="9" t="s">
        <v>907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7" t="s">
        <v>51</v>
      </c>
      <c r="B37" s="8">
        <v>957197456092</v>
      </c>
      <c r="C37" s="8" t="s">
        <v>10</v>
      </c>
      <c r="D37" s="8" t="s">
        <v>47</v>
      </c>
      <c r="E37" s="8" t="s">
        <v>14</v>
      </c>
      <c r="F37" s="9">
        <v>2427</v>
      </c>
      <c r="G37" s="9" t="s">
        <v>831</v>
      </c>
      <c r="H37" s="9" t="s">
        <v>908</v>
      </c>
      <c r="I37" s="9" t="s">
        <v>909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7" t="s">
        <v>52</v>
      </c>
      <c r="B38" s="8">
        <v>896191427156</v>
      </c>
      <c r="C38" s="8" t="s">
        <v>10</v>
      </c>
      <c r="D38" s="8" t="s">
        <v>47</v>
      </c>
      <c r="E38" s="8" t="s">
        <v>14</v>
      </c>
      <c r="F38" s="9">
        <v>2440</v>
      </c>
      <c r="G38" s="9" t="s">
        <v>831</v>
      </c>
      <c r="H38" s="9" t="s">
        <v>910</v>
      </c>
      <c r="I38" s="9" t="s">
        <v>911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7" t="s">
        <v>53</v>
      </c>
      <c r="B39" s="8">
        <v>304149687570</v>
      </c>
      <c r="C39" s="8" t="s">
        <v>10</v>
      </c>
      <c r="D39" s="8" t="s">
        <v>47</v>
      </c>
      <c r="E39" s="8" t="s">
        <v>14</v>
      </c>
      <c r="F39" s="9">
        <v>2454</v>
      </c>
      <c r="G39" s="9" t="s">
        <v>831</v>
      </c>
      <c r="H39" s="9" t="s">
        <v>912</v>
      </c>
      <c r="I39" s="9" t="s">
        <v>913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7" t="s">
        <v>54</v>
      </c>
      <c r="B40" s="8">
        <v>590135797239</v>
      </c>
      <c r="C40" s="8" t="s">
        <v>10</v>
      </c>
      <c r="D40" s="8" t="s">
        <v>47</v>
      </c>
      <c r="E40" s="8" t="s">
        <v>14</v>
      </c>
      <c r="F40" s="9">
        <v>2447</v>
      </c>
      <c r="G40" s="9" t="s">
        <v>838</v>
      </c>
      <c r="H40" s="9" t="s">
        <v>914</v>
      </c>
      <c r="I40" s="9" t="s">
        <v>915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7" t="s">
        <v>55</v>
      </c>
      <c r="B41" s="8">
        <v>142195036319</v>
      </c>
      <c r="C41" s="8" t="s">
        <v>10</v>
      </c>
      <c r="D41" s="8" t="s">
        <v>47</v>
      </c>
      <c r="E41" s="8" t="s">
        <v>14</v>
      </c>
      <c r="F41" s="9">
        <v>2445</v>
      </c>
      <c r="G41" s="9" t="s">
        <v>849</v>
      </c>
      <c r="H41" s="9" t="s">
        <v>916</v>
      </c>
      <c r="I41" s="9" t="s">
        <v>917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7" t="s">
        <v>56</v>
      </c>
      <c r="B42" s="8">
        <v>927186502806</v>
      </c>
      <c r="C42" s="8" t="s">
        <v>10</v>
      </c>
      <c r="D42" s="8" t="s">
        <v>47</v>
      </c>
      <c r="E42" s="8" t="s">
        <v>14</v>
      </c>
      <c r="F42" s="9">
        <v>2596</v>
      </c>
      <c r="G42" s="9" t="s">
        <v>838</v>
      </c>
      <c r="H42" s="9" t="s">
        <v>918</v>
      </c>
      <c r="I42" s="9" t="s">
        <v>919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7" t="s">
        <v>57</v>
      </c>
      <c r="B43" s="8">
        <v>498123203923</v>
      </c>
      <c r="C43" s="8" t="s">
        <v>10</v>
      </c>
      <c r="D43" s="8" t="s">
        <v>47</v>
      </c>
      <c r="E43" s="8" t="s">
        <v>14</v>
      </c>
      <c r="F43" s="9">
        <v>2055</v>
      </c>
      <c r="G43" s="9" t="s">
        <v>831</v>
      </c>
      <c r="H43" s="9" t="s">
        <v>920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7" t="s">
        <v>58</v>
      </c>
      <c r="B44" s="8">
        <v>206164640790</v>
      </c>
      <c r="C44" s="8" t="s">
        <v>10</v>
      </c>
      <c r="D44" s="8" t="s">
        <v>47</v>
      </c>
      <c r="E44" s="8" t="s">
        <v>14</v>
      </c>
      <c r="F44" s="9">
        <v>2623</v>
      </c>
      <c r="G44" s="9" t="s">
        <v>849</v>
      </c>
      <c r="H44" s="9" t="s">
        <v>921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7" t="s">
        <v>59</v>
      </c>
      <c r="B45" s="8">
        <v>852141603272</v>
      </c>
      <c r="C45" s="8" t="s">
        <v>10</v>
      </c>
      <c r="D45" s="7" t="s">
        <v>60</v>
      </c>
      <c r="E45" s="8" t="s">
        <v>14</v>
      </c>
      <c r="F45" s="10" t="s">
        <v>922</v>
      </c>
      <c r="G45" s="9" t="s">
        <v>877</v>
      </c>
      <c r="H45" s="9" t="s">
        <v>923</v>
      </c>
      <c r="I45" s="9" t="s">
        <v>924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7" t="s">
        <v>61</v>
      </c>
      <c r="B46" s="8">
        <v>387193739376</v>
      </c>
      <c r="C46" s="8" t="s">
        <v>10</v>
      </c>
      <c r="D46" s="7" t="s">
        <v>60</v>
      </c>
      <c r="E46" s="8" t="s">
        <v>14</v>
      </c>
      <c r="F46" s="10" t="s">
        <v>925</v>
      </c>
      <c r="G46" s="9" t="s">
        <v>926</v>
      </c>
      <c r="H46" s="9" t="s">
        <v>927</v>
      </c>
      <c r="I46" s="9" t="s">
        <v>928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7" t="s">
        <v>62</v>
      </c>
      <c r="B47" s="8">
        <v>162170576960</v>
      </c>
      <c r="C47" s="8" t="s">
        <v>10</v>
      </c>
      <c r="D47" s="7" t="s">
        <v>63</v>
      </c>
      <c r="E47" s="8" t="s">
        <v>14</v>
      </c>
      <c r="F47" s="10" t="s">
        <v>929</v>
      </c>
      <c r="G47" s="9"/>
      <c r="H47" s="9" t="s">
        <v>930</v>
      </c>
      <c r="I47" s="9" t="s">
        <v>931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7" t="s">
        <v>64</v>
      </c>
      <c r="B48" s="8">
        <v>797175802139</v>
      </c>
      <c r="C48" s="8" t="s">
        <v>10</v>
      </c>
      <c r="D48" s="7" t="s">
        <v>63</v>
      </c>
      <c r="E48" s="8" t="s">
        <v>14</v>
      </c>
      <c r="F48" s="10" t="s">
        <v>932</v>
      </c>
      <c r="G48" s="9"/>
      <c r="H48" s="9" t="s">
        <v>933</v>
      </c>
      <c r="I48" s="9" t="s">
        <v>934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7" t="s">
        <v>65</v>
      </c>
      <c r="B49" s="8">
        <v>374143640395</v>
      </c>
      <c r="C49" s="8" t="s">
        <v>10</v>
      </c>
      <c r="D49" s="7" t="s">
        <v>63</v>
      </c>
      <c r="E49" s="8" t="s">
        <v>14</v>
      </c>
      <c r="F49" s="9">
        <v>2473</v>
      </c>
      <c r="G49" s="9" t="s">
        <v>849</v>
      </c>
      <c r="H49" s="9" t="s">
        <v>935</v>
      </c>
      <c r="I49" s="9" t="s">
        <v>936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7" t="s">
        <v>66</v>
      </c>
      <c r="B50" s="8">
        <v>318195473726</v>
      </c>
      <c r="C50" s="8" t="s">
        <v>10</v>
      </c>
      <c r="D50" s="7" t="s">
        <v>63</v>
      </c>
      <c r="E50" s="8" t="s">
        <v>12</v>
      </c>
      <c r="F50" s="9">
        <v>2072</v>
      </c>
      <c r="G50" s="9" t="s">
        <v>831</v>
      </c>
      <c r="H50" s="9" t="s">
        <v>937</v>
      </c>
      <c r="I50" s="9" t="s">
        <v>938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7" t="s">
        <v>67</v>
      </c>
      <c r="B51" s="8">
        <v>310146136271</v>
      </c>
      <c r="C51" s="8" t="s">
        <v>10</v>
      </c>
      <c r="D51" s="7" t="s">
        <v>63</v>
      </c>
      <c r="E51" s="8" t="s">
        <v>12</v>
      </c>
      <c r="F51" s="9">
        <v>2702</v>
      </c>
      <c r="G51" s="9" t="s">
        <v>849</v>
      </c>
      <c r="H51" s="9" t="s">
        <v>939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7" t="s">
        <v>68</v>
      </c>
      <c r="B52" s="8">
        <v>376107598539</v>
      </c>
      <c r="C52" s="8" t="s">
        <v>10</v>
      </c>
      <c r="D52" s="7" t="s">
        <v>69</v>
      </c>
      <c r="E52" s="8" t="s">
        <v>14</v>
      </c>
      <c r="F52" s="10" t="s">
        <v>940</v>
      </c>
      <c r="G52" s="9" t="s">
        <v>849</v>
      </c>
      <c r="H52" s="9" t="s">
        <v>941</v>
      </c>
      <c r="I52" s="9" t="s">
        <v>942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7" t="s">
        <v>70</v>
      </c>
      <c r="B53" s="8">
        <v>538160861310</v>
      </c>
      <c r="C53" s="8" t="s">
        <v>10</v>
      </c>
      <c r="D53" s="7" t="s">
        <v>69</v>
      </c>
      <c r="E53" s="8" t="s">
        <v>14</v>
      </c>
      <c r="F53" s="10" t="s">
        <v>943</v>
      </c>
      <c r="G53" s="9" t="s">
        <v>831</v>
      </c>
      <c r="H53" s="9" t="s">
        <v>944</v>
      </c>
      <c r="I53" s="9" t="s">
        <v>945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7" t="s">
        <v>71</v>
      </c>
      <c r="B54" s="8">
        <v>486125208283</v>
      </c>
      <c r="C54" s="8" t="s">
        <v>10</v>
      </c>
      <c r="D54" s="7" t="s">
        <v>69</v>
      </c>
      <c r="E54" s="8" t="s">
        <v>14</v>
      </c>
      <c r="F54" s="10" t="s">
        <v>946</v>
      </c>
      <c r="G54" s="9" t="s">
        <v>849</v>
      </c>
      <c r="H54" s="9" t="s">
        <v>947</v>
      </c>
      <c r="I54" s="9" t="s">
        <v>948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7" t="s">
        <v>72</v>
      </c>
      <c r="B55" s="8">
        <v>689140818514</v>
      </c>
      <c r="C55" s="8" t="s">
        <v>10</v>
      </c>
      <c r="D55" s="7" t="s">
        <v>69</v>
      </c>
      <c r="E55" s="8" t="s">
        <v>14</v>
      </c>
      <c r="F55" s="10" t="s">
        <v>949</v>
      </c>
      <c r="G55" s="9" t="s">
        <v>849</v>
      </c>
      <c r="H55" s="9" t="s">
        <v>950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7" t="s">
        <v>73</v>
      </c>
      <c r="B56" s="8">
        <v>948108182631</v>
      </c>
      <c r="C56" s="8" t="s">
        <v>10</v>
      </c>
      <c r="D56" s="7" t="s">
        <v>69</v>
      </c>
      <c r="E56" s="8" t="s">
        <v>14</v>
      </c>
      <c r="F56" s="10" t="s">
        <v>951</v>
      </c>
      <c r="G56" s="9" t="s">
        <v>952</v>
      </c>
      <c r="H56" s="9" t="s">
        <v>953</v>
      </c>
      <c r="I56" s="9" t="s">
        <v>954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7" t="s">
        <v>74</v>
      </c>
      <c r="B57" s="8">
        <v>215195154738</v>
      </c>
      <c r="C57" s="8" t="s">
        <v>10</v>
      </c>
      <c r="D57" s="7" t="s">
        <v>69</v>
      </c>
      <c r="E57" s="8" t="s">
        <v>14</v>
      </c>
      <c r="F57" s="9">
        <v>2441</v>
      </c>
      <c r="G57" s="9" t="s">
        <v>831</v>
      </c>
      <c r="H57" s="9" t="s">
        <v>955</v>
      </c>
      <c r="I57" s="9" t="s">
        <v>956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7" t="s">
        <v>75</v>
      </c>
      <c r="B58" s="8">
        <v>257176871480</v>
      </c>
      <c r="C58" s="8" t="s">
        <v>10</v>
      </c>
      <c r="D58" s="7" t="s">
        <v>69</v>
      </c>
      <c r="E58" s="8" t="s">
        <v>14</v>
      </c>
      <c r="F58" s="9">
        <v>2461</v>
      </c>
      <c r="G58" s="9" t="s">
        <v>831</v>
      </c>
      <c r="H58" s="9" t="s">
        <v>957</v>
      </c>
      <c r="I58" s="9" t="s">
        <v>958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7" t="s">
        <v>76</v>
      </c>
      <c r="B59" s="8">
        <v>183129070275</v>
      </c>
      <c r="C59" s="8" t="s">
        <v>10</v>
      </c>
      <c r="D59" s="7" t="s">
        <v>69</v>
      </c>
      <c r="E59" s="8" t="s">
        <v>14</v>
      </c>
      <c r="F59" s="9">
        <v>2458</v>
      </c>
      <c r="G59" s="9" t="s">
        <v>831</v>
      </c>
      <c r="H59" s="9" t="s">
        <v>959</v>
      </c>
      <c r="I59" s="9" t="s">
        <v>960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7" t="s">
        <v>77</v>
      </c>
      <c r="B60" s="8">
        <v>573149872824</v>
      </c>
      <c r="C60" s="8" t="s">
        <v>10</v>
      </c>
      <c r="D60" s="7" t="s">
        <v>69</v>
      </c>
      <c r="E60" s="8" t="s">
        <v>14</v>
      </c>
      <c r="F60" s="9">
        <v>2491</v>
      </c>
      <c r="G60" s="9" t="s">
        <v>831</v>
      </c>
      <c r="H60" s="9" t="s">
        <v>961</v>
      </c>
      <c r="I60" s="9" t="s">
        <v>962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7" t="s">
        <v>78</v>
      </c>
      <c r="B61" s="8">
        <v>974169434219</v>
      </c>
      <c r="C61" s="8" t="s">
        <v>10</v>
      </c>
      <c r="D61" s="7" t="s">
        <v>69</v>
      </c>
      <c r="E61" s="8" t="s">
        <v>12</v>
      </c>
      <c r="F61" s="9">
        <v>2448</v>
      </c>
      <c r="G61" s="9" t="s">
        <v>831</v>
      </c>
      <c r="H61" s="9" t="s">
        <v>963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7" t="s">
        <v>79</v>
      </c>
      <c r="B62" s="8">
        <v>574161321575</v>
      </c>
      <c r="C62" s="8" t="s">
        <v>10</v>
      </c>
      <c r="D62" s="7" t="s">
        <v>69</v>
      </c>
      <c r="E62" s="8" t="s">
        <v>14</v>
      </c>
      <c r="F62" s="9">
        <v>2581</v>
      </c>
      <c r="G62" s="9" t="s">
        <v>831</v>
      </c>
      <c r="H62" s="9" t="s">
        <v>964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7" t="s">
        <v>80</v>
      </c>
      <c r="B63" s="8">
        <v>879135754897</v>
      </c>
      <c r="C63" s="8" t="s">
        <v>10</v>
      </c>
      <c r="D63" s="7" t="s">
        <v>69</v>
      </c>
      <c r="E63" s="8" t="s">
        <v>14</v>
      </c>
      <c r="F63" s="9">
        <v>2619</v>
      </c>
      <c r="G63" s="9" t="s">
        <v>831</v>
      </c>
      <c r="H63" s="9" t="s">
        <v>965</v>
      </c>
      <c r="I63" s="9" t="s">
        <v>966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7" t="s">
        <v>81</v>
      </c>
      <c r="B64" s="8">
        <v>865163793520</v>
      </c>
      <c r="C64" s="8" t="s">
        <v>10</v>
      </c>
      <c r="D64" s="7" t="s">
        <v>69</v>
      </c>
      <c r="E64" s="8" t="s">
        <v>14</v>
      </c>
      <c r="F64" s="9">
        <v>2703</v>
      </c>
      <c r="G64" s="9" t="s">
        <v>852</v>
      </c>
      <c r="H64" s="9" t="s">
        <v>967</v>
      </c>
      <c r="I64" s="9">
        <v>1006108593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7" t="s">
        <v>82</v>
      </c>
      <c r="B65" s="8">
        <v>923168406232</v>
      </c>
      <c r="C65" s="8" t="s">
        <v>10</v>
      </c>
      <c r="D65" s="7" t="s">
        <v>69</v>
      </c>
      <c r="E65" s="8" t="s">
        <v>14</v>
      </c>
      <c r="F65" s="9">
        <v>2735</v>
      </c>
      <c r="G65" s="9" t="s">
        <v>849</v>
      </c>
      <c r="H65" s="9" t="s">
        <v>968</v>
      </c>
      <c r="I65" s="9" t="s">
        <v>969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7" t="s">
        <v>83</v>
      </c>
      <c r="B66" s="8">
        <v>762178172726</v>
      </c>
      <c r="C66" s="8" t="s">
        <v>10</v>
      </c>
      <c r="D66" s="7" t="s">
        <v>69</v>
      </c>
      <c r="E66" s="8" t="s">
        <v>14</v>
      </c>
      <c r="F66" s="9">
        <v>2720</v>
      </c>
      <c r="G66" s="9" t="s">
        <v>849</v>
      </c>
      <c r="H66" s="9" t="s">
        <v>970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7" t="s">
        <v>84</v>
      </c>
      <c r="B67" s="8">
        <v>962134062378</v>
      </c>
      <c r="C67" s="8" t="s">
        <v>85</v>
      </c>
      <c r="D67" s="8" t="s">
        <v>25</v>
      </c>
      <c r="E67" s="8" t="s">
        <v>14</v>
      </c>
      <c r="F67" s="10" t="s">
        <v>971</v>
      </c>
      <c r="G67" s="9"/>
      <c r="H67" s="9" t="s">
        <v>972</v>
      </c>
      <c r="I67" s="9" t="s">
        <v>973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7" t="s">
        <v>86</v>
      </c>
      <c r="B68" s="8">
        <v>403165323978</v>
      </c>
      <c r="C68" s="8" t="s">
        <v>85</v>
      </c>
      <c r="D68" s="8" t="s">
        <v>25</v>
      </c>
      <c r="E68" s="8" t="s">
        <v>14</v>
      </c>
      <c r="F68" s="10" t="s">
        <v>974</v>
      </c>
      <c r="G68" s="9"/>
      <c r="H68" s="9" t="s">
        <v>975</v>
      </c>
      <c r="I68" s="9" t="s">
        <v>976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7" t="s">
        <v>87</v>
      </c>
      <c r="B69" s="8">
        <v>162140810204</v>
      </c>
      <c r="C69" s="8" t="s">
        <v>85</v>
      </c>
      <c r="D69" s="8" t="s">
        <v>25</v>
      </c>
      <c r="E69" s="8" t="s">
        <v>14</v>
      </c>
      <c r="F69" s="10" t="s">
        <v>977</v>
      </c>
      <c r="G69" s="9"/>
      <c r="H69" s="9" t="s">
        <v>978</v>
      </c>
      <c r="I69" s="9" t="s">
        <v>979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7" t="s">
        <v>88</v>
      </c>
      <c r="B70" s="8">
        <v>457195859749</v>
      </c>
      <c r="C70" s="8" t="s">
        <v>85</v>
      </c>
      <c r="D70" s="8" t="s">
        <v>25</v>
      </c>
      <c r="E70" s="8" t="s">
        <v>12</v>
      </c>
      <c r="F70" s="10">
        <v>2311</v>
      </c>
      <c r="G70" s="9"/>
      <c r="H70" s="9" t="s">
        <v>980</v>
      </c>
      <c r="I70" s="9" t="s">
        <v>981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7" t="s">
        <v>89</v>
      </c>
      <c r="B71" s="8">
        <v>285101463697</v>
      </c>
      <c r="C71" s="8" t="s">
        <v>85</v>
      </c>
      <c r="D71" s="8" t="s">
        <v>25</v>
      </c>
      <c r="E71" s="8" t="s">
        <v>14</v>
      </c>
      <c r="F71" s="9">
        <v>2357</v>
      </c>
      <c r="G71" s="9" t="s">
        <v>982</v>
      </c>
      <c r="H71" s="9" t="s">
        <v>983</v>
      </c>
      <c r="I71" s="9" t="s">
        <v>984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7" t="s">
        <v>90</v>
      </c>
      <c r="B72" s="8">
        <v>958105146807</v>
      </c>
      <c r="C72" s="8" t="s">
        <v>85</v>
      </c>
      <c r="D72" s="8" t="s">
        <v>25</v>
      </c>
      <c r="E72" s="8" t="s">
        <v>14</v>
      </c>
      <c r="F72" s="9">
        <v>2401</v>
      </c>
      <c r="G72" s="9" t="s">
        <v>985</v>
      </c>
      <c r="H72" s="9" t="s">
        <v>986</v>
      </c>
      <c r="I72" s="9" t="s">
        <v>987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7" t="s">
        <v>91</v>
      </c>
      <c r="B73" s="8">
        <v>315145768378</v>
      </c>
      <c r="C73" s="8" t="s">
        <v>85</v>
      </c>
      <c r="D73" s="8" t="s">
        <v>25</v>
      </c>
      <c r="E73" s="8" t="s">
        <v>14</v>
      </c>
      <c r="F73" s="9">
        <v>2421</v>
      </c>
      <c r="G73" s="9" t="s">
        <v>985</v>
      </c>
      <c r="H73" s="9" t="s">
        <v>988</v>
      </c>
      <c r="I73" s="9" t="s">
        <v>989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7" t="s">
        <v>92</v>
      </c>
      <c r="B74" s="8">
        <v>234189763426</v>
      </c>
      <c r="C74" s="8" t="s">
        <v>85</v>
      </c>
      <c r="D74" s="8" t="s">
        <v>25</v>
      </c>
      <c r="E74" s="8" t="s">
        <v>14</v>
      </c>
      <c r="F74" s="9">
        <v>2426</v>
      </c>
      <c r="G74" s="9" t="s">
        <v>985</v>
      </c>
      <c r="H74" s="9" t="s">
        <v>990</v>
      </c>
      <c r="I74" s="9" t="s">
        <v>991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7" t="s">
        <v>93</v>
      </c>
      <c r="B75" s="8">
        <v>284156708018</v>
      </c>
      <c r="C75" s="8" t="s">
        <v>85</v>
      </c>
      <c r="D75" s="8" t="s">
        <v>25</v>
      </c>
      <c r="E75" s="8" t="s">
        <v>14</v>
      </c>
      <c r="F75" s="9">
        <v>2439</v>
      </c>
      <c r="G75" s="9" t="s">
        <v>992</v>
      </c>
      <c r="H75" s="9" t="s">
        <v>993</v>
      </c>
      <c r="I75" s="9" t="s">
        <v>994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7" t="s">
        <v>94</v>
      </c>
      <c r="B76" s="8">
        <v>574109525960</v>
      </c>
      <c r="C76" s="8" t="s">
        <v>85</v>
      </c>
      <c r="D76" s="8" t="s">
        <v>25</v>
      </c>
      <c r="E76" s="8" t="s">
        <v>12</v>
      </c>
      <c r="F76" s="9">
        <v>2471</v>
      </c>
      <c r="G76" s="9" t="s">
        <v>982</v>
      </c>
      <c r="H76" s="9" t="s">
        <v>995</v>
      </c>
      <c r="I76" s="9" t="s">
        <v>996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7" t="s">
        <v>95</v>
      </c>
      <c r="B77" s="8">
        <v>204103586289</v>
      </c>
      <c r="C77" s="8" t="s">
        <v>85</v>
      </c>
      <c r="D77" s="8" t="s">
        <v>25</v>
      </c>
      <c r="E77" s="8" t="s">
        <v>14</v>
      </c>
      <c r="F77" s="9">
        <v>2550</v>
      </c>
      <c r="G77" s="9" t="s">
        <v>997</v>
      </c>
      <c r="H77" s="9" t="s">
        <v>998</v>
      </c>
      <c r="I77" s="9" t="s">
        <v>999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7" t="s">
        <v>96</v>
      </c>
      <c r="B78" s="8">
        <v>203175727593</v>
      </c>
      <c r="C78" s="8" t="s">
        <v>85</v>
      </c>
      <c r="D78" s="8" t="s">
        <v>25</v>
      </c>
      <c r="E78" s="8" t="s">
        <v>14</v>
      </c>
      <c r="F78" s="9">
        <v>2626</v>
      </c>
      <c r="G78" s="9" t="s">
        <v>827</v>
      </c>
      <c r="H78" s="9" t="s">
        <v>1000</v>
      </c>
      <c r="I78" s="9" t="s">
        <v>1001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7" t="s">
        <v>97</v>
      </c>
      <c r="B79" s="8">
        <v>276184302392</v>
      </c>
      <c r="C79" s="8" t="s">
        <v>85</v>
      </c>
      <c r="D79" s="8" t="s">
        <v>25</v>
      </c>
      <c r="E79" s="8" t="s">
        <v>14</v>
      </c>
      <c r="F79" s="9">
        <v>2557</v>
      </c>
      <c r="G79" s="9" t="s">
        <v>827</v>
      </c>
      <c r="H79" s="9" t="s">
        <v>1002</v>
      </c>
      <c r="I79" s="9" t="s">
        <v>1003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7" t="s">
        <v>98</v>
      </c>
      <c r="B80" s="8">
        <v>165185273620</v>
      </c>
      <c r="C80" s="8" t="s">
        <v>85</v>
      </c>
      <c r="D80" s="8" t="s">
        <v>25</v>
      </c>
      <c r="E80" s="8" t="s">
        <v>14</v>
      </c>
      <c r="F80" s="9">
        <v>2617</v>
      </c>
      <c r="G80" s="9" t="s">
        <v>982</v>
      </c>
      <c r="H80" s="9" t="s">
        <v>1004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7" t="s">
        <v>99</v>
      </c>
      <c r="B81" s="8">
        <v>494132147854</v>
      </c>
      <c r="C81" s="8" t="s">
        <v>85</v>
      </c>
      <c r="D81" s="8" t="s">
        <v>25</v>
      </c>
      <c r="E81" s="8" t="s">
        <v>14</v>
      </c>
      <c r="F81" s="9">
        <v>2644</v>
      </c>
      <c r="G81" s="9" t="s">
        <v>982</v>
      </c>
      <c r="H81" s="9" t="s">
        <v>1005</v>
      </c>
      <c r="I81" s="9" t="s">
        <v>1006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7" t="s">
        <v>100</v>
      </c>
      <c r="B82" s="8">
        <v>179182107469</v>
      </c>
      <c r="C82" s="8" t="s">
        <v>85</v>
      </c>
      <c r="D82" s="8" t="s">
        <v>25</v>
      </c>
      <c r="E82" s="8" t="s">
        <v>14</v>
      </c>
      <c r="F82" s="9">
        <v>2676</v>
      </c>
      <c r="G82" s="9" t="s">
        <v>827</v>
      </c>
      <c r="H82" s="9" t="s">
        <v>1007</v>
      </c>
      <c r="I82" s="9" t="s">
        <v>1008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7" t="s">
        <v>101</v>
      </c>
      <c r="B83" s="8">
        <v>390140483239</v>
      </c>
      <c r="C83" s="8" t="s">
        <v>85</v>
      </c>
      <c r="D83" s="8" t="s">
        <v>25</v>
      </c>
      <c r="E83" s="8" t="s">
        <v>14</v>
      </c>
      <c r="F83" s="9">
        <v>2671</v>
      </c>
      <c r="G83" s="9" t="s">
        <v>827</v>
      </c>
      <c r="H83" s="9" t="s">
        <v>1009</v>
      </c>
      <c r="I83" s="9" t="s">
        <v>1010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7" t="s">
        <v>102</v>
      </c>
      <c r="B84" s="8">
        <v>302164164286</v>
      </c>
      <c r="C84" s="8" t="s">
        <v>85</v>
      </c>
      <c r="D84" s="8" t="s">
        <v>25</v>
      </c>
      <c r="E84" s="8" t="s">
        <v>12</v>
      </c>
      <c r="F84" s="9">
        <v>2685</v>
      </c>
      <c r="G84" s="9" t="s">
        <v>1011</v>
      </c>
      <c r="H84" s="9" t="s">
        <v>1012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7" t="s">
        <v>103</v>
      </c>
      <c r="B85" s="8">
        <v>102186959703</v>
      </c>
      <c r="C85" s="8" t="s">
        <v>85</v>
      </c>
      <c r="D85" s="8" t="s">
        <v>25</v>
      </c>
      <c r="E85" s="8" t="s">
        <v>12</v>
      </c>
      <c r="F85" s="9">
        <v>2684</v>
      </c>
      <c r="G85" s="9" t="s">
        <v>1013</v>
      </c>
      <c r="H85" s="9" t="s">
        <v>1014</v>
      </c>
      <c r="I85" s="9" t="s">
        <v>1015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7" t="s">
        <v>104</v>
      </c>
      <c r="B86" s="8">
        <v>435167307015</v>
      </c>
      <c r="C86" s="8" t="s">
        <v>85</v>
      </c>
      <c r="D86" s="8" t="s">
        <v>25</v>
      </c>
      <c r="E86" s="8" t="s">
        <v>35</v>
      </c>
      <c r="F86" s="9">
        <v>2723</v>
      </c>
      <c r="G86" s="9" t="s">
        <v>827</v>
      </c>
      <c r="H86" s="9" t="s">
        <v>1016</v>
      </c>
      <c r="I86" s="9" t="s">
        <v>1017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7" t="s">
        <v>105</v>
      </c>
      <c r="B87" s="8">
        <v>219178041630</v>
      </c>
      <c r="C87" s="8" t="s">
        <v>85</v>
      </c>
      <c r="D87" s="8" t="s">
        <v>25</v>
      </c>
      <c r="E87" s="8" t="s">
        <v>12</v>
      </c>
      <c r="F87" s="9">
        <v>2686</v>
      </c>
      <c r="G87" s="9" t="s">
        <v>1018</v>
      </c>
      <c r="H87" s="9" t="s">
        <v>1019</v>
      </c>
      <c r="I87" s="9" t="s">
        <v>1020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7" t="s">
        <v>106</v>
      </c>
      <c r="B88" s="8">
        <v>643120708265</v>
      </c>
      <c r="C88" s="8" t="s">
        <v>85</v>
      </c>
      <c r="D88" s="8" t="s">
        <v>25</v>
      </c>
      <c r="E88" s="8" t="s">
        <v>14</v>
      </c>
      <c r="F88" s="9">
        <v>2698</v>
      </c>
      <c r="G88" s="9" t="s">
        <v>982</v>
      </c>
      <c r="H88" s="9" t="s">
        <v>1021</v>
      </c>
      <c r="I88" s="9" t="s">
        <v>1022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7" t="s">
        <v>107</v>
      </c>
      <c r="B89" s="8">
        <v>424185416756</v>
      </c>
      <c r="C89" s="8" t="s">
        <v>85</v>
      </c>
      <c r="D89" s="8" t="s">
        <v>25</v>
      </c>
      <c r="E89" s="8" t="s">
        <v>12</v>
      </c>
      <c r="F89" s="9">
        <v>2693</v>
      </c>
      <c r="G89" s="9" t="s">
        <v>827</v>
      </c>
      <c r="H89" s="9" t="s">
        <v>1023</v>
      </c>
      <c r="I89" s="9" t="s">
        <v>1024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7" t="s">
        <v>108</v>
      </c>
      <c r="B90" s="8">
        <v>953168381683</v>
      </c>
      <c r="C90" s="8" t="s">
        <v>85</v>
      </c>
      <c r="D90" s="8" t="s">
        <v>25</v>
      </c>
      <c r="E90" s="8" t="s">
        <v>14</v>
      </c>
      <c r="F90" s="9">
        <v>2667</v>
      </c>
      <c r="G90" s="9" t="s">
        <v>827</v>
      </c>
      <c r="H90" s="9" t="s">
        <v>1025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7" t="s">
        <v>109</v>
      </c>
      <c r="B91" s="8">
        <v>548159074528</v>
      </c>
      <c r="C91" s="8" t="s">
        <v>85</v>
      </c>
      <c r="D91" s="8" t="s">
        <v>25</v>
      </c>
      <c r="E91" s="8" t="s">
        <v>14</v>
      </c>
      <c r="F91" s="9">
        <v>2725</v>
      </c>
      <c r="G91" s="9" t="s">
        <v>1026</v>
      </c>
      <c r="H91" s="9" t="s">
        <v>1027</v>
      </c>
      <c r="I91" s="9" t="s">
        <v>1028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7" t="s">
        <v>110</v>
      </c>
      <c r="B92" s="8">
        <v>759196045212</v>
      </c>
      <c r="C92" s="8" t="s">
        <v>85</v>
      </c>
      <c r="D92" s="8" t="s">
        <v>25</v>
      </c>
      <c r="E92" s="8" t="s">
        <v>14</v>
      </c>
      <c r="F92" s="9">
        <v>2751</v>
      </c>
      <c r="G92" s="9" t="s">
        <v>827</v>
      </c>
      <c r="H92" s="9" t="s">
        <v>1029</v>
      </c>
      <c r="I92" s="9" t="s">
        <v>1030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7" t="s">
        <v>111</v>
      </c>
      <c r="B93" s="8">
        <v>680125089292</v>
      </c>
      <c r="C93" s="8" t="s">
        <v>85</v>
      </c>
      <c r="D93" s="8" t="s">
        <v>25</v>
      </c>
      <c r="E93" s="8" t="s">
        <v>14</v>
      </c>
      <c r="F93" s="9">
        <v>2597</v>
      </c>
      <c r="G93" s="9" t="s">
        <v>982</v>
      </c>
      <c r="H93" s="9" t="s">
        <v>1031</v>
      </c>
      <c r="I93" s="9" t="s">
        <v>1032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7" t="s">
        <v>112</v>
      </c>
      <c r="B94" s="8">
        <v>713154590107</v>
      </c>
      <c r="C94" s="8" t="s">
        <v>85</v>
      </c>
      <c r="D94" s="8" t="s">
        <v>25</v>
      </c>
      <c r="E94" s="8" t="s">
        <v>14</v>
      </c>
      <c r="F94" s="9">
        <v>2691</v>
      </c>
      <c r="G94" s="9" t="s">
        <v>827</v>
      </c>
      <c r="H94" s="9" t="s">
        <v>1033</v>
      </c>
      <c r="I94" s="9">
        <v>1013522250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7" t="s">
        <v>113</v>
      </c>
      <c r="B95" s="8">
        <v>364193795818</v>
      </c>
      <c r="C95" s="8" t="s">
        <v>85</v>
      </c>
      <c r="D95" s="8" t="s">
        <v>25</v>
      </c>
      <c r="E95" s="8" t="s">
        <v>12</v>
      </c>
      <c r="F95" s="9">
        <v>2717</v>
      </c>
      <c r="G95" s="9" t="s">
        <v>827</v>
      </c>
      <c r="H95" s="9" t="s">
        <v>1034</v>
      </c>
      <c r="I95" s="9" t="s">
        <v>1035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7" t="s">
        <v>114</v>
      </c>
      <c r="B96" s="8">
        <v>108171586739</v>
      </c>
      <c r="C96" s="8" t="s">
        <v>85</v>
      </c>
      <c r="D96" s="8" t="s">
        <v>25</v>
      </c>
      <c r="E96" s="8" t="s">
        <v>14</v>
      </c>
      <c r="F96" s="9">
        <v>2707</v>
      </c>
      <c r="G96" s="9" t="s">
        <v>827</v>
      </c>
      <c r="H96" s="9" t="s">
        <v>1036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7" t="s">
        <v>115</v>
      </c>
      <c r="B97" s="8">
        <v>625187252525</v>
      </c>
      <c r="C97" s="8" t="s">
        <v>85</v>
      </c>
      <c r="D97" s="8" t="s">
        <v>25</v>
      </c>
      <c r="E97" s="8" t="s">
        <v>12</v>
      </c>
      <c r="F97" s="9">
        <v>2670</v>
      </c>
      <c r="G97" s="9" t="s">
        <v>1037</v>
      </c>
      <c r="H97" s="9" t="s">
        <v>1038</v>
      </c>
      <c r="I97" s="9" t="s">
        <v>1039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7" t="s">
        <v>116</v>
      </c>
      <c r="B98" s="8">
        <v>409109172938</v>
      </c>
      <c r="C98" s="8" t="s">
        <v>85</v>
      </c>
      <c r="D98" s="8" t="s">
        <v>25</v>
      </c>
      <c r="E98" s="8" t="s">
        <v>12</v>
      </c>
      <c r="F98" s="9">
        <v>2765</v>
      </c>
      <c r="G98" s="9" t="s">
        <v>982</v>
      </c>
      <c r="H98" s="9" t="s">
        <v>1040</v>
      </c>
      <c r="I98" s="9" t="s">
        <v>1041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7" t="s">
        <v>117</v>
      </c>
      <c r="B99" s="8">
        <v>356132167530</v>
      </c>
      <c r="C99" s="8" t="s">
        <v>85</v>
      </c>
      <c r="D99" s="8" t="s">
        <v>25</v>
      </c>
      <c r="E99" s="8" t="s">
        <v>12</v>
      </c>
      <c r="F99" s="9">
        <v>2767</v>
      </c>
      <c r="G99" s="9" t="s">
        <v>982</v>
      </c>
      <c r="H99" s="9" t="s">
        <v>1042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7" t="s">
        <v>118</v>
      </c>
      <c r="B100" s="8">
        <v>186143210451</v>
      </c>
      <c r="C100" s="8" t="s">
        <v>85</v>
      </c>
      <c r="D100" s="8" t="s">
        <v>25</v>
      </c>
      <c r="E100" s="8" t="s">
        <v>14</v>
      </c>
      <c r="F100" s="9">
        <v>2632</v>
      </c>
      <c r="G100" s="9" t="s">
        <v>992</v>
      </c>
      <c r="H100" s="9" t="s">
        <v>1043</v>
      </c>
      <c r="I100" s="9" t="s">
        <v>1044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7" t="s">
        <v>119</v>
      </c>
      <c r="B101" s="8">
        <v>286134930682</v>
      </c>
      <c r="C101" s="8" t="s">
        <v>85</v>
      </c>
      <c r="D101" s="8" t="s">
        <v>25</v>
      </c>
      <c r="E101" s="8" t="s">
        <v>12</v>
      </c>
      <c r="F101" s="9">
        <v>2637</v>
      </c>
      <c r="G101" s="9" t="s">
        <v>1045</v>
      </c>
      <c r="H101" s="9" t="s">
        <v>1046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7" t="s">
        <v>120</v>
      </c>
      <c r="B102" s="8">
        <v>274128962341</v>
      </c>
      <c r="C102" s="8" t="s">
        <v>85</v>
      </c>
      <c r="D102" s="8" t="s">
        <v>25</v>
      </c>
      <c r="E102" s="8" t="s">
        <v>12</v>
      </c>
      <c r="F102" s="9">
        <v>2633</v>
      </c>
      <c r="G102" s="9" t="s">
        <v>982</v>
      </c>
      <c r="H102" s="9" t="s">
        <v>1047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7" t="s">
        <v>121</v>
      </c>
      <c r="B103" s="8">
        <v>872109756075</v>
      </c>
      <c r="C103" s="8" t="s">
        <v>85</v>
      </c>
      <c r="D103" s="8" t="s">
        <v>25</v>
      </c>
      <c r="E103" s="8" t="s">
        <v>12</v>
      </c>
      <c r="F103" s="9">
        <v>2772</v>
      </c>
      <c r="G103" s="9" t="s">
        <v>827</v>
      </c>
      <c r="H103" s="9" t="s">
        <v>1048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7" t="s">
        <v>122</v>
      </c>
      <c r="B104" s="8">
        <v>105126902692</v>
      </c>
      <c r="C104" s="8" t="s">
        <v>85</v>
      </c>
      <c r="D104" s="8" t="s">
        <v>25</v>
      </c>
      <c r="E104" s="8" t="s">
        <v>12</v>
      </c>
      <c r="F104" s="9">
        <v>2794</v>
      </c>
      <c r="G104" s="9" t="s">
        <v>827</v>
      </c>
      <c r="H104" s="9" t="s">
        <v>1049</v>
      </c>
      <c r="I104" s="9" t="s">
        <v>1050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7" t="s">
        <v>123</v>
      </c>
      <c r="B105" s="8">
        <v>350132398282</v>
      </c>
      <c r="C105" s="8" t="s">
        <v>85</v>
      </c>
      <c r="D105" s="8" t="s">
        <v>25</v>
      </c>
      <c r="E105" s="8" t="s">
        <v>14</v>
      </c>
      <c r="F105" s="9">
        <v>2778</v>
      </c>
      <c r="G105" s="9" t="s">
        <v>982</v>
      </c>
      <c r="H105" s="9" t="s">
        <v>1051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7" t="s">
        <v>124</v>
      </c>
      <c r="B106" s="8">
        <v>809176040437</v>
      </c>
      <c r="C106" s="8" t="s">
        <v>85</v>
      </c>
      <c r="D106" s="8" t="s">
        <v>125</v>
      </c>
      <c r="E106" s="8" t="s">
        <v>12</v>
      </c>
      <c r="F106" s="10" t="s">
        <v>1052</v>
      </c>
      <c r="G106" s="9"/>
      <c r="H106" s="9" t="s">
        <v>1053</v>
      </c>
      <c r="I106" s="9" t="s">
        <v>1054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7" t="s">
        <v>126</v>
      </c>
      <c r="B107" s="8">
        <v>930159109291</v>
      </c>
      <c r="C107" s="8" t="s">
        <v>85</v>
      </c>
      <c r="D107" s="8" t="s">
        <v>125</v>
      </c>
      <c r="E107" s="8" t="s">
        <v>14</v>
      </c>
      <c r="F107" s="10" t="s">
        <v>1055</v>
      </c>
      <c r="G107" s="9"/>
      <c r="H107" s="9" t="s">
        <v>1056</v>
      </c>
      <c r="I107" s="9" t="s">
        <v>1057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7" t="s">
        <v>127</v>
      </c>
      <c r="B108" s="8">
        <v>782180626727</v>
      </c>
      <c r="C108" s="8" t="s">
        <v>85</v>
      </c>
      <c r="D108" s="8" t="s">
        <v>125</v>
      </c>
      <c r="E108" s="8" t="s">
        <v>14</v>
      </c>
      <c r="F108" s="9">
        <v>2404</v>
      </c>
      <c r="G108" s="9" t="s">
        <v>827</v>
      </c>
      <c r="H108" s="9" t="s">
        <v>1058</v>
      </c>
      <c r="I108" s="9" t="s">
        <v>1059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7" t="s">
        <v>128</v>
      </c>
      <c r="B109" s="8">
        <v>742181710304</v>
      </c>
      <c r="C109" s="8" t="s">
        <v>85</v>
      </c>
      <c r="D109" s="8" t="s">
        <v>125</v>
      </c>
      <c r="E109" s="8" t="s">
        <v>14</v>
      </c>
      <c r="F109" s="9">
        <v>2403</v>
      </c>
      <c r="G109" s="9" t="s">
        <v>827</v>
      </c>
      <c r="H109" s="9" t="s">
        <v>1060</v>
      </c>
      <c r="I109" s="9" t="s">
        <v>1061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7" t="s">
        <v>129</v>
      </c>
      <c r="B110" s="8">
        <v>643134674754</v>
      </c>
      <c r="C110" s="8" t="s">
        <v>85</v>
      </c>
      <c r="D110" s="8" t="s">
        <v>125</v>
      </c>
      <c r="E110" s="8" t="s">
        <v>14</v>
      </c>
      <c r="F110" s="9">
        <v>2475</v>
      </c>
      <c r="G110" s="9" t="s">
        <v>827</v>
      </c>
      <c r="H110" s="9" t="s">
        <v>1062</v>
      </c>
      <c r="I110" s="9" t="s">
        <v>1063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7" t="s">
        <v>130</v>
      </c>
      <c r="B111" s="8">
        <v>514130261047</v>
      </c>
      <c r="C111" s="8" t="s">
        <v>85</v>
      </c>
      <c r="D111" s="8" t="s">
        <v>125</v>
      </c>
      <c r="E111" s="8" t="s">
        <v>12</v>
      </c>
      <c r="F111" s="9">
        <v>2509</v>
      </c>
      <c r="G111" s="9" t="s">
        <v>827</v>
      </c>
      <c r="H111" s="9" t="s">
        <v>1064</v>
      </c>
      <c r="I111" s="9">
        <v>1097953066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7" t="s">
        <v>131</v>
      </c>
      <c r="B112" s="8">
        <v>894178098602</v>
      </c>
      <c r="C112" s="8" t="s">
        <v>85</v>
      </c>
      <c r="D112" s="8" t="s">
        <v>125</v>
      </c>
      <c r="E112" s="8" t="s">
        <v>14</v>
      </c>
      <c r="F112" s="9">
        <v>2529</v>
      </c>
      <c r="G112" s="9" t="s">
        <v>827</v>
      </c>
      <c r="H112" s="9" t="s">
        <v>1065</v>
      </c>
      <c r="I112" s="9" t="s">
        <v>1066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7" t="s">
        <v>132</v>
      </c>
      <c r="B113" s="8">
        <v>703149308423</v>
      </c>
      <c r="C113" s="8" t="s">
        <v>85</v>
      </c>
      <c r="D113" s="8" t="s">
        <v>125</v>
      </c>
      <c r="E113" s="8" t="s">
        <v>14</v>
      </c>
      <c r="F113" s="9">
        <v>2535</v>
      </c>
      <c r="G113" s="9" t="s">
        <v>827</v>
      </c>
      <c r="H113" s="9" t="s">
        <v>1067</v>
      </c>
      <c r="I113" s="9" t="s">
        <v>1068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7" t="s">
        <v>133</v>
      </c>
      <c r="B114" s="8">
        <v>157194097243</v>
      </c>
      <c r="C114" s="8" t="s">
        <v>85</v>
      </c>
      <c r="D114" s="8" t="s">
        <v>125</v>
      </c>
      <c r="E114" s="8" t="s">
        <v>12</v>
      </c>
      <c r="F114" s="9">
        <v>2556</v>
      </c>
      <c r="G114" s="9" t="s">
        <v>827</v>
      </c>
      <c r="H114" s="9" t="s">
        <v>1069</v>
      </c>
      <c r="I114" s="9" t="s">
        <v>1070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7" t="s">
        <v>134</v>
      </c>
      <c r="B115" s="8">
        <v>815141510923</v>
      </c>
      <c r="C115" s="8" t="s">
        <v>85</v>
      </c>
      <c r="D115" s="8" t="s">
        <v>125</v>
      </c>
      <c r="E115" s="8" t="s">
        <v>12</v>
      </c>
      <c r="F115" s="9">
        <v>2558</v>
      </c>
      <c r="G115" s="9" t="s">
        <v>827</v>
      </c>
      <c r="H115" s="9" t="s">
        <v>1071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7" t="s">
        <v>135</v>
      </c>
      <c r="B116" s="8">
        <v>916186078296</v>
      </c>
      <c r="C116" s="8" t="s">
        <v>85</v>
      </c>
      <c r="D116" s="8" t="s">
        <v>125</v>
      </c>
      <c r="E116" s="8" t="s">
        <v>12</v>
      </c>
      <c r="F116" s="9">
        <v>2709</v>
      </c>
      <c r="G116" s="9" t="s">
        <v>827</v>
      </c>
      <c r="H116" s="9" t="s">
        <v>1072</v>
      </c>
      <c r="I116" s="9" t="s">
        <v>1073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7" t="s">
        <v>136</v>
      </c>
      <c r="B117" s="8">
        <v>762193489569</v>
      </c>
      <c r="C117" s="8" t="s">
        <v>85</v>
      </c>
      <c r="D117" s="8" t="s">
        <v>125</v>
      </c>
      <c r="E117" s="8" t="s">
        <v>12</v>
      </c>
      <c r="F117" s="9">
        <v>2740</v>
      </c>
      <c r="G117" s="9" t="s">
        <v>827</v>
      </c>
      <c r="H117" s="9" t="s">
        <v>1074</v>
      </c>
      <c r="I117" s="9" t="s">
        <v>1075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7" t="s">
        <v>137</v>
      </c>
      <c r="B118" s="8">
        <v>953162327564</v>
      </c>
      <c r="C118" s="8" t="s">
        <v>85</v>
      </c>
      <c r="D118" s="8" t="s">
        <v>125</v>
      </c>
      <c r="E118" s="8" t="s">
        <v>12</v>
      </c>
      <c r="F118" s="9">
        <v>2741</v>
      </c>
      <c r="G118" s="9" t="s">
        <v>827</v>
      </c>
      <c r="H118" s="9" t="s">
        <v>1076</v>
      </c>
      <c r="I118" s="9" t="s">
        <v>1077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7" t="s">
        <v>138</v>
      </c>
      <c r="B119" s="8">
        <v>720159631723</v>
      </c>
      <c r="C119" s="8" t="s">
        <v>85</v>
      </c>
      <c r="D119" s="8" t="s">
        <v>125</v>
      </c>
      <c r="E119" s="8" t="s">
        <v>12</v>
      </c>
      <c r="F119" s="9">
        <v>2780</v>
      </c>
      <c r="G119" s="9" t="s">
        <v>827</v>
      </c>
      <c r="H119" s="9" t="s">
        <v>1078</v>
      </c>
      <c r="I119" s="9" t="s">
        <v>1079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7" t="s">
        <v>139</v>
      </c>
      <c r="B120" s="8">
        <v>679131265016</v>
      </c>
      <c r="C120" s="8" t="s">
        <v>85</v>
      </c>
      <c r="D120" s="8" t="s">
        <v>125</v>
      </c>
      <c r="E120" s="8" t="s">
        <v>12</v>
      </c>
      <c r="F120" s="9">
        <v>2716</v>
      </c>
      <c r="G120" s="9" t="s">
        <v>827</v>
      </c>
      <c r="H120" s="9" t="s">
        <v>1080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7" t="s">
        <v>140</v>
      </c>
      <c r="B121" s="8">
        <v>306185372078</v>
      </c>
      <c r="C121" s="8" t="s">
        <v>85</v>
      </c>
      <c r="D121" s="8" t="s">
        <v>47</v>
      </c>
      <c r="E121" s="8" t="s">
        <v>14</v>
      </c>
      <c r="F121" s="10" t="s">
        <v>1081</v>
      </c>
      <c r="G121" s="9"/>
      <c r="H121" s="9" t="s">
        <v>1082</v>
      </c>
      <c r="I121" s="9" t="s">
        <v>1083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7" t="s">
        <v>141</v>
      </c>
      <c r="B122" s="8">
        <v>243147538572</v>
      </c>
      <c r="C122" s="8" t="s">
        <v>85</v>
      </c>
      <c r="D122" s="8" t="s">
        <v>47</v>
      </c>
      <c r="E122" s="8" t="s">
        <v>14</v>
      </c>
      <c r="F122" s="10" t="s">
        <v>1084</v>
      </c>
      <c r="G122" s="9"/>
      <c r="H122" s="9" t="s">
        <v>1085</v>
      </c>
      <c r="I122" s="9" t="s">
        <v>1086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7" t="s">
        <v>142</v>
      </c>
      <c r="B123" s="8">
        <v>412161359614</v>
      </c>
      <c r="C123" s="8" t="s">
        <v>85</v>
      </c>
      <c r="D123" s="8" t="s">
        <v>47</v>
      </c>
      <c r="E123" s="8" t="s">
        <v>12</v>
      </c>
      <c r="F123" s="10" t="s">
        <v>1087</v>
      </c>
      <c r="G123" s="9"/>
      <c r="H123" s="9" t="s">
        <v>1088</v>
      </c>
      <c r="I123" s="9" t="s">
        <v>1089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7" t="s">
        <v>143</v>
      </c>
      <c r="B124" s="8">
        <v>908173825031</v>
      </c>
      <c r="C124" s="8" t="s">
        <v>85</v>
      </c>
      <c r="D124" s="8" t="s">
        <v>47</v>
      </c>
      <c r="E124" s="8" t="s">
        <v>14</v>
      </c>
      <c r="F124" s="10" t="s">
        <v>1090</v>
      </c>
      <c r="G124" s="9"/>
      <c r="H124" s="9" t="s">
        <v>1091</v>
      </c>
      <c r="I124" s="9">
        <v>28310280200527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7" t="s">
        <v>144</v>
      </c>
      <c r="B125" s="8">
        <v>565175096735</v>
      </c>
      <c r="C125" s="8" t="s">
        <v>85</v>
      </c>
      <c r="D125" s="8" t="s">
        <v>47</v>
      </c>
      <c r="E125" s="8" t="s">
        <v>14</v>
      </c>
      <c r="F125" s="10" t="s">
        <v>1092</v>
      </c>
      <c r="G125" s="9"/>
      <c r="H125" s="9" t="s">
        <v>1093</v>
      </c>
      <c r="I125" s="9" t="s">
        <v>1094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7" t="s">
        <v>145</v>
      </c>
      <c r="B126" s="8">
        <v>572181296785</v>
      </c>
      <c r="C126" s="8" t="s">
        <v>85</v>
      </c>
      <c r="D126" s="8" t="s">
        <v>47</v>
      </c>
      <c r="E126" s="8" t="s">
        <v>14</v>
      </c>
      <c r="F126" s="10" t="s">
        <v>1095</v>
      </c>
      <c r="G126" s="9"/>
      <c r="H126" s="9" t="s">
        <v>1096</v>
      </c>
      <c r="I126" s="9" t="s">
        <v>1097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7" t="s">
        <v>146</v>
      </c>
      <c r="B127" s="8">
        <v>560197507192</v>
      </c>
      <c r="C127" s="8" t="s">
        <v>85</v>
      </c>
      <c r="D127" s="8" t="s">
        <v>47</v>
      </c>
      <c r="E127" s="8" t="s">
        <v>12</v>
      </c>
      <c r="F127" s="10" t="s">
        <v>1098</v>
      </c>
      <c r="G127" s="9"/>
      <c r="H127" s="9" t="s">
        <v>1099</v>
      </c>
      <c r="I127" s="9" t="s">
        <v>1100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7" t="s">
        <v>147</v>
      </c>
      <c r="B128" s="8">
        <v>427179795127</v>
      </c>
      <c r="C128" s="8" t="s">
        <v>85</v>
      </c>
      <c r="D128" s="8" t="s">
        <v>47</v>
      </c>
      <c r="E128" s="8" t="s">
        <v>14</v>
      </c>
      <c r="F128" s="10" t="s">
        <v>1101</v>
      </c>
      <c r="G128" s="9"/>
      <c r="H128" s="9" t="s">
        <v>1102</v>
      </c>
      <c r="I128" s="9" t="s">
        <v>1103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7" t="s">
        <v>148</v>
      </c>
      <c r="B129" s="8">
        <v>657134826213</v>
      </c>
      <c r="C129" s="8" t="s">
        <v>85</v>
      </c>
      <c r="D129" s="8" t="s">
        <v>47</v>
      </c>
      <c r="E129" s="8" t="s">
        <v>12</v>
      </c>
      <c r="F129" s="9">
        <v>2397</v>
      </c>
      <c r="G129" s="9" t="s">
        <v>827</v>
      </c>
      <c r="H129" s="9" t="s">
        <v>1104</v>
      </c>
      <c r="I129" s="9" t="s">
        <v>1105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7" t="s">
        <v>149</v>
      </c>
      <c r="B130" s="8">
        <v>489106709893</v>
      </c>
      <c r="C130" s="8" t="s">
        <v>85</v>
      </c>
      <c r="D130" s="8" t="s">
        <v>47</v>
      </c>
      <c r="E130" s="8" t="s">
        <v>14</v>
      </c>
      <c r="F130" s="9">
        <v>2406</v>
      </c>
      <c r="G130" s="9" t="s">
        <v>997</v>
      </c>
      <c r="H130" s="9" t="s">
        <v>1106</v>
      </c>
      <c r="I130" s="9" t="s">
        <v>1107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7" t="s">
        <v>150</v>
      </c>
      <c r="B131" s="8">
        <v>518128197903</v>
      </c>
      <c r="C131" s="8" t="s">
        <v>85</v>
      </c>
      <c r="D131" s="8" t="s">
        <v>47</v>
      </c>
      <c r="E131" s="8" t="s">
        <v>14</v>
      </c>
      <c r="F131" s="9">
        <v>2409</v>
      </c>
      <c r="G131" s="9" t="s">
        <v>849</v>
      </c>
      <c r="H131" s="9" t="s">
        <v>1108</v>
      </c>
      <c r="I131" s="9" t="s">
        <v>1109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7" t="s">
        <v>151</v>
      </c>
      <c r="B132" s="8">
        <v>342149485143</v>
      </c>
      <c r="C132" s="8" t="s">
        <v>85</v>
      </c>
      <c r="D132" s="8" t="s">
        <v>47</v>
      </c>
      <c r="E132" s="8" t="s">
        <v>14</v>
      </c>
      <c r="F132" s="9">
        <v>2430</v>
      </c>
      <c r="G132" s="9" t="s">
        <v>982</v>
      </c>
      <c r="H132" s="9" t="s">
        <v>1110</v>
      </c>
      <c r="I132" s="9" t="s">
        <v>1111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7" t="s">
        <v>152</v>
      </c>
      <c r="B133" s="8">
        <v>375181246026</v>
      </c>
      <c r="C133" s="8" t="s">
        <v>85</v>
      </c>
      <c r="D133" s="8" t="s">
        <v>47</v>
      </c>
      <c r="E133" s="8" t="s">
        <v>14</v>
      </c>
      <c r="F133" s="9">
        <v>2452</v>
      </c>
      <c r="G133" s="9" t="s">
        <v>827</v>
      </c>
      <c r="H133" s="9" t="s">
        <v>1112</v>
      </c>
      <c r="I133" s="9" t="s">
        <v>1113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7" t="s">
        <v>153</v>
      </c>
      <c r="B134" s="8">
        <v>510131201316</v>
      </c>
      <c r="C134" s="8" t="s">
        <v>85</v>
      </c>
      <c r="D134" s="8" t="s">
        <v>47</v>
      </c>
      <c r="E134" s="8" t="s">
        <v>12</v>
      </c>
      <c r="F134" s="9"/>
      <c r="G134" s="9" t="s">
        <v>992</v>
      </c>
      <c r="H134" s="9" t="s">
        <v>1114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7" t="s">
        <v>154</v>
      </c>
      <c r="B135" s="8">
        <v>895145269153</v>
      </c>
      <c r="C135" s="8" t="s">
        <v>85</v>
      </c>
      <c r="D135" s="8" t="s">
        <v>47</v>
      </c>
      <c r="E135" s="8" t="s">
        <v>14</v>
      </c>
      <c r="F135" s="9">
        <v>2534</v>
      </c>
      <c r="G135" s="9" t="s">
        <v>827</v>
      </c>
      <c r="H135" s="9" t="s">
        <v>1115</v>
      </c>
      <c r="I135" s="9" t="s">
        <v>1116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7" t="s">
        <v>155</v>
      </c>
      <c r="B136" s="8">
        <v>636191708065</v>
      </c>
      <c r="C136" s="8" t="s">
        <v>85</v>
      </c>
      <c r="D136" s="8" t="s">
        <v>47</v>
      </c>
      <c r="E136" s="8" t="s">
        <v>14</v>
      </c>
      <c r="F136" s="9">
        <v>2604</v>
      </c>
      <c r="G136" s="9" t="s">
        <v>827</v>
      </c>
      <c r="H136" s="9" t="s">
        <v>1117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7" t="s">
        <v>156</v>
      </c>
      <c r="B137" s="8">
        <v>546184861318</v>
      </c>
      <c r="C137" s="8" t="s">
        <v>85</v>
      </c>
      <c r="D137" s="8" t="s">
        <v>47</v>
      </c>
      <c r="E137" s="8" t="s">
        <v>14</v>
      </c>
      <c r="F137" s="9">
        <v>2616</v>
      </c>
      <c r="G137" s="9" t="s">
        <v>827</v>
      </c>
      <c r="H137" s="9" t="s">
        <v>1118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7" t="s">
        <v>157</v>
      </c>
      <c r="B138" s="8">
        <v>450169828460</v>
      </c>
      <c r="C138" s="8" t="s">
        <v>85</v>
      </c>
      <c r="D138" s="8" t="s">
        <v>47</v>
      </c>
      <c r="E138" s="8" t="s">
        <v>14</v>
      </c>
      <c r="F138" s="9">
        <v>2639</v>
      </c>
      <c r="G138" s="9" t="s">
        <v>827</v>
      </c>
      <c r="H138" s="9" t="s">
        <v>1119</v>
      </c>
      <c r="I138" s="9" t="s">
        <v>1120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7" t="s">
        <v>158</v>
      </c>
      <c r="B139" s="8">
        <v>690175608128</v>
      </c>
      <c r="C139" s="8" t="s">
        <v>85</v>
      </c>
      <c r="D139" s="8" t="s">
        <v>47</v>
      </c>
      <c r="E139" s="8" t="s">
        <v>14</v>
      </c>
      <c r="F139" s="9">
        <v>2680</v>
      </c>
      <c r="G139" s="9" t="s">
        <v>997</v>
      </c>
      <c r="H139" s="9" t="s">
        <v>1121</v>
      </c>
      <c r="I139" s="9" t="s">
        <v>1122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7" t="s">
        <v>159</v>
      </c>
      <c r="B140" s="8">
        <v>203121294150</v>
      </c>
      <c r="C140" s="8" t="s">
        <v>85</v>
      </c>
      <c r="D140" s="8" t="s">
        <v>47</v>
      </c>
      <c r="E140" s="8" t="s">
        <v>14</v>
      </c>
      <c r="F140" s="9">
        <v>2262</v>
      </c>
      <c r="G140" s="9" t="s">
        <v>997</v>
      </c>
      <c r="H140" s="9" t="s">
        <v>1123</v>
      </c>
      <c r="I140" s="9" t="s">
        <v>1124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7" t="s">
        <v>160</v>
      </c>
      <c r="B141" s="8">
        <v>209172013854</v>
      </c>
      <c r="C141" s="8" t="s">
        <v>85</v>
      </c>
      <c r="D141" s="8" t="s">
        <v>47</v>
      </c>
      <c r="E141" s="8" t="s">
        <v>12</v>
      </c>
      <c r="F141" s="9">
        <v>2742</v>
      </c>
      <c r="G141" s="9" t="s">
        <v>1125</v>
      </c>
      <c r="H141" s="9" t="s">
        <v>1126</v>
      </c>
      <c r="I141" s="9" t="s">
        <v>1127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7" t="s">
        <v>161</v>
      </c>
      <c r="B142" s="8">
        <v>595148969297</v>
      </c>
      <c r="C142" s="8" t="s">
        <v>85</v>
      </c>
      <c r="D142" s="8" t="s">
        <v>47</v>
      </c>
      <c r="E142" s="8" t="s">
        <v>12</v>
      </c>
      <c r="F142" s="9">
        <v>2665</v>
      </c>
      <c r="G142" s="9" t="s">
        <v>827</v>
      </c>
      <c r="H142" s="9" t="s">
        <v>1128</v>
      </c>
      <c r="I142" s="9" t="s">
        <v>1129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7" t="s">
        <v>162</v>
      </c>
      <c r="B143" s="8">
        <v>386167394718</v>
      </c>
      <c r="C143" s="8" t="s">
        <v>85</v>
      </c>
      <c r="D143" s="8" t="s">
        <v>47</v>
      </c>
      <c r="E143" s="8" t="s">
        <v>12</v>
      </c>
      <c r="F143" s="9">
        <v>2763</v>
      </c>
      <c r="G143" s="9" t="s">
        <v>997</v>
      </c>
      <c r="H143" s="9" t="s">
        <v>1130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7" t="s">
        <v>163</v>
      </c>
      <c r="B144" s="8">
        <v>723106572403</v>
      </c>
      <c r="C144" s="8" t="s">
        <v>85</v>
      </c>
      <c r="D144" s="8" t="s">
        <v>47</v>
      </c>
      <c r="E144" s="8" t="s">
        <v>12</v>
      </c>
      <c r="F144" s="9">
        <v>2752</v>
      </c>
      <c r="G144" s="9" t="s">
        <v>827</v>
      </c>
      <c r="H144" s="9" t="s">
        <v>1131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7" t="s">
        <v>164</v>
      </c>
      <c r="B145" s="8">
        <v>638145149439</v>
      </c>
      <c r="C145" s="8" t="s">
        <v>85</v>
      </c>
      <c r="D145" s="8" t="s">
        <v>47</v>
      </c>
      <c r="E145" s="8" t="s">
        <v>12</v>
      </c>
      <c r="F145" s="9">
        <v>2668</v>
      </c>
      <c r="G145" s="9" t="s">
        <v>827</v>
      </c>
      <c r="H145" s="9" t="s">
        <v>1132</v>
      </c>
      <c r="I145" s="9" t="s">
        <v>1133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7" t="s">
        <v>165</v>
      </c>
      <c r="B146" s="8">
        <v>686140960605</v>
      </c>
      <c r="C146" s="8" t="s">
        <v>85</v>
      </c>
      <c r="D146" s="8" t="s">
        <v>47</v>
      </c>
      <c r="E146" s="8" t="s">
        <v>12</v>
      </c>
      <c r="F146" s="9"/>
      <c r="G146" s="9" t="s">
        <v>827</v>
      </c>
      <c r="H146" s="9" t="s">
        <v>1134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7" t="s">
        <v>166</v>
      </c>
      <c r="B147" s="8">
        <v>578126806131</v>
      </c>
      <c r="C147" s="8" t="s">
        <v>85</v>
      </c>
      <c r="D147" s="8" t="s">
        <v>47</v>
      </c>
      <c r="E147" s="8" t="s">
        <v>14</v>
      </c>
      <c r="F147" s="9">
        <v>2640</v>
      </c>
      <c r="G147" s="9" t="s">
        <v>997</v>
      </c>
      <c r="H147" s="9" t="s">
        <v>1135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7" t="s">
        <v>167</v>
      </c>
      <c r="B148" s="8">
        <v>537126249693</v>
      </c>
      <c r="C148" s="8" t="s">
        <v>85</v>
      </c>
      <c r="D148" s="8" t="s">
        <v>47</v>
      </c>
      <c r="E148" s="8" t="s">
        <v>12</v>
      </c>
      <c r="F148" s="9">
        <v>2775</v>
      </c>
      <c r="G148" s="9" t="s">
        <v>827</v>
      </c>
      <c r="H148" s="9" t="s">
        <v>1136</v>
      </c>
      <c r="I148" s="9" t="s">
        <v>1137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7" t="s">
        <v>168</v>
      </c>
      <c r="B149" s="8">
        <v>863152852634</v>
      </c>
      <c r="C149" s="8" t="s">
        <v>85</v>
      </c>
      <c r="D149" s="8" t="s">
        <v>47</v>
      </c>
      <c r="E149" s="8" t="s">
        <v>12</v>
      </c>
      <c r="F149" s="9">
        <v>2804</v>
      </c>
      <c r="G149" s="9" t="s">
        <v>827</v>
      </c>
      <c r="H149" s="9" t="s">
        <v>1138</v>
      </c>
      <c r="I149" s="9" t="s">
        <v>1139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7" t="s">
        <v>169</v>
      </c>
      <c r="B150" s="8">
        <v>632164034291</v>
      </c>
      <c r="C150" s="8" t="s">
        <v>85</v>
      </c>
      <c r="D150" s="8" t="s">
        <v>170</v>
      </c>
      <c r="E150" s="8" t="s">
        <v>14</v>
      </c>
      <c r="F150" s="10" t="s">
        <v>1140</v>
      </c>
      <c r="G150" s="9" t="s">
        <v>982</v>
      </c>
      <c r="H150" s="9" t="s">
        <v>1141</v>
      </c>
      <c r="I150" s="9" t="s">
        <v>1142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7" t="s">
        <v>171</v>
      </c>
      <c r="B151" s="8">
        <v>703170132053</v>
      </c>
      <c r="C151" s="8" t="s">
        <v>85</v>
      </c>
      <c r="D151" s="8" t="s">
        <v>170</v>
      </c>
      <c r="E151" s="8" t="s">
        <v>14</v>
      </c>
      <c r="F151" s="10" t="s">
        <v>1143</v>
      </c>
      <c r="G151" s="9" t="s">
        <v>982</v>
      </c>
      <c r="H151" s="9" t="s">
        <v>1144</v>
      </c>
      <c r="I151" s="9">
        <v>1144280921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7" t="s">
        <v>172</v>
      </c>
      <c r="B152" s="8">
        <v>438168047047</v>
      </c>
      <c r="C152" s="8" t="s">
        <v>85</v>
      </c>
      <c r="D152" s="8" t="s">
        <v>170</v>
      </c>
      <c r="E152" s="8" t="s">
        <v>14</v>
      </c>
      <c r="F152" s="10" t="s">
        <v>1145</v>
      </c>
      <c r="G152" s="9" t="s">
        <v>982</v>
      </c>
      <c r="H152" s="9" t="s">
        <v>1146</v>
      </c>
      <c r="I152" s="9" t="s">
        <v>1147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7" t="s">
        <v>173</v>
      </c>
      <c r="B153" s="8">
        <v>804187379101</v>
      </c>
      <c r="C153" s="8" t="s">
        <v>85</v>
      </c>
      <c r="D153" s="8" t="s">
        <v>170</v>
      </c>
      <c r="E153" s="8" t="s">
        <v>14</v>
      </c>
      <c r="F153" s="10" t="s">
        <v>1148</v>
      </c>
      <c r="G153" s="9" t="s">
        <v>982</v>
      </c>
      <c r="H153" s="9" t="s">
        <v>1149</v>
      </c>
      <c r="I153" s="9" t="s">
        <v>1150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7" t="s">
        <v>174</v>
      </c>
      <c r="B154" s="8">
        <v>637175861357</v>
      </c>
      <c r="C154" s="8" t="s">
        <v>85</v>
      </c>
      <c r="D154" s="8" t="s">
        <v>170</v>
      </c>
      <c r="E154" s="8" t="s">
        <v>14</v>
      </c>
      <c r="F154" s="10" t="s">
        <v>1151</v>
      </c>
      <c r="G154" s="9" t="s">
        <v>997</v>
      </c>
      <c r="H154" s="9" t="s">
        <v>1152</v>
      </c>
      <c r="I154" s="9" t="s">
        <v>1153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7" t="s">
        <v>175</v>
      </c>
      <c r="B155" s="8">
        <v>687104205132</v>
      </c>
      <c r="C155" s="8" t="s">
        <v>85</v>
      </c>
      <c r="D155" s="8" t="s">
        <v>170</v>
      </c>
      <c r="E155" s="8" t="s">
        <v>14</v>
      </c>
      <c r="F155" s="10" t="s">
        <v>1154</v>
      </c>
      <c r="G155" s="9" t="s">
        <v>827</v>
      </c>
      <c r="H155" s="9" t="s">
        <v>1155</v>
      </c>
      <c r="I155" s="9" t="s">
        <v>1156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7" t="s">
        <v>176</v>
      </c>
      <c r="B156" s="8">
        <v>594131487609</v>
      </c>
      <c r="C156" s="8" t="s">
        <v>85</v>
      </c>
      <c r="D156" s="8" t="s">
        <v>170</v>
      </c>
      <c r="E156" s="8" t="s">
        <v>14</v>
      </c>
      <c r="F156" s="9">
        <v>2339</v>
      </c>
      <c r="G156" s="9" t="s">
        <v>982</v>
      </c>
      <c r="H156" s="9" t="s">
        <v>1157</v>
      </c>
      <c r="I156" s="9" t="s">
        <v>1158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7" t="s">
        <v>177</v>
      </c>
      <c r="B157" s="8">
        <v>586179418453</v>
      </c>
      <c r="C157" s="8" t="s">
        <v>85</v>
      </c>
      <c r="D157" s="8" t="s">
        <v>170</v>
      </c>
      <c r="E157" s="8" t="s">
        <v>14</v>
      </c>
      <c r="F157" s="9">
        <v>2342</v>
      </c>
      <c r="G157" s="9" t="s">
        <v>982</v>
      </c>
      <c r="H157" s="9" t="s">
        <v>1159</v>
      </c>
      <c r="I157" s="9" t="s">
        <v>1160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7" t="s">
        <v>178</v>
      </c>
      <c r="B158" s="8">
        <v>943127373092</v>
      </c>
      <c r="C158" s="8" t="s">
        <v>85</v>
      </c>
      <c r="D158" s="8" t="s">
        <v>170</v>
      </c>
      <c r="E158" s="8" t="s">
        <v>14</v>
      </c>
      <c r="F158" s="9">
        <v>2353</v>
      </c>
      <c r="G158" s="9" t="s">
        <v>982</v>
      </c>
      <c r="H158" s="9" t="s">
        <v>1161</v>
      </c>
      <c r="I158" s="9" t="s">
        <v>1162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7" t="s">
        <v>179</v>
      </c>
      <c r="B159" s="8">
        <v>589150897049</v>
      </c>
      <c r="C159" s="8" t="s">
        <v>85</v>
      </c>
      <c r="D159" s="8" t="s">
        <v>170</v>
      </c>
      <c r="E159" s="8" t="s">
        <v>14</v>
      </c>
      <c r="F159" s="9">
        <v>2377</v>
      </c>
      <c r="G159" s="9" t="s">
        <v>982</v>
      </c>
      <c r="H159" s="9" t="s">
        <v>1163</v>
      </c>
      <c r="I159" s="9" t="s">
        <v>1164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7" t="s">
        <v>180</v>
      </c>
      <c r="B160" s="8">
        <v>809198759721</v>
      </c>
      <c r="C160" s="8" t="s">
        <v>85</v>
      </c>
      <c r="D160" s="8" t="s">
        <v>170</v>
      </c>
      <c r="E160" s="8" t="s">
        <v>14</v>
      </c>
      <c r="F160" s="9">
        <v>2367</v>
      </c>
      <c r="G160" s="9" t="s">
        <v>992</v>
      </c>
      <c r="H160" s="9" t="s">
        <v>1165</v>
      </c>
      <c r="I160" s="9" t="s">
        <v>1166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7" t="s">
        <v>181</v>
      </c>
      <c r="B161" s="8">
        <v>135137963154</v>
      </c>
      <c r="C161" s="8" t="s">
        <v>85</v>
      </c>
      <c r="D161" s="8" t="s">
        <v>170</v>
      </c>
      <c r="E161" s="8" t="s">
        <v>182</v>
      </c>
      <c r="F161" s="9"/>
      <c r="G161" s="9" t="s">
        <v>827</v>
      </c>
      <c r="H161" s="9" t="s">
        <v>1167</v>
      </c>
      <c r="I161" s="9" t="s">
        <v>1168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7" t="s">
        <v>183</v>
      </c>
      <c r="B162" s="8">
        <v>862179384026</v>
      </c>
      <c r="C162" s="8" t="s">
        <v>85</v>
      </c>
      <c r="D162" s="8" t="s">
        <v>170</v>
      </c>
      <c r="E162" s="8" t="s">
        <v>14</v>
      </c>
      <c r="F162" s="9">
        <v>2393</v>
      </c>
      <c r="G162" s="9" t="s">
        <v>992</v>
      </c>
      <c r="H162" s="9" t="s">
        <v>1169</v>
      </c>
      <c r="I162" s="9" t="s">
        <v>1170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7" t="s">
        <v>184</v>
      </c>
      <c r="B163" s="8">
        <v>340130765079</v>
      </c>
      <c r="C163" s="8" t="s">
        <v>85</v>
      </c>
      <c r="D163" s="8" t="s">
        <v>170</v>
      </c>
      <c r="E163" s="8" t="s">
        <v>12</v>
      </c>
      <c r="F163" s="9">
        <v>2446</v>
      </c>
      <c r="G163" s="9" t="s">
        <v>849</v>
      </c>
      <c r="H163" s="9" t="s">
        <v>1171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7" t="s">
        <v>185</v>
      </c>
      <c r="B164" s="8">
        <v>180171957312</v>
      </c>
      <c r="C164" s="8" t="s">
        <v>85</v>
      </c>
      <c r="D164" s="8" t="s">
        <v>170</v>
      </c>
      <c r="E164" s="8" t="s">
        <v>14</v>
      </c>
      <c r="F164" s="9">
        <v>2432</v>
      </c>
      <c r="G164" s="9" t="s">
        <v>1011</v>
      </c>
      <c r="H164" s="9" t="s">
        <v>1172</v>
      </c>
      <c r="I164" s="9" t="s">
        <v>1173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7" t="s">
        <v>186</v>
      </c>
      <c r="B165" s="8">
        <v>807180730987</v>
      </c>
      <c r="C165" s="8" t="s">
        <v>85</v>
      </c>
      <c r="D165" s="8" t="s">
        <v>170</v>
      </c>
      <c r="E165" s="8" t="s">
        <v>12</v>
      </c>
      <c r="F165" s="9">
        <v>2442</v>
      </c>
      <c r="G165" s="9" t="s">
        <v>827</v>
      </c>
      <c r="H165" s="9" t="s">
        <v>1174</v>
      </c>
      <c r="I165" s="9" t="s">
        <v>1175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7" t="s">
        <v>187</v>
      </c>
      <c r="B166" s="8">
        <v>868184721354</v>
      </c>
      <c r="C166" s="8" t="s">
        <v>85</v>
      </c>
      <c r="D166" s="8" t="s">
        <v>170</v>
      </c>
      <c r="E166" s="8" t="s">
        <v>14</v>
      </c>
      <c r="F166" s="9">
        <v>2480</v>
      </c>
      <c r="G166" s="9" t="s">
        <v>827</v>
      </c>
      <c r="H166" s="9" t="s">
        <v>1176</v>
      </c>
      <c r="I166" s="9" t="s">
        <v>1177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7" t="s">
        <v>188</v>
      </c>
      <c r="B167" s="8">
        <v>570172941064</v>
      </c>
      <c r="C167" s="8" t="s">
        <v>85</v>
      </c>
      <c r="D167" s="8" t="s">
        <v>170</v>
      </c>
      <c r="E167" s="8" t="s">
        <v>14</v>
      </c>
      <c r="F167" s="9">
        <v>2495</v>
      </c>
      <c r="G167" s="9" t="s">
        <v>1178</v>
      </c>
      <c r="H167" s="9" t="s">
        <v>1179</v>
      </c>
      <c r="I167" s="9" t="s">
        <v>1180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7" t="s">
        <v>189</v>
      </c>
      <c r="B168" s="8">
        <v>340126030476</v>
      </c>
      <c r="C168" s="8" t="s">
        <v>85</v>
      </c>
      <c r="D168" s="8" t="s">
        <v>170</v>
      </c>
      <c r="E168" s="8" t="s">
        <v>12</v>
      </c>
      <c r="F168" s="9">
        <v>2483</v>
      </c>
      <c r="G168" s="9" t="s">
        <v>982</v>
      </c>
      <c r="H168" s="9" t="s">
        <v>1181</v>
      </c>
      <c r="I168" s="9" t="s">
        <v>1182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7" t="s">
        <v>190</v>
      </c>
      <c r="B169" s="8">
        <v>594108798987</v>
      </c>
      <c r="C169" s="8" t="s">
        <v>85</v>
      </c>
      <c r="D169" s="8" t="s">
        <v>170</v>
      </c>
      <c r="E169" s="8" t="s">
        <v>14</v>
      </c>
      <c r="F169" s="9">
        <v>2547</v>
      </c>
      <c r="G169" s="9" t="s">
        <v>827</v>
      </c>
      <c r="H169" s="9" t="s">
        <v>1183</v>
      </c>
      <c r="I169" s="9" t="s">
        <v>1184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7" t="s">
        <v>191</v>
      </c>
      <c r="B170" s="8">
        <v>939180714785</v>
      </c>
      <c r="C170" s="8" t="s">
        <v>85</v>
      </c>
      <c r="D170" s="8" t="s">
        <v>170</v>
      </c>
      <c r="E170" s="8" t="s">
        <v>14</v>
      </c>
      <c r="F170" s="9">
        <v>2562</v>
      </c>
      <c r="G170" s="9" t="s">
        <v>827</v>
      </c>
      <c r="H170" s="9" t="s">
        <v>1185</v>
      </c>
      <c r="I170" s="9" t="s">
        <v>1186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7" t="s">
        <v>192</v>
      </c>
      <c r="B171" s="8">
        <v>706195648651</v>
      </c>
      <c r="C171" s="8" t="s">
        <v>85</v>
      </c>
      <c r="D171" s="8" t="s">
        <v>170</v>
      </c>
      <c r="E171" s="8" t="s">
        <v>14</v>
      </c>
      <c r="F171" s="9">
        <v>2603</v>
      </c>
      <c r="G171" s="9" t="s">
        <v>827</v>
      </c>
      <c r="H171" s="9" t="s">
        <v>1187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7" t="s">
        <v>193</v>
      </c>
      <c r="B172" s="8">
        <v>859191972717</v>
      </c>
      <c r="C172" s="8" t="s">
        <v>85</v>
      </c>
      <c r="D172" s="8" t="s">
        <v>170</v>
      </c>
      <c r="E172" s="8" t="s">
        <v>14</v>
      </c>
      <c r="F172" s="9">
        <v>2675</v>
      </c>
      <c r="G172" s="9" t="s">
        <v>1188</v>
      </c>
      <c r="H172" s="9" t="s">
        <v>1189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7" t="s">
        <v>194</v>
      </c>
      <c r="B173" s="8">
        <v>626141382068</v>
      </c>
      <c r="C173" s="8" t="s">
        <v>85</v>
      </c>
      <c r="D173" s="8" t="s">
        <v>170</v>
      </c>
      <c r="E173" s="8" t="s">
        <v>12</v>
      </c>
      <c r="F173" s="9">
        <v>2713</v>
      </c>
      <c r="G173" s="9" t="s">
        <v>849</v>
      </c>
      <c r="H173" s="9" t="s">
        <v>1190</v>
      </c>
      <c r="I173" s="9" t="s">
        <v>1191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7" t="s">
        <v>195</v>
      </c>
      <c r="B174" s="8">
        <v>696195941685</v>
      </c>
      <c r="C174" s="8" t="s">
        <v>85</v>
      </c>
      <c r="D174" s="8" t="s">
        <v>170</v>
      </c>
      <c r="E174" s="8" t="s">
        <v>14</v>
      </c>
      <c r="F174" s="9">
        <v>2712</v>
      </c>
      <c r="G174" s="9" t="s">
        <v>827</v>
      </c>
      <c r="H174" s="9" t="s">
        <v>1192</v>
      </c>
      <c r="I174" s="9" t="s">
        <v>1193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7" t="s">
        <v>196</v>
      </c>
      <c r="B175" s="8">
        <v>879189748530</v>
      </c>
      <c r="C175" s="8" t="s">
        <v>85</v>
      </c>
      <c r="D175" s="8" t="s">
        <v>170</v>
      </c>
      <c r="E175" s="8" t="s">
        <v>14</v>
      </c>
      <c r="F175" s="9">
        <v>2657</v>
      </c>
      <c r="G175" s="9" t="s">
        <v>827</v>
      </c>
      <c r="H175" s="9" t="s">
        <v>1194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7" t="s">
        <v>197</v>
      </c>
      <c r="B176" s="8">
        <v>308156832319</v>
      </c>
      <c r="C176" s="8" t="s">
        <v>85</v>
      </c>
      <c r="D176" s="8" t="s">
        <v>170</v>
      </c>
      <c r="E176" s="8" t="s">
        <v>12</v>
      </c>
      <c r="F176" s="9">
        <v>2792</v>
      </c>
      <c r="G176" s="9" t="s">
        <v>827</v>
      </c>
      <c r="H176" s="9" t="s">
        <v>1195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7" t="s">
        <v>198</v>
      </c>
      <c r="B177" s="8">
        <v>423171082406</v>
      </c>
      <c r="C177" s="8" t="s">
        <v>85</v>
      </c>
      <c r="D177" s="8" t="s">
        <v>170</v>
      </c>
      <c r="E177" s="8" t="s">
        <v>14</v>
      </c>
      <c r="F177" s="9">
        <v>2659</v>
      </c>
      <c r="G177" s="9" t="s">
        <v>849</v>
      </c>
      <c r="H177" s="9" t="s">
        <v>1196</v>
      </c>
      <c r="I177" s="9" t="s">
        <v>1197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7" t="s">
        <v>199</v>
      </c>
      <c r="B178" s="8">
        <v>695187907140</v>
      </c>
      <c r="C178" s="8" t="s">
        <v>85</v>
      </c>
      <c r="D178" s="8" t="s">
        <v>170</v>
      </c>
      <c r="E178" s="8" t="s">
        <v>12</v>
      </c>
      <c r="F178" s="9">
        <v>2795</v>
      </c>
      <c r="G178" s="9" t="s">
        <v>827</v>
      </c>
      <c r="H178" s="9" t="s">
        <v>1198</v>
      </c>
      <c r="I178" s="9" t="s">
        <v>1199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7" t="s">
        <v>200</v>
      </c>
      <c r="B179" s="8">
        <v>207145893968</v>
      </c>
      <c r="C179" s="8" t="s">
        <v>85</v>
      </c>
      <c r="D179" s="7" t="s">
        <v>201</v>
      </c>
      <c r="E179" s="8" t="s">
        <v>14</v>
      </c>
      <c r="F179" s="10" t="s">
        <v>1200</v>
      </c>
      <c r="G179" s="9" t="s">
        <v>827</v>
      </c>
      <c r="H179" s="9" t="s">
        <v>1201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7" t="s">
        <v>202</v>
      </c>
      <c r="B180" s="8">
        <v>956106960751</v>
      </c>
      <c r="C180" s="8" t="s">
        <v>85</v>
      </c>
      <c r="D180" s="7" t="s">
        <v>201</v>
      </c>
      <c r="E180" s="8" t="s">
        <v>14</v>
      </c>
      <c r="F180" s="10" t="s">
        <v>1202</v>
      </c>
      <c r="G180" s="9" t="s">
        <v>827</v>
      </c>
      <c r="H180" s="9" t="s">
        <v>1203</v>
      </c>
      <c r="I180" s="9" t="s">
        <v>1204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7" t="s">
        <v>203</v>
      </c>
      <c r="B181" s="8">
        <v>479193436034</v>
      </c>
      <c r="C181" s="8" t="s">
        <v>85</v>
      </c>
      <c r="D181" s="7" t="s">
        <v>201</v>
      </c>
      <c r="E181" s="8" t="s">
        <v>14</v>
      </c>
      <c r="F181" s="10" t="s">
        <v>1205</v>
      </c>
      <c r="G181" s="9"/>
      <c r="H181" s="9" t="s">
        <v>1206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7" t="s">
        <v>204</v>
      </c>
      <c r="B182" s="8">
        <v>760171643192</v>
      </c>
      <c r="C182" s="8" t="s">
        <v>85</v>
      </c>
      <c r="D182" s="7" t="s">
        <v>201</v>
      </c>
      <c r="E182" s="8" t="s">
        <v>14</v>
      </c>
      <c r="F182" s="10" t="s">
        <v>1207</v>
      </c>
      <c r="G182" s="9"/>
      <c r="H182" s="9" t="s">
        <v>1208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7" t="s">
        <v>205</v>
      </c>
      <c r="B183" s="8">
        <v>923159143268</v>
      </c>
      <c r="C183" s="8" t="s">
        <v>85</v>
      </c>
      <c r="D183" s="7" t="s">
        <v>201</v>
      </c>
      <c r="E183" s="8" t="s">
        <v>14</v>
      </c>
      <c r="F183" s="10" t="s">
        <v>1209</v>
      </c>
      <c r="G183" s="9"/>
      <c r="H183" s="9" t="s">
        <v>1210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7" t="s">
        <v>206</v>
      </c>
      <c r="B184" s="8">
        <v>956176242726</v>
      </c>
      <c r="C184" s="8" t="s">
        <v>85</v>
      </c>
      <c r="D184" s="7" t="s">
        <v>201</v>
      </c>
      <c r="E184" s="8" t="s">
        <v>14</v>
      </c>
      <c r="F184" s="10" t="s">
        <v>1211</v>
      </c>
      <c r="G184" s="9" t="s">
        <v>982</v>
      </c>
      <c r="H184" s="9" t="s">
        <v>1212</v>
      </c>
      <c r="I184" s="9" t="s">
        <v>1213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7" t="s">
        <v>207</v>
      </c>
      <c r="B185" s="8">
        <v>757153589828</v>
      </c>
      <c r="C185" s="8" t="s">
        <v>85</v>
      </c>
      <c r="D185" s="7" t="s">
        <v>201</v>
      </c>
      <c r="E185" s="8" t="s">
        <v>14</v>
      </c>
      <c r="F185" s="10" t="s">
        <v>1214</v>
      </c>
      <c r="G185" s="9" t="s">
        <v>827</v>
      </c>
      <c r="H185" s="9" t="s">
        <v>1215</v>
      </c>
      <c r="I185" s="9" t="s">
        <v>1216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7" t="s">
        <v>208</v>
      </c>
      <c r="B186" s="8">
        <v>568127010526</v>
      </c>
      <c r="C186" s="8" t="s">
        <v>85</v>
      </c>
      <c r="D186" s="7" t="s">
        <v>201</v>
      </c>
      <c r="E186" s="8" t="s">
        <v>14</v>
      </c>
      <c r="F186" s="10">
        <v>2184</v>
      </c>
      <c r="G186" s="9" t="s">
        <v>827</v>
      </c>
      <c r="H186" s="9" t="s">
        <v>1217</v>
      </c>
      <c r="I186" s="9" t="s">
        <v>1218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7" t="s">
        <v>209</v>
      </c>
      <c r="B187" s="8">
        <v>265195735907</v>
      </c>
      <c r="C187" s="8" t="s">
        <v>85</v>
      </c>
      <c r="D187" s="7" t="s">
        <v>201</v>
      </c>
      <c r="E187" s="8" t="s">
        <v>14</v>
      </c>
      <c r="F187" s="10" t="s">
        <v>1219</v>
      </c>
      <c r="G187" s="9" t="s">
        <v>1011</v>
      </c>
      <c r="H187" s="9" t="s">
        <v>1220</v>
      </c>
      <c r="I187" s="9" t="s">
        <v>1221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7" t="s">
        <v>210</v>
      </c>
      <c r="B188" s="8">
        <v>819194140830</v>
      </c>
      <c r="C188" s="8" t="s">
        <v>85</v>
      </c>
      <c r="D188" s="7" t="s">
        <v>201</v>
      </c>
      <c r="E188" s="8" t="s">
        <v>14</v>
      </c>
      <c r="F188" s="10" t="s">
        <v>1222</v>
      </c>
      <c r="G188" s="9" t="s">
        <v>982</v>
      </c>
      <c r="H188" s="9" t="s">
        <v>1223</v>
      </c>
      <c r="I188" s="9" t="s">
        <v>1224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7" t="s">
        <v>211</v>
      </c>
      <c r="B189" s="8">
        <v>508196965395</v>
      </c>
      <c r="C189" s="8" t="s">
        <v>85</v>
      </c>
      <c r="D189" s="7" t="s">
        <v>201</v>
      </c>
      <c r="E189" s="8" t="s">
        <v>14</v>
      </c>
      <c r="F189" s="10" t="s">
        <v>1225</v>
      </c>
      <c r="G189" s="9" t="s">
        <v>827</v>
      </c>
      <c r="H189" s="9" t="s">
        <v>1226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7" t="s">
        <v>212</v>
      </c>
      <c r="B190" s="8">
        <v>952162913989</v>
      </c>
      <c r="C190" s="8" t="s">
        <v>85</v>
      </c>
      <c r="D190" s="7" t="s">
        <v>201</v>
      </c>
      <c r="E190" s="8" t="s">
        <v>14</v>
      </c>
      <c r="F190" s="10">
        <v>2223</v>
      </c>
      <c r="G190" s="9" t="s">
        <v>1227</v>
      </c>
      <c r="H190" s="9" t="s">
        <v>1228</v>
      </c>
      <c r="I190" s="9" t="s">
        <v>1229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7" t="s">
        <v>213</v>
      </c>
      <c r="B191" s="8">
        <v>754121315321</v>
      </c>
      <c r="C191" s="8" t="s">
        <v>85</v>
      </c>
      <c r="D191" s="7" t="s">
        <v>201</v>
      </c>
      <c r="E191" s="8" t="s">
        <v>14</v>
      </c>
      <c r="F191" s="10">
        <v>2222</v>
      </c>
      <c r="G191" s="9" t="s">
        <v>827</v>
      </c>
      <c r="H191" s="9" t="s">
        <v>1230</v>
      </c>
      <c r="I191" s="9" t="s">
        <v>1231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7" t="s">
        <v>214</v>
      </c>
      <c r="B192" s="8">
        <v>126140183639</v>
      </c>
      <c r="C192" s="8" t="s">
        <v>85</v>
      </c>
      <c r="D192" s="7" t="s">
        <v>201</v>
      </c>
      <c r="E192" s="8" t="s">
        <v>14</v>
      </c>
      <c r="F192" s="10" t="s">
        <v>1232</v>
      </c>
      <c r="G192" s="9" t="s">
        <v>1227</v>
      </c>
      <c r="H192" s="9" t="s">
        <v>1233</v>
      </c>
      <c r="I192" s="9" t="s">
        <v>1234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7" t="s">
        <v>215</v>
      </c>
      <c r="B193" s="8">
        <v>654103435717</v>
      </c>
      <c r="C193" s="8" t="s">
        <v>85</v>
      </c>
      <c r="D193" s="7" t="s">
        <v>201</v>
      </c>
      <c r="E193" s="8" t="s">
        <v>14</v>
      </c>
      <c r="F193" s="10" t="s">
        <v>1235</v>
      </c>
      <c r="G193" s="9" t="s">
        <v>1227</v>
      </c>
      <c r="H193" s="9" t="s">
        <v>1236</v>
      </c>
      <c r="I193" s="9" t="s">
        <v>1237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7" t="s">
        <v>216</v>
      </c>
      <c r="B194" s="8">
        <v>493126089393</v>
      </c>
      <c r="C194" s="8" t="s">
        <v>85</v>
      </c>
      <c r="D194" s="7" t="s">
        <v>201</v>
      </c>
      <c r="E194" s="8" t="s">
        <v>14</v>
      </c>
      <c r="F194" s="10" t="s">
        <v>1238</v>
      </c>
      <c r="G194" s="9"/>
      <c r="H194" s="9" t="s">
        <v>1239</v>
      </c>
      <c r="I194" s="9" t="s">
        <v>1240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7" t="s">
        <v>217</v>
      </c>
      <c r="B195" s="8">
        <v>319181950412</v>
      </c>
      <c r="C195" s="8" t="s">
        <v>85</v>
      </c>
      <c r="D195" s="7" t="s">
        <v>201</v>
      </c>
      <c r="E195" s="8" t="s">
        <v>14</v>
      </c>
      <c r="F195" s="9">
        <v>2327</v>
      </c>
      <c r="G195" s="9" t="s">
        <v>1011</v>
      </c>
      <c r="H195" s="9" t="s">
        <v>1241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7" t="s">
        <v>218</v>
      </c>
      <c r="B196" s="8">
        <v>780128402632</v>
      </c>
      <c r="C196" s="8" t="s">
        <v>85</v>
      </c>
      <c r="D196" s="7" t="s">
        <v>201</v>
      </c>
      <c r="E196" s="8" t="s">
        <v>14</v>
      </c>
      <c r="F196" s="9">
        <v>2328</v>
      </c>
      <c r="G196" s="9" t="s">
        <v>827</v>
      </c>
      <c r="H196" s="9" t="s">
        <v>1242</v>
      </c>
      <c r="I196" s="9" t="s">
        <v>1243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7" t="s">
        <v>219</v>
      </c>
      <c r="B197" s="8">
        <v>808191676235</v>
      </c>
      <c r="C197" s="8" t="s">
        <v>85</v>
      </c>
      <c r="D197" s="7" t="s">
        <v>201</v>
      </c>
      <c r="E197" s="8" t="s">
        <v>14</v>
      </c>
      <c r="F197" s="9">
        <v>2265</v>
      </c>
      <c r="G197" s="9" t="s">
        <v>1227</v>
      </c>
      <c r="H197" s="9" t="s">
        <v>1244</v>
      </c>
      <c r="I197" s="9">
        <v>1200437990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7" t="s">
        <v>220</v>
      </c>
      <c r="B198" s="8">
        <v>319163985753</v>
      </c>
      <c r="C198" s="8" t="s">
        <v>85</v>
      </c>
      <c r="D198" s="7" t="s">
        <v>201</v>
      </c>
      <c r="E198" s="8" t="s">
        <v>14</v>
      </c>
      <c r="F198" s="9">
        <v>2324</v>
      </c>
      <c r="G198" s="9" t="s">
        <v>827</v>
      </c>
      <c r="H198" s="9" t="s">
        <v>1245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7" t="s">
        <v>221</v>
      </c>
      <c r="B199" s="8">
        <v>156163195097</v>
      </c>
      <c r="C199" s="8" t="s">
        <v>85</v>
      </c>
      <c r="D199" s="7" t="s">
        <v>201</v>
      </c>
      <c r="E199" s="8" t="s">
        <v>14</v>
      </c>
      <c r="F199" s="9">
        <v>2456</v>
      </c>
      <c r="G199" s="9" t="s">
        <v>827</v>
      </c>
      <c r="H199" s="9" t="s">
        <v>1246</v>
      </c>
      <c r="I199" s="9" t="s">
        <v>1247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7" t="s">
        <v>222</v>
      </c>
      <c r="B200" s="8">
        <v>937180898615</v>
      </c>
      <c r="C200" s="8" t="s">
        <v>85</v>
      </c>
      <c r="D200" s="7" t="s">
        <v>201</v>
      </c>
      <c r="E200" s="8" t="s">
        <v>14</v>
      </c>
      <c r="F200" s="9">
        <v>2356</v>
      </c>
      <c r="G200" s="9" t="s">
        <v>1248</v>
      </c>
      <c r="H200" s="9" t="s">
        <v>1249</v>
      </c>
      <c r="I200" s="9" t="s">
        <v>1250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>
      <c r="A201" s="7" t="s">
        <v>223</v>
      </c>
      <c r="B201" s="8">
        <v>319175494359</v>
      </c>
      <c r="C201" s="8" t="s">
        <v>85</v>
      </c>
      <c r="D201" s="7" t="s">
        <v>201</v>
      </c>
      <c r="E201" s="8" t="s">
        <v>12</v>
      </c>
      <c r="F201" s="9">
        <v>2476</v>
      </c>
      <c r="G201" s="9" t="s">
        <v>1011</v>
      </c>
      <c r="H201" s="9" t="s">
        <v>1251</v>
      </c>
      <c r="I201" s="9" t="s">
        <v>1252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>
      <c r="A202" s="7" t="s">
        <v>224</v>
      </c>
      <c r="B202" s="8">
        <v>348197264895</v>
      </c>
      <c r="C202" s="8" t="s">
        <v>85</v>
      </c>
      <c r="D202" s="7" t="s">
        <v>201</v>
      </c>
      <c r="E202" s="8" t="s">
        <v>14</v>
      </c>
      <c r="F202" s="9">
        <v>2434</v>
      </c>
      <c r="G202" s="9" t="s">
        <v>1253</v>
      </c>
      <c r="H202" s="9" t="s">
        <v>1254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>
      <c r="A203" s="7" t="s">
        <v>225</v>
      </c>
      <c r="B203" s="8">
        <v>389178162973</v>
      </c>
      <c r="C203" s="8" t="s">
        <v>85</v>
      </c>
      <c r="D203" s="7" t="s">
        <v>201</v>
      </c>
      <c r="E203" s="8" t="s">
        <v>14</v>
      </c>
      <c r="F203" s="9">
        <v>2528</v>
      </c>
      <c r="G203" s="9" t="s">
        <v>1011</v>
      </c>
      <c r="H203" s="9" t="s">
        <v>1255</v>
      </c>
      <c r="I203" s="9" t="s">
        <v>1256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>
      <c r="A204" s="7" t="s">
        <v>226</v>
      </c>
      <c r="B204" s="8">
        <v>526148262980</v>
      </c>
      <c r="C204" s="8" t="s">
        <v>85</v>
      </c>
      <c r="D204" s="7" t="s">
        <v>201</v>
      </c>
      <c r="E204" s="8" t="s">
        <v>12</v>
      </c>
      <c r="F204" s="9">
        <v>2526</v>
      </c>
      <c r="G204" s="9" t="s">
        <v>827</v>
      </c>
      <c r="H204" s="9" t="s">
        <v>1257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>
      <c r="A205" s="7" t="s">
        <v>227</v>
      </c>
      <c r="B205" s="8">
        <v>989127575602</v>
      </c>
      <c r="C205" s="8" t="s">
        <v>85</v>
      </c>
      <c r="D205" s="7" t="s">
        <v>201</v>
      </c>
      <c r="E205" s="8" t="s">
        <v>14</v>
      </c>
      <c r="F205" s="9">
        <v>2560</v>
      </c>
      <c r="G205" s="9" t="s">
        <v>1011</v>
      </c>
      <c r="H205" s="9" t="s">
        <v>1258</v>
      </c>
      <c r="I205" s="9" t="s">
        <v>1259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>
      <c r="A206" s="7" t="s">
        <v>228</v>
      </c>
      <c r="B206" s="8">
        <v>389173496489</v>
      </c>
      <c r="C206" s="8" t="s">
        <v>85</v>
      </c>
      <c r="D206" s="7" t="s">
        <v>201</v>
      </c>
      <c r="E206" s="8" t="s">
        <v>14</v>
      </c>
      <c r="F206" s="9">
        <v>2565</v>
      </c>
      <c r="G206" s="9" t="s">
        <v>827</v>
      </c>
      <c r="H206" s="9" t="s">
        <v>1260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>
      <c r="A207" s="7" t="s">
        <v>229</v>
      </c>
      <c r="B207" s="8">
        <v>434182527396</v>
      </c>
      <c r="C207" s="8" t="s">
        <v>85</v>
      </c>
      <c r="D207" s="7" t="s">
        <v>201</v>
      </c>
      <c r="E207" s="8" t="s">
        <v>12</v>
      </c>
      <c r="F207" s="9">
        <v>2750</v>
      </c>
      <c r="G207" s="9" t="s">
        <v>997</v>
      </c>
      <c r="H207" s="9" t="s">
        <v>1261</v>
      </c>
      <c r="I207" s="9" t="s">
        <v>1262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>
      <c r="A208" s="7" t="s">
        <v>230</v>
      </c>
      <c r="B208" s="8">
        <v>876157843203</v>
      </c>
      <c r="C208" s="8" t="s">
        <v>85</v>
      </c>
      <c r="D208" s="7" t="s">
        <v>201</v>
      </c>
      <c r="E208" s="8" t="s">
        <v>12</v>
      </c>
      <c r="F208" s="9">
        <v>2805</v>
      </c>
      <c r="G208" s="9" t="s">
        <v>997</v>
      </c>
      <c r="H208" s="9" t="s">
        <v>1263</v>
      </c>
      <c r="I208" s="9" t="s">
        <v>1264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>
      <c r="A209" s="7" t="s">
        <v>231</v>
      </c>
      <c r="B209" s="8">
        <v>502168410424</v>
      </c>
      <c r="C209" s="8" t="s">
        <v>85</v>
      </c>
      <c r="D209" s="7" t="s">
        <v>63</v>
      </c>
      <c r="E209" s="8" t="s">
        <v>14</v>
      </c>
      <c r="F209" s="10" t="s">
        <v>1265</v>
      </c>
      <c r="G209" s="9"/>
      <c r="H209" s="9" t="s">
        <v>1266</v>
      </c>
      <c r="I209" s="9" t="s">
        <v>1267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>
      <c r="A210" s="7" t="s">
        <v>232</v>
      </c>
      <c r="B210" s="8">
        <v>239129619815</v>
      </c>
      <c r="C210" s="8" t="s">
        <v>85</v>
      </c>
      <c r="D210" s="7" t="s">
        <v>63</v>
      </c>
      <c r="E210" s="8" t="s">
        <v>14</v>
      </c>
      <c r="F210" s="10" t="s">
        <v>1268</v>
      </c>
      <c r="G210" s="9"/>
      <c r="H210" s="9" t="s">
        <v>1269</v>
      </c>
      <c r="I210" s="9">
        <v>201115757521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>
      <c r="A211" s="7" t="s">
        <v>233</v>
      </c>
      <c r="B211" s="8">
        <v>472189645925</v>
      </c>
      <c r="C211" s="8" t="s">
        <v>85</v>
      </c>
      <c r="D211" s="7" t="s">
        <v>63</v>
      </c>
      <c r="E211" s="8" t="s">
        <v>14</v>
      </c>
      <c r="F211" s="10" t="s">
        <v>1270</v>
      </c>
      <c r="G211" s="9"/>
      <c r="H211" s="9" t="s">
        <v>1271</v>
      </c>
      <c r="I211" s="9" t="s">
        <v>1272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>
      <c r="A212" s="7" t="s">
        <v>234</v>
      </c>
      <c r="B212" s="8">
        <v>197173080732</v>
      </c>
      <c r="C212" s="8" t="s">
        <v>85</v>
      </c>
      <c r="D212" s="7" t="s">
        <v>63</v>
      </c>
      <c r="E212" s="8" t="s">
        <v>14</v>
      </c>
      <c r="F212" s="10" t="s">
        <v>1273</v>
      </c>
      <c r="G212" s="9"/>
      <c r="H212" s="9" t="s">
        <v>1274</v>
      </c>
      <c r="I212" s="9" t="s">
        <v>1275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>
      <c r="A213" s="7" t="s">
        <v>235</v>
      </c>
      <c r="B213" s="8">
        <v>943124527415</v>
      </c>
      <c r="C213" s="8" t="s">
        <v>85</v>
      </c>
      <c r="D213" s="7" t="s">
        <v>63</v>
      </c>
      <c r="E213" s="8" t="s">
        <v>14</v>
      </c>
      <c r="F213" s="10" t="s">
        <v>1276</v>
      </c>
      <c r="G213" s="9"/>
      <c r="H213" s="9" t="s">
        <v>1277</v>
      </c>
      <c r="I213" s="9" t="s">
        <v>1278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>
      <c r="A214" s="7" t="s">
        <v>236</v>
      </c>
      <c r="B214" s="8">
        <v>607182043274</v>
      </c>
      <c r="C214" s="8" t="s">
        <v>85</v>
      </c>
      <c r="D214" s="7" t="s">
        <v>63</v>
      </c>
      <c r="E214" s="8" t="s">
        <v>14</v>
      </c>
      <c r="F214" s="10" t="s">
        <v>1279</v>
      </c>
      <c r="G214" s="9"/>
      <c r="H214" s="9" t="s">
        <v>1280</v>
      </c>
      <c r="I214" s="9" t="s">
        <v>1281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>
      <c r="A215" s="7" t="s">
        <v>237</v>
      </c>
      <c r="B215" s="8">
        <v>657126746527</v>
      </c>
      <c r="C215" s="8" t="s">
        <v>85</v>
      </c>
      <c r="D215" s="7" t="s">
        <v>63</v>
      </c>
      <c r="E215" s="8" t="s">
        <v>14</v>
      </c>
      <c r="F215" s="10" t="s">
        <v>1282</v>
      </c>
      <c r="G215" s="9"/>
      <c r="H215" s="9" t="s">
        <v>1283</v>
      </c>
      <c r="I215" s="9" t="s">
        <v>1284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>
      <c r="A216" s="7" t="s">
        <v>238</v>
      </c>
      <c r="B216" s="8">
        <v>357106149247</v>
      </c>
      <c r="C216" s="8" t="s">
        <v>85</v>
      </c>
      <c r="D216" s="7" t="s">
        <v>63</v>
      </c>
      <c r="E216" s="8" t="s">
        <v>14</v>
      </c>
      <c r="F216" s="10">
        <v>2224</v>
      </c>
      <c r="G216" s="9"/>
      <c r="H216" s="9" t="s">
        <v>1285</v>
      </c>
      <c r="I216" s="9" t="s">
        <v>1286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>
      <c r="A217" s="7" t="s">
        <v>239</v>
      </c>
      <c r="B217" s="8">
        <v>802121935313</v>
      </c>
      <c r="C217" s="8" t="s">
        <v>85</v>
      </c>
      <c r="D217" s="7" t="s">
        <v>63</v>
      </c>
      <c r="E217" s="8" t="s">
        <v>14</v>
      </c>
      <c r="F217" s="9">
        <v>2405</v>
      </c>
      <c r="G217" s="9" t="s">
        <v>982</v>
      </c>
      <c r="H217" s="9" t="s">
        <v>1287</v>
      </c>
      <c r="I217" s="9" t="s">
        <v>1288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>
      <c r="A218" s="7" t="s">
        <v>240</v>
      </c>
      <c r="B218" s="8">
        <v>873194273252</v>
      </c>
      <c r="C218" s="8" t="s">
        <v>85</v>
      </c>
      <c r="D218" s="7" t="s">
        <v>63</v>
      </c>
      <c r="E218" s="8" t="s">
        <v>12</v>
      </c>
      <c r="F218" s="9">
        <v>2520</v>
      </c>
      <c r="G218" s="9" t="s">
        <v>997</v>
      </c>
      <c r="H218" s="9" t="s">
        <v>1289</v>
      </c>
      <c r="I218" s="9" t="s">
        <v>1290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>
      <c r="A219" s="7" t="s">
        <v>241</v>
      </c>
      <c r="B219" s="8">
        <v>410125641839</v>
      </c>
      <c r="C219" s="8" t="s">
        <v>85</v>
      </c>
      <c r="D219" s="7" t="s">
        <v>63</v>
      </c>
      <c r="E219" s="8" t="s">
        <v>14</v>
      </c>
      <c r="F219" s="9">
        <v>2437</v>
      </c>
      <c r="G219" s="9" t="s">
        <v>827</v>
      </c>
      <c r="H219" s="9" t="s">
        <v>1291</v>
      </c>
      <c r="I219" s="9" t="s">
        <v>1292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>
      <c r="A220" s="7" t="s">
        <v>242</v>
      </c>
      <c r="B220" s="8">
        <v>498189587153</v>
      </c>
      <c r="C220" s="8" t="s">
        <v>85</v>
      </c>
      <c r="D220" s="7" t="s">
        <v>63</v>
      </c>
      <c r="E220" s="8" t="s">
        <v>14</v>
      </c>
      <c r="F220" s="9">
        <v>2450</v>
      </c>
      <c r="G220" s="9" t="s">
        <v>827</v>
      </c>
      <c r="H220" s="9" t="s">
        <v>1293</v>
      </c>
      <c r="I220" s="9" t="s">
        <v>1294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>
      <c r="A221" s="7" t="s">
        <v>243</v>
      </c>
      <c r="B221" s="8">
        <v>413139051352</v>
      </c>
      <c r="C221" s="8" t="s">
        <v>85</v>
      </c>
      <c r="D221" s="7" t="s">
        <v>63</v>
      </c>
      <c r="E221" s="8" t="s">
        <v>12</v>
      </c>
      <c r="F221" s="9">
        <v>2506</v>
      </c>
      <c r="G221" s="9" t="s">
        <v>1295</v>
      </c>
      <c r="H221" s="9" t="s">
        <v>1296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>
      <c r="A222" s="7" t="s">
        <v>244</v>
      </c>
      <c r="B222" s="8">
        <v>459169091647</v>
      </c>
      <c r="C222" s="8" t="s">
        <v>85</v>
      </c>
      <c r="D222" s="7" t="s">
        <v>63</v>
      </c>
      <c r="E222" s="8" t="s">
        <v>14</v>
      </c>
      <c r="F222" s="9">
        <v>2663</v>
      </c>
      <c r="G222" s="9" t="s">
        <v>827</v>
      </c>
      <c r="H222" s="9" t="s">
        <v>1297</v>
      </c>
      <c r="I222" s="9" t="s">
        <v>1298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>
      <c r="A223" s="7" t="s">
        <v>245</v>
      </c>
      <c r="B223" s="8">
        <v>289184740127</v>
      </c>
      <c r="C223" s="8" t="s">
        <v>85</v>
      </c>
      <c r="D223" s="7" t="s">
        <v>63</v>
      </c>
      <c r="E223" s="8" t="s">
        <v>14</v>
      </c>
      <c r="F223" s="9">
        <v>2729</v>
      </c>
      <c r="G223" s="9" t="s">
        <v>997</v>
      </c>
      <c r="H223" s="9" t="s">
        <v>1299</v>
      </c>
      <c r="I223" s="9" t="s">
        <v>1300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>
      <c r="A224" s="7" t="s">
        <v>246</v>
      </c>
      <c r="B224" s="8">
        <v>952197671641</v>
      </c>
      <c r="C224" s="8" t="s">
        <v>85</v>
      </c>
      <c r="D224" s="7" t="s">
        <v>63</v>
      </c>
      <c r="E224" s="8" t="s">
        <v>14</v>
      </c>
      <c r="F224" s="9">
        <v>2634</v>
      </c>
      <c r="G224" s="9" t="s">
        <v>827</v>
      </c>
      <c r="H224" s="9" t="s">
        <v>1301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>
      <c r="A225" s="7" t="s">
        <v>247</v>
      </c>
      <c r="B225" s="8">
        <v>578138935094</v>
      </c>
      <c r="C225" s="8" t="s">
        <v>85</v>
      </c>
      <c r="D225" s="7" t="s">
        <v>248</v>
      </c>
      <c r="E225" s="8" t="s">
        <v>14</v>
      </c>
      <c r="F225" s="10" t="s">
        <v>1302</v>
      </c>
      <c r="G225" s="9" t="s">
        <v>849</v>
      </c>
      <c r="H225" s="9" t="s">
        <v>1303</v>
      </c>
      <c r="I225" s="9" t="s">
        <v>1304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>
      <c r="A226" s="7" t="s">
        <v>249</v>
      </c>
      <c r="B226" s="8">
        <v>870105869516</v>
      </c>
      <c r="C226" s="8" t="s">
        <v>85</v>
      </c>
      <c r="D226" s="7" t="s">
        <v>248</v>
      </c>
      <c r="E226" s="8" t="s">
        <v>14</v>
      </c>
      <c r="F226" s="10" t="s">
        <v>1305</v>
      </c>
      <c r="G226" s="9" t="s">
        <v>992</v>
      </c>
      <c r="H226" s="9" t="s">
        <v>1306</v>
      </c>
      <c r="I226" s="9" t="s">
        <v>1307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>
      <c r="A227" s="7" t="s">
        <v>250</v>
      </c>
      <c r="B227" s="8">
        <v>267179017974</v>
      </c>
      <c r="C227" s="8" t="s">
        <v>85</v>
      </c>
      <c r="D227" s="7" t="s">
        <v>248</v>
      </c>
      <c r="E227" s="8" t="s">
        <v>14</v>
      </c>
      <c r="F227" s="10" t="s">
        <v>1308</v>
      </c>
      <c r="G227" s="9" t="s">
        <v>982</v>
      </c>
      <c r="H227" s="9" t="s">
        <v>1309</v>
      </c>
      <c r="I227" s="9">
        <v>1091702720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>
      <c r="A228" s="7" t="s">
        <v>251</v>
      </c>
      <c r="B228" s="8">
        <v>502103896890</v>
      </c>
      <c r="C228" s="8" t="s">
        <v>85</v>
      </c>
      <c r="D228" s="7" t="s">
        <v>248</v>
      </c>
      <c r="E228" s="8" t="s">
        <v>14</v>
      </c>
      <c r="F228" s="10" t="s">
        <v>1310</v>
      </c>
      <c r="G228" s="9" t="s">
        <v>1011</v>
      </c>
      <c r="H228" s="9" t="s">
        <v>1311</v>
      </c>
      <c r="I228" s="9" t="s">
        <v>1312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>
      <c r="A229" s="7" t="s">
        <v>252</v>
      </c>
      <c r="B229" s="8">
        <v>615157028363</v>
      </c>
      <c r="C229" s="8" t="s">
        <v>85</v>
      </c>
      <c r="D229" s="7" t="s">
        <v>248</v>
      </c>
      <c r="E229" s="8" t="s">
        <v>14</v>
      </c>
      <c r="F229" s="10" t="s">
        <v>1313</v>
      </c>
      <c r="G229" s="9" t="s">
        <v>827</v>
      </c>
      <c r="H229" s="9" t="s">
        <v>1314</v>
      </c>
      <c r="I229" s="9" t="s">
        <v>1315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>
      <c r="A230" s="7" t="s">
        <v>253</v>
      </c>
      <c r="B230" s="8">
        <v>980129038038</v>
      </c>
      <c r="C230" s="8" t="s">
        <v>85</v>
      </c>
      <c r="D230" s="7" t="s">
        <v>248</v>
      </c>
      <c r="E230" s="8" t="s">
        <v>14</v>
      </c>
      <c r="F230" s="9">
        <v>2238</v>
      </c>
      <c r="G230" s="9" t="s">
        <v>827</v>
      </c>
      <c r="H230" s="9" t="s">
        <v>1316</v>
      </c>
      <c r="I230" s="9" t="s">
        <v>1317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>
      <c r="A231" s="7" t="s">
        <v>254</v>
      </c>
      <c r="B231" s="8">
        <v>679176560982</v>
      </c>
      <c r="C231" s="8" t="s">
        <v>85</v>
      </c>
      <c r="D231" s="7" t="s">
        <v>248</v>
      </c>
      <c r="E231" s="8" t="s">
        <v>14</v>
      </c>
      <c r="F231" s="9">
        <v>2251</v>
      </c>
      <c r="G231" s="9" t="s">
        <v>992</v>
      </c>
      <c r="H231" s="9" t="s">
        <v>1318</v>
      </c>
      <c r="I231" s="9" t="s">
        <v>1319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>
      <c r="A232" s="7" t="s">
        <v>255</v>
      </c>
      <c r="B232" s="8">
        <v>959156023193</v>
      </c>
      <c r="C232" s="8" t="s">
        <v>85</v>
      </c>
      <c r="D232" s="7" t="s">
        <v>248</v>
      </c>
      <c r="E232" s="8" t="s">
        <v>14</v>
      </c>
      <c r="F232" s="9">
        <v>2309</v>
      </c>
      <c r="G232" s="9" t="s">
        <v>827</v>
      </c>
      <c r="H232" s="9" t="s">
        <v>1320</v>
      </c>
      <c r="I232" s="9" t="s">
        <v>1321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>
      <c r="A233" s="7" t="s">
        <v>256</v>
      </c>
      <c r="B233" s="8">
        <v>727157584915</v>
      </c>
      <c r="C233" s="8" t="s">
        <v>85</v>
      </c>
      <c r="D233" s="7" t="s">
        <v>248</v>
      </c>
      <c r="E233" s="8" t="s">
        <v>14</v>
      </c>
      <c r="F233" s="9">
        <v>2354</v>
      </c>
      <c r="G233" s="9" t="s">
        <v>1011</v>
      </c>
      <c r="H233" s="9" t="s">
        <v>1322</v>
      </c>
      <c r="I233" s="9" t="s">
        <v>1323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>
      <c r="A234" s="7" t="s">
        <v>257</v>
      </c>
      <c r="B234" s="8">
        <v>858151472598</v>
      </c>
      <c r="C234" s="8" t="s">
        <v>85</v>
      </c>
      <c r="D234" s="7" t="s">
        <v>248</v>
      </c>
      <c r="E234" s="8" t="s">
        <v>14</v>
      </c>
      <c r="F234" s="9">
        <v>2477</v>
      </c>
      <c r="G234" s="9" t="s">
        <v>849</v>
      </c>
      <c r="H234" s="9" t="s">
        <v>1324</v>
      </c>
      <c r="I234" s="9" t="s">
        <v>1325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>
      <c r="A235" s="7" t="s">
        <v>258</v>
      </c>
      <c r="B235" s="8">
        <v>213134791302</v>
      </c>
      <c r="C235" s="8" t="s">
        <v>85</v>
      </c>
      <c r="D235" s="7" t="s">
        <v>248</v>
      </c>
      <c r="E235" s="8" t="s">
        <v>12</v>
      </c>
      <c r="F235" s="9">
        <v>2511</v>
      </c>
      <c r="G235" s="9" t="s">
        <v>982</v>
      </c>
      <c r="H235" s="9" t="s">
        <v>1326</v>
      </c>
      <c r="I235" s="9" t="s">
        <v>1327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>
      <c r="A236" s="7" t="s">
        <v>259</v>
      </c>
      <c r="B236" s="8">
        <v>653189026206</v>
      </c>
      <c r="C236" s="8" t="s">
        <v>85</v>
      </c>
      <c r="D236" s="7" t="s">
        <v>248</v>
      </c>
      <c r="E236" s="8" t="s">
        <v>12</v>
      </c>
      <c r="F236" s="9">
        <v>2521</v>
      </c>
      <c r="G236" s="9" t="s">
        <v>827</v>
      </c>
      <c r="H236" s="9" t="s">
        <v>1328</v>
      </c>
      <c r="I236" s="9" t="s">
        <v>1329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>
      <c r="A237" s="7" t="s">
        <v>260</v>
      </c>
      <c r="B237" s="8">
        <v>423152568123</v>
      </c>
      <c r="C237" s="8" t="s">
        <v>85</v>
      </c>
      <c r="D237" s="7" t="s">
        <v>248</v>
      </c>
      <c r="E237" s="8" t="s">
        <v>12</v>
      </c>
      <c r="F237" s="9">
        <v>2674</v>
      </c>
      <c r="G237" s="9" t="s">
        <v>827</v>
      </c>
      <c r="H237" s="9" t="s">
        <v>1330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>
      <c r="A238" s="7" t="s">
        <v>261</v>
      </c>
      <c r="B238" s="8">
        <v>543127859795</v>
      </c>
      <c r="C238" s="8" t="s">
        <v>85</v>
      </c>
      <c r="D238" s="7" t="s">
        <v>248</v>
      </c>
      <c r="E238" s="8" t="s">
        <v>14</v>
      </c>
      <c r="F238" s="9">
        <v>2601</v>
      </c>
      <c r="G238" s="9" t="s">
        <v>1227</v>
      </c>
      <c r="H238" s="9" t="s">
        <v>1331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>
      <c r="A239" s="7" t="s">
        <v>262</v>
      </c>
      <c r="B239" s="8">
        <v>318197043548</v>
      </c>
      <c r="C239" s="8" t="s">
        <v>85</v>
      </c>
      <c r="D239" s="7" t="s">
        <v>248</v>
      </c>
      <c r="E239" s="8" t="s">
        <v>12</v>
      </c>
      <c r="F239" s="9">
        <v>2705</v>
      </c>
      <c r="G239" s="9" t="s">
        <v>982</v>
      </c>
      <c r="H239" s="9" t="s">
        <v>1332</v>
      </c>
      <c r="I239" s="9" t="s">
        <v>1333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>
      <c r="A240" s="7" t="s">
        <v>263</v>
      </c>
      <c r="B240" s="8">
        <v>927107160421</v>
      </c>
      <c r="C240" s="8" t="s">
        <v>85</v>
      </c>
      <c r="D240" s="7" t="s">
        <v>248</v>
      </c>
      <c r="E240" s="8" t="s">
        <v>12</v>
      </c>
      <c r="F240" s="9">
        <v>2760</v>
      </c>
      <c r="G240" s="9" t="s">
        <v>849</v>
      </c>
      <c r="H240" s="9" t="s">
        <v>1334</v>
      </c>
      <c r="I240" s="9" t="s">
        <v>1335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>
      <c r="A241" s="7" t="s">
        <v>264</v>
      </c>
      <c r="B241" s="8">
        <v>130151805637</v>
      </c>
      <c r="C241" s="8" t="s">
        <v>85</v>
      </c>
      <c r="D241" s="7" t="s">
        <v>69</v>
      </c>
      <c r="E241" s="8" t="s">
        <v>14</v>
      </c>
      <c r="F241" s="10" t="s">
        <v>1336</v>
      </c>
      <c r="G241" s="9" t="s">
        <v>1045</v>
      </c>
      <c r="H241" s="9" t="s">
        <v>1337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>
      <c r="A242" s="7" t="s">
        <v>265</v>
      </c>
      <c r="B242" s="8">
        <v>143165762069</v>
      </c>
      <c r="C242" s="8" t="s">
        <v>85</v>
      </c>
      <c r="D242" s="7" t="s">
        <v>69</v>
      </c>
      <c r="E242" s="8" t="s">
        <v>14</v>
      </c>
      <c r="F242" s="10" t="s">
        <v>1338</v>
      </c>
      <c r="G242" s="9" t="s">
        <v>1045</v>
      </c>
      <c r="H242" s="9" t="s">
        <v>1339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>
      <c r="A243" s="7" t="s">
        <v>266</v>
      </c>
      <c r="B243" s="8">
        <v>598191375412</v>
      </c>
      <c r="C243" s="8" t="s">
        <v>85</v>
      </c>
      <c r="D243" s="7" t="s">
        <v>69</v>
      </c>
      <c r="E243" s="8" t="s">
        <v>14</v>
      </c>
      <c r="F243" s="10" t="s">
        <v>1340</v>
      </c>
      <c r="G243" s="9" t="s">
        <v>982</v>
      </c>
      <c r="H243" s="9" t="s">
        <v>1341</v>
      </c>
      <c r="I243" s="9" t="s">
        <v>1342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>
      <c r="A244" s="7" t="s">
        <v>267</v>
      </c>
      <c r="B244" s="8">
        <v>296150317528</v>
      </c>
      <c r="C244" s="8" t="s">
        <v>85</v>
      </c>
      <c r="D244" s="7" t="s">
        <v>69</v>
      </c>
      <c r="E244" s="8" t="s">
        <v>14</v>
      </c>
      <c r="F244" s="10" t="s">
        <v>1343</v>
      </c>
      <c r="G244" s="9" t="s">
        <v>992</v>
      </c>
      <c r="H244" s="9" t="s">
        <v>1344</v>
      </c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>
      <c r="A245" s="7" t="s">
        <v>268</v>
      </c>
      <c r="B245" s="8">
        <v>429127969509</v>
      </c>
      <c r="C245" s="8" t="s">
        <v>85</v>
      </c>
      <c r="D245" s="7" t="s">
        <v>69</v>
      </c>
      <c r="E245" s="8" t="s">
        <v>14</v>
      </c>
      <c r="F245" s="10" t="s">
        <v>1345</v>
      </c>
      <c r="G245" s="9" t="s">
        <v>982</v>
      </c>
      <c r="H245" s="9" t="s">
        <v>1346</v>
      </c>
      <c r="I245" s="9" t="s">
        <v>1347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>
      <c r="A246" s="7" t="s">
        <v>269</v>
      </c>
      <c r="B246" s="8">
        <v>649109540563</v>
      </c>
      <c r="C246" s="8" t="s">
        <v>85</v>
      </c>
      <c r="D246" s="7" t="s">
        <v>69</v>
      </c>
      <c r="E246" s="8" t="s">
        <v>14</v>
      </c>
      <c r="F246" s="10" t="s">
        <v>1348</v>
      </c>
      <c r="G246" s="9" t="s">
        <v>827</v>
      </c>
      <c r="H246" s="9" t="s">
        <v>1349</v>
      </c>
      <c r="I246" s="9" t="s">
        <v>1350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>
      <c r="A247" s="7" t="s">
        <v>270</v>
      </c>
      <c r="B247" s="8">
        <v>972182920695</v>
      </c>
      <c r="C247" s="8" t="s">
        <v>85</v>
      </c>
      <c r="D247" s="7" t="s">
        <v>69</v>
      </c>
      <c r="E247" s="8" t="s">
        <v>14</v>
      </c>
      <c r="F247" s="10" t="s">
        <v>1351</v>
      </c>
      <c r="G247" s="9" t="s">
        <v>1045</v>
      </c>
      <c r="H247" s="9" t="s">
        <v>1352</v>
      </c>
      <c r="I247" s="9" t="s">
        <v>1353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>
      <c r="A248" s="7" t="s">
        <v>271</v>
      </c>
      <c r="B248" s="8">
        <v>357181684840</v>
      </c>
      <c r="C248" s="8" t="s">
        <v>85</v>
      </c>
      <c r="D248" s="7" t="s">
        <v>69</v>
      </c>
      <c r="E248" s="8" t="s">
        <v>14</v>
      </c>
      <c r="F248" s="10" t="s">
        <v>1354</v>
      </c>
      <c r="G248" s="9" t="s">
        <v>982</v>
      </c>
      <c r="H248" s="9" t="s">
        <v>1355</v>
      </c>
      <c r="I248" s="9" t="s">
        <v>1356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>
      <c r="A249" s="7" t="s">
        <v>272</v>
      </c>
      <c r="B249" s="8">
        <v>405161986485</v>
      </c>
      <c r="C249" s="8" t="s">
        <v>85</v>
      </c>
      <c r="D249" s="7" t="s">
        <v>69</v>
      </c>
      <c r="E249" s="8" t="s">
        <v>14</v>
      </c>
      <c r="F249" s="10" t="s">
        <v>1357</v>
      </c>
      <c r="G249" s="9" t="s">
        <v>827</v>
      </c>
      <c r="H249" s="9" t="s">
        <v>1358</v>
      </c>
      <c r="I249" s="9" t="s">
        <v>1359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>
      <c r="A250" s="7" t="s">
        <v>273</v>
      </c>
      <c r="B250" s="8">
        <v>795196170456</v>
      </c>
      <c r="C250" s="8" t="s">
        <v>85</v>
      </c>
      <c r="D250" s="7" t="s">
        <v>69</v>
      </c>
      <c r="E250" s="8" t="s">
        <v>14</v>
      </c>
      <c r="F250" s="10" t="s">
        <v>1360</v>
      </c>
      <c r="G250" s="9" t="s">
        <v>992</v>
      </c>
      <c r="H250" s="9" t="s">
        <v>1361</v>
      </c>
      <c r="I250" s="9" t="s">
        <v>1362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>
      <c r="A251" s="7" t="s">
        <v>274</v>
      </c>
      <c r="B251" s="8">
        <v>792190383878</v>
      </c>
      <c r="C251" s="8" t="s">
        <v>85</v>
      </c>
      <c r="D251" s="7" t="s">
        <v>69</v>
      </c>
      <c r="E251" s="8" t="s">
        <v>14</v>
      </c>
      <c r="F251" s="10" t="s">
        <v>1363</v>
      </c>
      <c r="G251" s="9" t="s">
        <v>827</v>
      </c>
      <c r="H251" s="9" t="s">
        <v>1364</v>
      </c>
      <c r="I251" s="9" t="s">
        <v>1365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>
      <c r="A252" s="7" t="s">
        <v>275</v>
      </c>
      <c r="B252" s="8">
        <v>626109078528</v>
      </c>
      <c r="C252" s="8" t="s">
        <v>85</v>
      </c>
      <c r="D252" s="7" t="s">
        <v>69</v>
      </c>
      <c r="E252" s="8" t="s">
        <v>14</v>
      </c>
      <c r="F252" s="9">
        <v>2345</v>
      </c>
      <c r="G252" s="9" t="s">
        <v>992</v>
      </c>
      <c r="H252" s="9" t="s">
        <v>1366</v>
      </c>
      <c r="I252" s="9" t="s">
        <v>1367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>
      <c r="A253" s="7" t="s">
        <v>276</v>
      </c>
      <c r="B253" s="8">
        <v>832192515851</v>
      </c>
      <c r="C253" s="8" t="s">
        <v>85</v>
      </c>
      <c r="D253" s="7" t="s">
        <v>69</v>
      </c>
      <c r="E253" s="8" t="s">
        <v>14</v>
      </c>
      <c r="F253" s="9">
        <v>2344</v>
      </c>
      <c r="G253" s="9" t="s">
        <v>1368</v>
      </c>
      <c r="H253" s="9" t="s">
        <v>1369</v>
      </c>
      <c r="I253" s="9" t="s">
        <v>1370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>
      <c r="A254" s="7" t="s">
        <v>277</v>
      </c>
      <c r="B254" s="8">
        <v>529163026412</v>
      </c>
      <c r="C254" s="8" t="s">
        <v>85</v>
      </c>
      <c r="D254" s="7" t="s">
        <v>69</v>
      </c>
      <c r="E254" s="8" t="s">
        <v>14</v>
      </c>
      <c r="F254" s="9">
        <v>2416</v>
      </c>
      <c r="G254" s="9" t="s">
        <v>827</v>
      </c>
      <c r="H254" s="9" t="s">
        <v>1371</v>
      </c>
      <c r="I254" s="9" t="s">
        <v>1372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>
      <c r="A255" s="7" t="s">
        <v>278</v>
      </c>
      <c r="B255" s="8">
        <v>182137368351</v>
      </c>
      <c r="C255" s="8" t="s">
        <v>85</v>
      </c>
      <c r="D255" s="7" t="s">
        <v>69</v>
      </c>
      <c r="E255" s="8" t="s">
        <v>14</v>
      </c>
      <c r="F255" s="9">
        <v>2462</v>
      </c>
      <c r="G255" s="9" t="s">
        <v>1373</v>
      </c>
      <c r="H255" s="9" t="s">
        <v>1374</v>
      </c>
      <c r="I255" s="9" t="s">
        <v>1375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>
      <c r="A256" s="7" t="s">
        <v>279</v>
      </c>
      <c r="B256" s="8">
        <v>265124381798</v>
      </c>
      <c r="C256" s="8" t="s">
        <v>85</v>
      </c>
      <c r="D256" s="7" t="s">
        <v>69</v>
      </c>
      <c r="E256" s="8" t="s">
        <v>12</v>
      </c>
      <c r="F256" s="9">
        <v>2474</v>
      </c>
      <c r="G256" s="9" t="s">
        <v>871</v>
      </c>
      <c r="H256" s="9" t="s">
        <v>1376</v>
      </c>
      <c r="I256" s="9" t="s">
        <v>1377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>
      <c r="A257" s="7" t="s">
        <v>280</v>
      </c>
      <c r="B257" s="8">
        <v>520172853627</v>
      </c>
      <c r="C257" s="8" t="s">
        <v>85</v>
      </c>
      <c r="D257" s="7" t="s">
        <v>69</v>
      </c>
      <c r="E257" s="8" t="s">
        <v>14</v>
      </c>
      <c r="F257" s="9">
        <v>2466</v>
      </c>
      <c r="G257" s="9" t="s">
        <v>992</v>
      </c>
      <c r="H257" s="9" t="s">
        <v>1378</v>
      </c>
      <c r="I257" s="9" t="s">
        <v>1379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>
      <c r="A258" s="7" t="s">
        <v>281</v>
      </c>
      <c r="B258" s="8">
        <v>258162458472</v>
      </c>
      <c r="C258" s="8" t="s">
        <v>85</v>
      </c>
      <c r="D258" s="7" t="s">
        <v>69</v>
      </c>
      <c r="E258" s="8" t="s">
        <v>14</v>
      </c>
      <c r="F258" s="9">
        <v>2541</v>
      </c>
      <c r="G258" s="9" t="s">
        <v>992</v>
      </c>
      <c r="H258" s="9" t="s">
        <v>1380</v>
      </c>
      <c r="I258" s="9" t="s">
        <v>1381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>
      <c r="A259" s="7" t="s">
        <v>282</v>
      </c>
      <c r="B259" s="8">
        <v>407189748903</v>
      </c>
      <c r="C259" s="8" t="s">
        <v>85</v>
      </c>
      <c r="D259" s="7" t="s">
        <v>69</v>
      </c>
      <c r="E259" s="8" t="s">
        <v>14</v>
      </c>
      <c r="F259" s="9">
        <v>2544</v>
      </c>
      <c r="G259" s="9" t="s">
        <v>982</v>
      </c>
      <c r="H259" s="9" t="s">
        <v>1382</v>
      </c>
      <c r="I259" s="9" t="s">
        <v>1383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>
      <c r="A260" s="7" t="s">
        <v>283</v>
      </c>
      <c r="B260" s="8">
        <v>379179346029</v>
      </c>
      <c r="C260" s="8" t="s">
        <v>85</v>
      </c>
      <c r="D260" s="7" t="s">
        <v>69</v>
      </c>
      <c r="E260" s="8" t="s">
        <v>14</v>
      </c>
      <c r="F260" s="9">
        <v>2326</v>
      </c>
      <c r="G260" s="9" t="s">
        <v>1227</v>
      </c>
      <c r="H260" s="9" t="s">
        <v>1384</v>
      </c>
      <c r="I260" s="9">
        <v>201111445648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>
      <c r="A261" s="7" t="s">
        <v>284</v>
      </c>
      <c r="B261" s="8">
        <v>524121597260</v>
      </c>
      <c r="C261" s="8" t="s">
        <v>85</v>
      </c>
      <c r="D261" s="7" t="s">
        <v>69</v>
      </c>
      <c r="E261" s="8" t="s">
        <v>12</v>
      </c>
      <c r="F261" s="9">
        <v>2608</v>
      </c>
      <c r="G261" s="9" t="s">
        <v>1227</v>
      </c>
      <c r="H261" s="9" t="s">
        <v>1385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>
      <c r="A262" s="7" t="s">
        <v>285</v>
      </c>
      <c r="B262" s="8">
        <v>370154903174</v>
      </c>
      <c r="C262" s="8" t="s">
        <v>85</v>
      </c>
      <c r="D262" s="7" t="s">
        <v>69</v>
      </c>
      <c r="E262" s="8" t="s">
        <v>14</v>
      </c>
      <c r="F262" s="9">
        <v>2733</v>
      </c>
      <c r="G262" s="9" t="s">
        <v>992</v>
      </c>
      <c r="H262" s="9" t="s">
        <v>1386</v>
      </c>
      <c r="I262" s="9" t="s">
        <v>1387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>
      <c r="A263" s="7" t="s">
        <v>286</v>
      </c>
      <c r="B263" s="8">
        <v>267120267316</v>
      </c>
      <c r="C263" s="8" t="s">
        <v>85</v>
      </c>
      <c r="D263" s="7" t="s">
        <v>69</v>
      </c>
      <c r="E263" s="8" t="s">
        <v>14</v>
      </c>
      <c r="F263" s="9">
        <v>2731</v>
      </c>
      <c r="G263" s="9" t="s">
        <v>997</v>
      </c>
      <c r="H263" s="9" t="s">
        <v>1388</v>
      </c>
      <c r="I263" s="9" t="s">
        <v>1389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>
      <c r="A264" s="7" t="s">
        <v>287</v>
      </c>
      <c r="B264" s="8">
        <v>260139845925</v>
      </c>
      <c r="C264" s="8" t="s">
        <v>85</v>
      </c>
      <c r="D264" s="7" t="s">
        <v>69</v>
      </c>
      <c r="E264" s="8" t="s">
        <v>14</v>
      </c>
      <c r="F264" s="9">
        <v>2708</v>
      </c>
      <c r="G264" s="9" t="s">
        <v>997</v>
      </c>
      <c r="H264" s="9" t="s">
        <v>1390</v>
      </c>
      <c r="I264" s="9" t="s">
        <v>1391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>
      <c r="A265" s="7" t="s">
        <v>288</v>
      </c>
      <c r="B265" s="8">
        <v>493101971496</v>
      </c>
      <c r="C265" s="8" t="s">
        <v>85</v>
      </c>
      <c r="D265" s="7" t="s">
        <v>69</v>
      </c>
      <c r="E265" s="8" t="s">
        <v>12</v>
      </c>
      <c r="F265" s="9">
        <v>2732</v>
      </c>
      <c r="G265" s="9" t="s">
        <v>827</v>
      </c>
      <c r="H265" s="9" t="s">
        <v>1392</v>
      </c>
      <c r="I265" s="9" t="s">
        <v>1393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>
      <c r="A266" s="7" t="s">
        <v>289</v>
      </c>
      <c r="B266" s="8">
        <v>706121920140</v>
      </c>
      <c r="C266" s="8" t="s">
        <v>85</v>
      </c>
      <c r="D266" s="7" t="s">
        <v>69</v>
      </c>
      <c r="E266" s="8" t="s">
        <v>12</v>
      </c>
      <c r="F266" s="9">
        <v>2724</v>
      </c>
      <c r="G266" s="9" t="s">
        <v>992</v>
      </c>
      <c r="H266" s="9" t="s">
        <v>1394</v>
      </c>
      <c r="I266" s="9" t="s">
        <v>1395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>
      <c r="A267" s="7" t="s">
        <v>290</v>
      </c>
      <c r="B267" s="8">
        <v>320151393513</v>
      </c>
      <c r="C267" s="8" t="s">
        <v>85</v>
      </c>
      <c r="D267" s="7" t="s">
        <v>69</v>
      </c>
      <c r="E267" s="8" t="s">
        <v>14</v>
      </c>
      <c r="F267" s="9">
        <v>2706</v>
      </c>
      <c r="G267" s="9" t="s">
        <v>849</v>
      </c>
      <c r="H267" s="9" t="s">
        <v>1396</v>
      </c>
      <c r="I267" s="9" t="s">
        <v>1397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>
      <c r="A268" s="7" t="s">
        <v>291</v>
      </c>
      <c r="B268" s="8">
        <v>279170372636</v>
      </c>
      <c r="C268" s="8" t="s">
        <v>85</v>
      </c>
      <c r="D268" s="7" t="s">
        <v>69</v>
      </c>
      <c r="E268" s="8" t="s">
        <v>12</v>
      </c>
      <c r="F268" s="9">
        <v>2677</v>
      </c>
      <c r="G268" s="9" t="s">
        <v>1373</v>
      </c>
      <c r="H268" s="9" t="s">
        <v>1398</v>
      </c>
      <c r="I268" s="9" t="s">
        <v>1399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>
      <c r="A269" s="7" t="s">
        <v>292</v>
      </c>
      <c r="B269" s="8">
        <v>105143030564</v>
      </c>
      <c r="C269" s="8" t="s">
        <v>85</v>
      </c>
      <c r="D269" s="7" t="s">
        <v>69</v>
      </c>
      <c r="E269" s="8" t="s">
        <v>14</v>
      </c>
      <c r="F269" s="9">
        <v>2753</v>
      </c>
      <c r="G269" s="9" t="s">
        <v>849</v>
      </c>
      <c r="H269" s="9" t="s">
        <v>1400</v>
      </c>
      <c r="I269" s="9" t="s">
        <v>1401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>
      <c r="A270" s="7" t="s">
        <v>293</v>
      </c>
      <c r="B270" s="8">
        <v>706169030428</v>
      </c>
      <c r="C270" s="8" t="s">
        <v>85</v>
      </c>
      <c r="D270" s="7" t="s">
        <v>69</v>
      </c>
      <c r="E270" s="8" t="s">
        <v>14</v>
      </c>
      <c r="F270" s="9">
        <v>2610</v>
      </c>
      <c r="G270" s="9" t="s">
        <v>849</v>
      </c>
      <c r="H270" s="9" t="s">
        <v>1402</v>
      </c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>
      <c r="A271" s="7" t="s">
        <v>294</v>
      </c>
      <c r="B271" s="8">
        <v>415120941851</v>
      </c>
      <c r="C271" s="8" t="s">
        <v>85</v>
      </c>
      <c r="D271" s="7" t="s">
        <v>69</v>
      </c>
      <c r="E271" s="8" t="s">
        <v>14</v>
      </c>
      <c r="F271" s="9">
        <v>2699</v>
      </c>
      <c r="G271" s="9" t="s">
        <v>849</v>
      </c>
      <c r="H271" s="9" t="s">
        <v>1403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>
      <c r="A272" s="7" t="s">
        <v>295</v>
      </c>
      <c r="B272" s="8">
        <v>787132953842</v>
      </c>
      <c r="C272" s="8" t="s">
        <v>85</v>
      </c>
      <c r="D272" s="7" t="s">
        <v>69</v>
      </c>
      <c r="E272" s="8" t="s">
        <v>12</v>
      </c>
      <c r="F272" s="9">
        <v>2631</v>
      </c>
      <c r="G272" s="9" t="s">
        <v>1227</v>
      </c>
      <c r="H272" s="9" t="s">
        <v>1404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>
      <c r="A273" s="7" t="s">
        <v>296</v>
      </c>
      <c r="B273" s="8">
        <v>867195425601</v>
      </c>
      <c r="C273" s="8" t="s">
        <v>85</v>
      </c>
      <c r="D273" s="7" t="s">
        <v>69</v>
      </c>
      <c r="E273" s="8" t="s">
        <v>12</v>
      </c>
      <c r="F273" s="9">
        <v>2806</v>
      </c>
      <c r="G273" s="9" t="s">
        <v>849</v>
      </c>
      <c r="H273" s="9" t="s">
        <v>1405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>
      <c r="A274" s="7" t="s">
        <v>297</v>
      </c>
      <c r="B274" s="8">
        <v>976123902784</v>
      </c>
      <c r="C274" s="8" t="s">
        <v>85</v>
      </c>
      <c r="D274" s="7" t="s">
        <v>298</v>
      </c>
      <c r="E274" s="8" t="s">
        <v>14</v>
      </c>
      <c r="F274" s="10" t="s">
        <v>1406</v>
      </c>
      <c r="G274" s="9"/>
      <c r="H274" s="9" t="s">
        <v>1407</v>
      </c>
      <c r="I274" s="9" t="s">
        <v>1408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>
      <c r="A275" s="7" t="s">
        <v>299</v>
      </c>
      <c r="B275" s="8">
        <v>345151236382</v>
      </c>
      <c r="C275" s="8" t="s">
        <v>85</v>
      </c>
      <c r="D275" s="7" t="s">
        <v>298</v>
      </c>
      <c r="E275" s="8" t="s">
        <v>14</v>
      </c>
      <c r="F275" s="10" t="s">
        <v>1409</v>
      </c>
      <c r="G275" s="9"/>
      <c r="H275" s="9" t="s">
        <v>1410</v>
      </c>
      <c r="I275" s="9" t="s">
        <v>1411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>
      <c r="A276" s="7" t="s">
        <v>300</v>
      </c>
      <c r="B276" s="8">
        <v>213156056568</v>
      </c>
      <c r="C276" s="8" t="s">
        <v>301</v>
      </c>
      <c r="D276" s="8" t="s">
        <v>25</v>
      </c>
      <c r="E276" s="8" t="s">
        <v>14</v>
      </c>
      <c r="F276" s="10" t="s">
        <v>1412</v>
      </c>
      <c r="G276" s="9"/>
      <c r="H276" s="9" t="s">
        <v>1413</v>
      </c>
      <c r="I276" s="9" t="s">
        <v>1414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>
      <c r="A277" s="7" t="s">
        <v>302</v>
      </c>
      <c r="B277" s="8">
        <v>718163107616</v>
      </c>
      <c r="C277" s="8" t="s">
        <v>301</v>
      </c>
      <c r="D277" s="8" t="s">
        <v>25</v>
      </c>
      <c r="E277" s="8" t="s">
        <v>14</v>
      </c>
      <c r="F277" s="10" t="s">
        <v>1415</v>
      </c>
      <c r="G277" s="9"/>
      <c r="H277" s="9" t="s">
        <v>1416</v>
      </c>
      <c r="I277" s="9" t="s">
        <v>1417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>
      <c r="A278" s="7" t="s">
        <v>303</v>
      </c>
      <c r="B278" s="8">
        <v>506129791876</v>
      </c>
      <c r="C278" s="8" t="s">
        <v>301</v>
      </c>
      <c r="D278" s="8" t="s">
        <v>25</v>
      </c>
      <c r="E278" s="8" t="s">
        <v>12</v>
      </c>
      <c r="F278" s="10">
        <v>2306</v>
      </c>
      <c r="G278" s="9"/>
      <c r="H278" s="9" t="s">
        <v>1418</v>
      </c>
      <c r="I278" s="9" t="s">
        <v>1419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>
      <c r="A279" s="7" t="s">
        <v>304</v>
      </c>
      <c r="B279" s="8">
        <v>272137480185</v>
      </c>
      <c r="C279" s="8" t="s">
        <v>301</v>
      </c>
      <c r="D279" s="8" t="s">
        <v>25</v>
      </c>
      <c r="E279" s="8" t="s">
        <v>14</v>
      </c>
      <c r="F279" s="9">
        <v>2358</v>
      </c>
      <c r="G279" s="9" t="s">
        <v>1420</v>
      </c>
      <c r="H279" s="9" t="s">
        <v>1421</v>
      </c>
      <c r="I279" s="9">
        <v>1097660471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>
      <c r="A280" s="7" t="s">
        <v>305</v>
      </c>
      <c r="B280" s="8">
        <v>146150758976</v>
      </c>
      <c r="C280" s="8" t="s">
        <v>301</v>
      </c>
      <c r="D280" s="8" t="s">
        <v>25</v>
      </c>
      <c r="E280" s="8" t="s">
        <v>14</v>
      </c>
      <c r="F280" s="9">
        <v>2375</v>
      </c>
      <c r="G280" s="9" t="s">
        <v>982</v>
      </c>
      <c r="H280" s="9" t="s">
        <v>1422</v>
      </c>
      <c r="I280" s="9" t="s">
        <v>1423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>
      <c r="A281" s="7" t="s">
        <v>306</v>
      </c>
      <c r="B281" s="8">
        <v>969125749578</v>
      </c>
      <c r="C281" s="8" t="s">
        <v>301</v>
      </c>
      <c r="D281" s="8" t="s">
        <v>25</v>
      </c>
      <c r="E281" s="8" t="s">
        <v>14</v>
      </c>
      <c r="F281" s="9">
        <v>2398</v>
      </c>
      <c r="G281" s="9" t="s">
        <v>982</v>
      </c>
      <c r="H281" s="9" t="s">
        <v>1424</v>
      </c>
      <c r="I281" s="9" t="s">
        <v>1425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>
      <c r="A282" s="7" t="s">
        <v>307</v>
      </c>
      <c r="B282" s="8">
        <v>304190123013</v>
      </c>
      <c r="C282" s="8" t="s">
        <v>301</v>
      </c>
      <c r="D282" s="8" t="s">
        <v>25</v>
      </c>
      <c r="E282" s="8" t="s">
        <v>12</v>
      </c>
      <c r="F282" s="9">
        <v>2420</v>
      </c>
      <c r="G282" s="9" t="s">
        <v>1426</v>
      </c>
      <c r="H282" s="9" t="s">
        <v>1427</v>
      </c>
      <c r="I282" s="9" t="s">
        <v>1428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>
      <c r="A283" s="7" t="s">
        <v>308</v>
      </c>
      <c r="B283" s="8">
        <v>618181648630</v>
      </c>
      <c r="C283" s="8" t="s">
        <v>301</v>
      </c>
      <c r="D283" s="8" t="s">
        <v>25</v>
      </c>
      <c r="E283" s="8" t="s">
        <v>14</v>
      </c>
      <c r="F283" s="9">
        <v>2373</v>
      </c>
      <c r="G283" s="9" t="s">
        <v>982</v>
      </c>
      <c r="H283" s="9" t="s">
        <v>1429</v>
      </c>
      <c r="I283" s="9" t="s">
        <v>1430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>
      <c r="A284" s="7" t="s">
        <v>309</v>
      </c>
      <c r="B284" s="8">
        <v>864160753024</v>
      </c>
      <c r="C284" s="8" t="s">
        <v>301</v>
      </c>
      <c r="D284" s="8" t="s">
        <v>25</v>
      </c>
      <c r="E284" s="8" t="s">
        <v>14</v>
      </c>
      <c r="F284" s="9">
        <v>2424</v>
      </c>
      <c r="G284" s="9" t="s">
        <v>1420</v>
      </c>
      <c r="H284" s="9" t="s">
        <v>1431</v>
      </c>
      <c r="I284" s="9" t="s">
        <v>1432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>
      <c r="A285" s="7" t="s">
        <v>310</v>
      </c>
      <c r="B285" s="8">
        <v>707135059424</v>
      </c>
      <c r="C285" s="8" t="s">
        <v>301</v>
      </c>
      <c r="D285" s="8" t="s">
        <v>25</v>
      </c>
      <c r="E285" s="8" t="s">
        <v>14</v>
      </c>
      <c r="F285" s="9">
        <v>2497</v>
      </c>
      <c r="G285" s="9" t="s">
        <v>1433</v>
      </c>
      <c r="H285" s="9" t="s">
        <v>1434</v>
      </c>
      <c r="I285" s="9" t="s">
        <v>1435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>
      <c r="A286" s="7" t="s">
        <v>311</v>
      </c>
      <c r="B286" s="8">
        <v>206148501987</v>
      </c>
      <c r="C286" s="8" t="s">
        <v>301</v>
      </c>
      <c r="D286" s="8" t="s">
        <v>25</v>
      </c>
      <c r="E286" s="8" t="s">
        <v>14</v>
      </c>
      <c r="F286" s="9">
        <v>2496</v>
      </c>
      <c r="G286" s="9" t="s">
        <v>1436</v>
      </c>
      <c r="H286" s="9" t="s">
        <v>1437</v>
      </c>
      <c r="I286" s="9" t="s">
        <v>1438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>
      <c r="A287" s="7" t="s">
        <v>312</v>
      </c>
      <c r="B287" s="8">
        <v>809150758018</v>
      </c>
      <c r="C287" s="8" t="s">
        <v>301</v>
      </c>
      <c r="D287" s="8" t="s">
        <v>25</v>
      </c>
      <c r="E287" s="8" t="s">
        <v>14</v>
      </c>
      <c r="F287" s="9">
        <v>2564</v>
      </c>
      <c r="G287" s="9" t="s">
        <v>1433</v>
      </c>
      <c r="H287" s="9" t="s">
        <v>1439</v>
      </c>
      <c r="I287" s="9" t="s">
        <v>1440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>
      <c r="A288" s="7" t="s">
        <v>313</v>
      </c>
      <c r="B288" s="8">
        <v>816138159850</v>
      </c>
      <c r="C288" s="8" t="s">
        <v>301</v>
      </c>
      <c r="D288" s="8" t="s">
        <v>25</v>
      </c>
      <c r="E288" s="8" t="s">
        <v>14</v>
      </c>
      <c r="F288" s="9">
        <v>2661</v>
      </c>
      <c r="G288" s="9" t="s">
        <v>1420</v>
      </c>
      <c r="H288" s="9" t="s">
        <v>1441</v>
      </c>
      <c r="I288" s="9" t="s">
        <v>1442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>
      <c r="A289" s="7" t="s">
        <v>314</v>
      </c>
      <c r="B289" s="8">
        <v>840176714634</v>
      </c>
      <c r="C289" s="8" t="s">
        <v>301</v>
      </c>
      <c r="D289" s="8" t="s">
        <v>25</v>
      </c>
      <c r="E289" s="8" t="s">
        <v>12</v>
      </c>
      <c r="F289" s="9">
        <v>2584</v>
      </c>
      <c r="G289" s="9" t="s">
        <v>1433</v>
      </c>
      <c r="H289" s="9" t="s">
        <v>1443</v>
      </c>
      <c r="I289" s="9" t="s">
        <v>1444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>
      <c r="A290" s="7" t="s">
        <v>315</v>
      </c>
      <c r="B290" s="8">
        <v>270138641795</v>
      </c>
      <c r="C290" s="8" t="s">
        <v>301</v>
      </c>
      <c r="D290" s="8" t="s">
        <v>25</v>
      </c>
      <c r="E290" s="8" t="s">
        <v>14</v>
      </c>
      <c r="F290" s="9">
        <v>2612</v>
      </c>
      <c r="G290" s="9" t="s">
        <v>1248</v>
      </c>
      <c r="H290" s="9" t="s">
        <v>1445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>
      <c r="A291" s="7" t="s">
        <v>316</v>
      </c>
      <c r="B291" s="8">
        <v>623198675307</v>
      </c>
      <c r="C291" s="8" t="s">
        <v>301</v>
      </c>
      <c r="D291" s="8" t="s">
        <v>25</v>
      </c>
      <c r="E291" s="8" t="s">
        <v>12</v>
      </c>
      <c r="F291" s="9">
        <v>2613</v>
      </c>
      <c r="G291" s="9" t="s">
        <v>1248</v>
      </c>
      <c r="H291" s="9" t="s">
        <v>1446</v>
      </c>
      <c r="I291" s="9" t="s">
        <v>1447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>
      <c r="A292" s="7" t="s">
        <v>317</v>
      </c>
      <c r="B292" s="8">
        <v>972107636075</v>
      </c>
      <c r="C292" s="8" t="s">
        <v>301</v>
      </c>
      <c r="D292" s="8" t="s">
        <v>25</v>
      </c>
      <c r="E292" s="8" t="s">
        <v>14</v>
      </c>
      <c r="F292" s="9">
        <v>2621</v>
      </c>
      <c r="G292" s="9" t="s">
        <v>1433</v>
      </c>
      <c r="H292" s="9" t="s">
        <v>1448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>
      <c r="A293" s="7" t="s">
        <v>318</v>
      </c>
      <c r="B293" s="8">
        <v>164181742498</v>
      </c>
      <c r="C293" s="8" t="s">
        <v>301</v>
      </c>
      <c r="D293" s="8" t="s">
        <v>25</v>
      </c>
      <c r="E293" s="8" t="s">
        <v>14</v>
      </c>
      <c r="F293" s="9">
        <v>2554</v>
      </c>
      <c r="G293" s="9" t="s">
        <v>1449</v>
      </c>
      <c r="H293" s="9" t="s">
        <v>1450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>
      <c r="A294" s="7" t="s">
        <v>319</v>
      </c>
      <c r="B294" s="8">
        <v>576150576975</v>
      </c>
      <c r="C294" s="8" t="s">
        <v>301</v>
      </c>
      <c r="D294" s="8" t="s">
        <v>25</v>
      </c>
      <c r="E294" s="8" t="s">
        <v>14</v>
      </c>
      <c r="F294" s="9">
        <v>2615</v>
      </c>
      <c r="G294" s="9" t="s">
        <v>1248</v>
      </c>
      <c r="H294" s="9" t="s">
        <v>1451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>
      <c r="A295" s="7" t="s">
        <v>320</v>
      </c>
      <c r="B295" s="8">
        <v>430136109307</v>
      </c>
      <c r="C295" s="8" t="s">
        <v>301</v>
      </c>
      <c r="D295" s="8" t="s">
        <v>25</v>
      </c>
      <c r="E295" s="8" t="s">
        <v>14</v>
      </c>
      <c r="F295" s="9">
        <v>2664</v>
      </c>
      <c r="G295" s="9" t="s">
        <v>1452</v>
      </c>
      <c r="H295" s="9" t="s">
        <v>1453</v>
      </c>
      <c r="I295" s="9" t="s">
        <v>1454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>
      <c r="A296" s="7" t="s">
        <v>321</v>
      </c>
      <c r="B296" s="8">
        <v>147134575647</v>
      </c>
      <c r="C296" s="8" t="s">
        <v>301</v>
      </c>
      <c r="D296" s="8" t="s">
        <v>25</v>
      </c>
      <c r="E296" s="8" t="s">
        <v>14</v>
      </c>
      <c r="F296" s="9">
        <v>2611</v>
      </c>
      <c r="G296" s="9" t="s">
        <v>1248</v>
      </c>
      <c r="H296" s="9" t="s">
        <v>1455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>
      <c r="A297" s="7" t="s">
        <v>322</v>
      </c>
      <c r="B297" s="8">
        <v>615125769823</v>
      </c>
      <c r="C297" s="8" t="s">
        <v>301</v>
      </c>
      <c r="D297" s="8" t="s">
        <v>25</v>
      </c>
      <c r="E297" s="8" t="s">
        <v>14</v>
      </c>
      <c r="F297" s="9">
        <v>2660</v>
      </c>
      <c r="G297" s="9" t="s">
        <v>1433</v>
      </c>
      <c r="H297" s="9" t="s">
        <v>1456</v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>
      <c r="A298" s="7" t="s">
        <v>323</v>
      </c>
      <c r="B298" s="8">
        <v>502143048426</v>
      </c>
      <c r="C298" s="8" t="s">
        <v>301</v>
      </c>
      <c r="D298" s="8" t="s">
        <v>25</v>
      </c>
      <c r="E298" s="8" t="s">
        <v>14</v>
      </c>
      <c r="F298" s="9">
        <v>2700</v>
      </c>
      <c r="G298" s="9" t="s">
        <v>1433</v>
      </c>
      <c r="H298" s="9" t="s">
        <v>1457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>
      <c r="A299" s="7" t="s">
        <v>324</v>
      </c>
      <c r="B299" s="8">
        <v>625156230340</v>
      </c>
      <c r="C299" s="8" t="s">
        <v>301</v>
      </c>
      <c r="D299" s="8" t="s">
        <v>25</v>
      </c>
      <c r="E299" s="8" t="s">
        <v>12</v>
      </c>
      <c r="F299" s="9">
        <v>2620</v>
      </c>
      <c r="G299" s="9" t="s">
        <v>1248</v>
      </c>
      <c r="H299" s="9" t="s">
        <v>1458</v>
      </c>
      <c r="I299" s="9" t="s">
        <v>1459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>
      <c r="A300" s="7" t="s">
        <v>325</v>
      </c>
      <c r="B300" s="8">
        <v>698108096794</v>
      </c>
      <c r="C300" s="8" t="s">
        <v>301</v>
      </c>
      <c r="D300" s="8" t="s">
        <v>47</v>
      </c>
      <c r="E300" s="8" t="s">
        <v>14</v>
      </c>
      <c r="F300" s="10" t="s">
        <v>1460</v>
      </c>
      <c r="G300" s="9"/>
      <c r="H300" s="9" t="s">
        <v>1461</v>
      </c>
      <c r="I300" s="9" t="s">
        <v>1462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>
      <c r="A301" s="7" t="s">
        <v>326</v>
      </c>
      <c r="B301" s="8">
        <v>493132436783</v>
      </c>
      <c r="C301" s="8" t="s">
        <v>301</v>
      </c>
      <c r="D301" s="8" t="s">
        <v>47</v>
      </c>
      <c r="E301" s="8" t="s">
        <v>12</v>
      </c>
      <c r="F301" s="10" t="s">
        <v>1463</v>
      </c>
      <c r="G301" s="9"/>
      <c r="H301" s="9" t="s">
        <v>1464</v>
      </c>
      <c r="I301" s="9" t="s">
        <v>1465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>
      <c r="A302" s="7" t="s">
        <v>327</v>
      </c>
      <c r="B302" s="8">
        <v>490182879383</v>
      </c>
      <c r="C302" s="8" t="s">
        <v>301</v>
      </c>
      <c r="D302" s="8" t="s">
        <v>47</v>
      </c>
      <c r="E302" s="8" t="s">
        <v>14</v>
      </c>
      <c r="F302" s="10" t="s">
        <v>1466</v>
      </c>
      <c r="G302" s="9"/>
      <c r="H302" s="9" t="s">
        <v>1467</v>
      </c>
      <c r="I302" s="9" t="s">
        <v>1468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>
      <c r="A303" s="7" t="s">
        <v>328</v>
      </c>
      <c r="B303" s="8">
        <v>512143279207</v>
      </c>
      <c r="C303" s="8" t="s">
        <v>301</v>
      </c>
      <c r="D303" s="8" t="s">
        <v>47</v>
      </c>
      <c r="E303" s="8" t="s">
        <v>14</v>
      </c>
      <c r="F303" s="10" t="s">
        <v>1469</v>
      </c>
      <c r="G303" s="9"/>
      <c r="H303" s="9" t="s">
        <v>1470</v>
      </c>
      <c r="I303" s="9" t="s">
        <v>1471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>
      <c r="A304" s="7" t="s">
        <v>329</v>
      </c>
      <c r="B304" s="8">
        <v>289190751325</v>
      </c>
      <c r="C304" s="8" t="s">
        <v>301</v>
      </c>
      <c r="D304" s="8" t="s">
        <v>47</v>
      </c>
      <c r="E304" s="8" t="s">
        <v>14</v>
      </c>
      <c r="F304" s="10" t="s">
        <v>1472</v>
      </c>
      <c r="G304" s="9"/>
      <c r="H304" s="9" t="s">
        <v>1473</v>
      </c>
      <c r="I304" s="9" t="s">
        <v>1474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>
      <c r="A305" s="7" t="s">
        <v>330</v>
      </c>
      <c r="B305" s="8">
        <v>270108515474</v>
      </c>
      <c r="C305" s="8" t="s">
        <v>301</v>
      </c>
      <c r="D305" s="8" t="s">
        <v>47</v>
      </c>
      <c r="E305" s="8" t="s">
        <v>14</v>
      </c>
      <c r="F305" s="10" t="s">
        <v>1475</v>
      </c>
      <c r="G305" s="9"/>
      <c r="H305" s="9" t="s">
        <v>1476</v>
      </c>
      <c r="I305" s="9" t="s">
        <v>1477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>
      <c r="A306" s="7" t="s">
        <v>331</v>
      </c>
      <c r="B306" s="8">
        <v>134186426410</v>
      </c>
      <c r="C306" s="8" t="s">
        <v>301</v>
      </c>
      <c r="D306" s="8" t="s">
        <v>47</v>
      </c>
      <c r="E306" s="8" t="s">
        <v>14</v>
      </c>
      <c r="F306" s="9">
        <v>2046</v>
      </c>
      <c r="G306" s="9" t="s">
        <v>1248</v>
      </c>
      <c r="H306" s="9" t="s">
        <v>1478</v>
      </c>
      <c r="I306" s="9" t="s">
        <v>1479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>
      <c r="A307" s="7" t="s">
        <v>332</v>
      </c>
      <c r="B307" s="8">
        <v>402149131917</v>
      </c>
      <c r="C307" s="8" t="s">
        <v>301</v>
      </c>
      <c r="D307" s="8" t="s">
        <v>47</v>
      </c>
      <c r="E307" s="8" t="s">
        <v>14</v>
      </c>
      <c r="F307" s="9">
        <v>2073</v>
      </c>
      <c r="G307" s="9"/>
      <c r="H307" s="9" t="s">
        <v>1480</v>
      </c>
      <c r="I307" s="9" t="s">
        <v>1481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>
      <c r="A308" s="7" t="s">
        <v>333</v>
      </c>
      <c r="B308" s="8">
        <v>462139893202</v>
      </c>
      <c r="C308" s="8" t="s">
        <v>301</v>
      </c>
      <c r="D308" s="8" t="s">
        <v>47</v>
      </c>
      <c r="E308" s="8" t="s">
        <v>14</v>
      </c>
      <c r="F308" s="9">
        <v>2413</v>
      </c>
      <c r="G308" s="9" t="s">
        <v>1248</v>
      </c>
      <c r="H308" s="9" t="s">
        <v>1482</v>
      </c>
      <c r="I308" s="9" t="s">
        <v>1483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>
      <c r="A309" s="7" t="s">
        <v>334</v>
      </c>
      <c r="B309" s="8">
        <v>828145048729</v>
      </c>
      <c r="C309" s="8" t="s">
        <v>301</v>
      </c>
      <c r="D309" s="8" t="s">
        <v>47</v>
      </c>
      <c r="E309" s="8" t="s">
        <v>14</v>
      </c>
      <c r="F309" s="9">
        <v>2429</v>
      </c>
      <c r="G309" s="9" t="s">
        <v>1248</v>
      </c>
      <c r="H309" s="9" t="s">
        <v>1484</v>
      </c>
      <c r="I309" s="9" t="s">
        <v>1485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>
      <c r="A310" s="7" t="s">
        <v>335</v>
      </c>
      <c r="B310" s="8">
        <v>619178602629</v>
      </c>
      <c r="C310" s="8" t="s">
        <v>301</v>
      </c>
      <c r="D310" s="8" t="s">
        <v>47</v>
      </c>
      <c r="E310" s="8" t="s">
        <v>12</v>
      </c>
      <c r="F310" s="9">
        <v>2470</v>
      </c>
      <c r="G310" s="9" t="s">
        <v>1248</v>
      </c>
      <c r="H310" s="9" t="s">
        <v>1486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>
      <c r="A311" s="7" t="s">
        <v>336</v>
      </c>
      <c r="B311" s="8">
        <v>718123675934</v>
      </c>
      <c r="C311" s="8" t="s">
        <v>301</v>
      </c>
      <c r="D311" s="8" t="s">
        <v>47</v>
      </c>
      <c r="E311" s="8" t="s">
        <v>14</v>
      </c>
      <c r="F311" s="9">
        <v>2449</v>
      </c>
      <c r="G311" s="9" t="s">
        <v>1248</v>
      </c>
      <c r="H311" s="9" t="s">
        <v>1487</v>
      </c>
      <c r="I311" s="9" t="s">
        <v>1488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>
      <c r="A312" s="7" t="s">
        <v>337</v>
      </c>
      <c r="B312" s="8">
        <v>796147347235</v>
      </c>
      <c r="C312" s="8" t="s">
        <v>301</v>
      </c>
      <c r="D312" s="8" t="s">
        <v>47</v>
      </c>
      <c r="E312" s="8" t="s">
        <v>14</v>
      </c>
      <c r="F312" s="9">
        <v>2457</v>
      </c>
      <c r="G312" s="9" t="s">
        <v>1248</v>
      </c>
      <c r="H312" s="9" t="s">
        <v>1489</v>
      </c>
      <c r="I312" s="9" t="s">
        <v>1490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>
      <c r="A313" s="7" t="s">
        <v>338</v>
      </c>
      <c r="B313" s="8">
        <v>186169282803</v>
      </c>
      <c r="C313" s="8" t="s">
        <v>301</v>
      </c>
      <c r="D313" s="8" t="s">
        <v>47</v>
      </c>
      <c r="E313" s="8" t="s">
        <v>14</v>
      </c>
      <c r="F313" s="9">
        <v>2044</v>
      </c>
      <c r="G313" s="9" t="s">
        <v>1248</v>
      </c>
      <c r="H313" s="9" t="s">
        <v>1491</v>
      </c>
      <c r="I313" s="9" t="s">
        <v>1492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>
      <c r="A314" s="7" t="s">
        <v>339</v>
      </c>
      <c r="B314" s="8">
        <v>403198357923</v>
      </c>
      <c r="C314" s="8" t="s">
        <v>301</v>
      </c>
      <c r="D314" s="8" t="s">
        <v>47</v>
      </c>
      <c r="E314" s="8" t="s">
        <v>12</v>
      </c>
      <c r="F314" s="9">
        <v>2516</v>
      </c>
      <c r="G314" s="9" t="s">
        <v>1248</v>
      </c>
      <c r="H314" s="9" t="s">
        <v>1493</v>
      </c>
      <c r="I314" s="9" t="s">
        <v>1494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>
      <c r="A315" s="7" t="s">
        <v>340</v>
      </c>
      <c r="B315" s="8">
        <v>125147363253</v>
      </c>
      <c r="C315" s="8" t="s">
        <v>301</v>
      </c>
      <c r="D315" s="8" t="s">
        <v>47</v>
      </c>
      <c r="E315" s="8" t="s">
        <v>14</v>
      </c>
      <c r="F315" s="9">
        <v>2050</v>
      </c>
      <c r="G315" s="9" t="s">
        <v>1248</v>
      </c>
      <c r="H315" s="9" t="s">
        <v>1495</v>
      </c>
      <c r="I315" s="9" t="s">
        <v>1496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>
      <c r="A316" s="7" t="s">
        <v>341</v>
      </c>
      <c r="B316" s="8">
        <v>485171368085</v>
      </c>
      <c r="C316" s="8" t="s">
        <v>301</v>
      </c>
      <c r="D316" s="8" t="s">
        <v>47</v>
      </c>
      <c r="E316" s="8" t="s">
        <v>12</v>
      </c>
      <c r="F316" s="9">
        <v>2566</v>
      </c>
      <c r="G316" s="9" t="s">
        <v>1248</v>
      </c>
      <c r="H316" s="9" t="s">
        <v>1497</v>
      </c>
      <c r="I316" s="9" t="s">
        <v>1498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>
      <c r="A317" s="7" t="s">
        <v>342</v>
      </c>
      <c r="B317" s="8">
        <v>876195784914</v>
      </c>
      <c r="C317" s="8" t="s">
        <v>301</v>
      </c>
      <c r="D317" s="8" t="s">
        <v>47</v>
      </c>
      <c r="E317" s="8" t="s">
        <v>12</v>
      </c>
      <c r="F317" s="9">
        <v>2553</v>
      </c>
      <c r="G317" s="9" t="s">
        <v>1248</v>
      </c>
      <c r="H317" s="9" t="s">
        <v>1499</v>
      </c>
      <c r="I317" s="9" t="s">
        <v>1500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>
      <c r="A318" s="7" t="s">
        <v>343</v>
      </c>
      <c r="B318" s="8">
        <v>472125058909</v>
      </c>
      <c r="C318" s="8" t="s">
        <v>301</v>
      </c>
      <c r="D318" s="8" t="s">
        <v>47</v>
      </c>
      <c r="E318" s="8" t="s">
        <v>14</v>
      </c>
      <c r="F318" s="9">
        <v>2578</v>
      </c>
      <c r="G318" s="9" t="s">
        <v>1501</v>
      </c>
      <c r="H318" s="9" t="s">
        <v>1502</v>
      </c>
      <c r="I318" s="9" t="s">
        <v>1503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>
      <c r="A319" s="7" t="s">
        <v>344</v>
      </c>
      <c r="B319" s="8">
        <v>463137028567</v>
      </c>
      <c r="C319" s="8" t="s">
        <v>301</v>
      </c>
      <c r="D319" s="8" t="s">
        <v>47</v>
      </c>
      <c r="E319" s="8" t="s">
        <v>12</v>
      </c>
      <c r="F319" s="9">
        <v>2563</v>
      </c>
      <c r="G319" s="9" t="s">
        <v>1449</v>
      </c>
      <c r="H319" s="9" t="s">
        <v>1504</v>
      </c>
      <c r="I319" s="9" t="s">
        <v>1505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>
      <c r="A320" s="7" t="s">
        <v>345</v>
      </c>
      <c r="B320" s="8">
        <v>697109284394</v>
      </c>
      <c r="C320" s="8" t="s">
        <v>301</v>
      </c>
      <c r="D320" s="8" t="s">
        <v>47</v>
      </c>
      <c r="E320" s="8" t="s">
        <v>12</v>
      </c>
      <c r="F320" s="9">
        <v>2586</v>
      </c>
      <c r="G320" s="9" t="s">
        <v>1248</v>
      </c>
      <c r="H320" s="9" t="s">
        <v>1506</v>
      </c>
      <c r="I320" s="9" t="s">
        <v>1507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>
      <c r="A321" s="7" t="s">
        <v>346</v>
      </c>
      <c r="B321" s="8">
        <v>897136858074</v>
      </c>
      <c r="C321" s="8" t="s">
        <v>301</v>
      </c>
      <c r="D321" s="8" t="s">
        <v>47</v>
      </c>
      <c r="E321" s="8" t="s">
        <v>14</v>
      </c>
      <c r="F321" s="9">
        <v>2768</v>
      </c>
      <c r="G321" s="9" t="s">
        <v>1248</v>
      </c>
      <c r="H321" s="9" t="s">
        <v>1508</v>
      </c>
      <c r="I321" s="9" t="s">
        <v>1509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>
      <c r="A322" s="7" t="s">
        <v>347</v>
      </c>
      <c r="B322" s="8">
        <v>396138480561</v>
      </c>
      <c r="C322" s="8" t="s">
        <v>301</v>
      </c>
      <c r="D322" s="8" t="s">
        <v>47</v>
      </c>
      <c r="E322" s="8" t="s">
        <v>12</v>
      </c>
      <c r="F322" s="9">
        <v>2047</v>
      </c>
      <c r="G322" s="9" t="s">
        <v>1248</v>
      </c>
      <c r="H322" s="9" t="s">
        <v>1510</v>
      </c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>
      <c r="A323" s="7" t="s">
        <v>348</v>
      </c>
      <c r="B323" s="8">
        <v>417127195646</v>
      </c>
      <c r="C323" s="8" t="s">
        <v>301</v>
      </c>
      <c r="D323" s="8" t="s">
        <v>170</v>
      </c>
      <c r="E323" s="8" t="s">
        <v>14</v>
      </c>
      <c r="F323" s="10" t="s">
        <v>1511</v>
      </c>
      <c r="G323" s="9" t="s">
        <v>1248</v>
      </c>
      <c r="H323" s="9" t="s">
        <v>1512</v>
      </c>
      <c r="I323" s="9" t="s">
        <v>1513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>
      <c r="A324" s="7" t="s">
        <v>349</v>
      </c>
      <c r="B324" s="8">
        <v>980198527154</v>
      </c>
      <c r="C324" s="8" t="s">
        <v>301</v>
      </c>
      <c r="D324" s="8" t="s">
        <v>170</v>
      </c>
      <c r="E324" s="8" t="s">
        <v>14</v>
      </c>
      <c r="F324" s="10" t="s">
        <v>1514</v>
      </c>
      <c r="G324" s="9" t="s">
        <v>1248</v>
      </c>
      <c r="H324" s="9" t="s">
        <v>1515</v>
      </c>
      <c r="I324" s="9" t="s">
        <v>1516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>
      <c r="A325" s="7" t="s">
        <v>350</v>
      </c>
      <c r="B325" s="8">
        <v>630168374236</v>
      </c>
      <c r="C325" s="8" t="s">
        <v>301</v>
      </c>
      <c r="D325" s="8" t="s">
        <v>170</v>
      </c>
      <c r="E325" s="8" t="s">
        <v>14</v>
      </c>
      <c r="F325" s="10" t="s">
        <v>1517</v>
      </c>
      <c r="G325" s="9" t="s">
        <v>1518</v>
      </c>
      <c r="H325" s="9" t="s">
        <v>1519</v>
      </c>
      <c r="I325" s="9" t="s">
        <v>1520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>
      <c r="A326" s="7" t="s">
        <v>351</v>
      </c>
      <c r="B326" s="8">
        <v>586171628191</v>
      </c>
      <c r="C326" s="8" t="s">
        <v>301</v>
      </c>
      <c r="D326" s="8" t="s">
        <v>170</v>
      </c>
      <c r="E326" s="8" t="s">
        <v>14</v>
      </c>
      <c r="F326" s="10" t="s">
        <v>1521</v>
      </c>
      <c r="G326" s="9" t="s">
        <v>1248</v>
      </c>
      <c r="H326" s="9" t="s">
        <v>1522</v>
      </c>
      <c r="I326" s="9" t="s">
        <v>1523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>
      <c r="A327" s="7" t="s">
        <v>352</v>
      </c>
      <c r="B327" s="8">
        <v>769151943943</v>
      </c>
      <c r="C327" s="8" t="s">
        <v>301</v>
      </c>
      <c r="D327" s="8" t="s">
        <v>170</v>
      </c>
      <c r="E327" s="8" t="s">
        <v>14</v>
      </c>
      <c r="F327" s="10" t="s">
        <v>1524</v>
      </c>
      <c r="G327" s="9" t="s">
        <v>982</v>
      </c>
      <c r="H327" s="9" t="s">
        <v>1525</v>
      </c>
      <c r="I327" s="9" t="s">
        <v>1526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>
      <c r="A328" s="7" t="s">
        <v>353</v>
      </c>
      <c r="B328" s="8">
        <v>258179016380</v>
      </c>
      <c r="C328" s="8" t="s">
        <v>301</v>
      </c>
      <c r="D328" s="8" t="s">
        <v>170</v>
      </c>
      <c r="E328" s="8" t="s">
        <v>14</v>
      </c>
      <c r="F328" s="10" t="s">
        <v>1527</v>
      </c>
      <c r="G328" s="9" t="s">
        <v>1436</v>
      </c>
      <c r="H328" s="9" t="s">
        <v>1528</v>
      </c>
      <c r="I328" s="9" t="s">
        <v>1529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>
      <c r="A329" s="7" t="s">
        <v>354</v>
      </c>
      <c r="B329" s="8">
        <v>862161701563</v>
      </c>
      <c r="C329" s="8" t="s">
        <v>301</v>
      </c>
      <c r="D329" s="8" t="s">
        <v>170</v>
      </c>
      <c r="E329" s="8" t="s">
        <v>14</v>
      </c>
      <c r="F329" s="10" t="s">
        <v>1530</v>
      </c>
      <c r="G329" s="9" t="s">
        <v>1248</v>
      </c>
      <c r="H329" s="9" t="s">
        <v>1531</v>
      </c>
      <c r="I329" s="9" t="s">
        <v>1532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>
      <c r="A330" s="7" t="s">
        <v>355</v>
      </c>
      <c r="B330" s="8">
        <v>240148989127</v>
      </c>
      <c r="C330" s="8" t="s">
        <v>301</v>
      </c>
      <c r="D330" s="8" t="s">
        <v>170</v>
      </c>
      <c r="E330" s="8" t="s">
        <v>12</v>
      </c>
      <c r="F330" s="10" t="s">
        <v>1533</v>
      </c>
      <c r="G330" s="9" t="s">
        <v>1436</v>
      </c>
      <c r="H330" s="9" t="s">
        <v>1534</v>
      </c>
      <c r="I330" s="9" t="s">
        <v>1535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>
      <c r="A331" s="7" t="s">
        <v>356</v>
      </c>
      <c r="B331" s="8">
        <v>817125197474</v>
      </c>
      <c r="C331" s="8" t="s">
        <v>301</v>
      </c>
      <c r="D331" s="8" t="s">
        <v>170</v>
      </c>
      <c r="E331" s="8" t="s">
        <v>14</v>
      </c>
      <c r="F331" s="10" t="s">
        <v>1536</v>
      </c>
      <c r="G331" s="9" t="s">
        <v>1248</v>
      </c>
      <c r="H331" s="9" t="s">
        <v>1537</v>
      </c>
      <c r="I331" s="9" t="s">
        <v>1538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>
      <c r="A332" s="7" t="s">
        <v>357</v>
      </c>
      <c r="B332" s="8">
        <v>806123732506</v>
      </c>
      <c r="C332" s="8" t="s">
        <v>301</v>
      </c>
      <c r="D332" s="8" t="s">
        <v>170</v>
      </c>
      <c r="E332" s="8" t="s">
        <v>14</v>
      </c>
      <c r="F332" s="9">
        <v>2308</v>
      </c>
      <c r="G332" s="9" t="s">
        <v>1248</v>
      </c>
      <c r="H332" s="9" t="s">
        <v>1539</v>
      </c>
      <c r="I332" s="9" t="s">
        <v>1540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>
      <c r="A333" s="7" t="s">
        <v>358</v>
      </c>
      <c r="B333" s="8">
        <v>543195809524</v>
      </c>
      <c r="C333" s="8" t="s">
        <v>301</v>
      </c>
      <c r="D333" s="8" t="s">
        <v>170</v>
      </c>
      <c r="E333" s="8" t="s">
        <v>14</v>
      </c>
      <c r="F333" s="9">
        <v>2352</v>
      </c>
      <c r="G333" s="9" t="s">
        <v>1248</v>
      </c>
      <c r="H333" s="9" t="s">
        <v>1541</v>
      </c>
      <c r="I333" s="9" t="s">
        <v>1542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>
      <c r="A334" s="7" t="s">
        <v>359</v>
      </c>
      <c r="B334" s="8">
        <v>373148148671</v>
      </c>
      <c r="C334" s="8" t="s">
        <v>301</v>
      </c>
      <c r="D334" s="8" t="s">
        <v>170</v>
      </c>
      <c r="E334" s="8" t="s">
        <v>12</v>
      </c>
      <c r="F334" s="9">
        <v>2396</v>
      </c>
      <c r="G334" s="9" t="s">
        <v>1248</v>
      </c>
      <c r="H334" s="9" t="s">
        <v>1543</v>
      </c>
      <c r="I334" s="9" t="s">
        <v>1544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>
      <c r="A335" s="7" t="s">
        <v>360</v>
      </c>
      <c r="B335" s="8">
        <v>697164912817</v>
      </c>
      <c r="C335" s="8" t="s">
        <v>301</v>
      </c>
      <c r="D335" s="8" t="s">
        <v>170</v>
      </c>
      <c r="E335" s="8" t="s">
        <v>14</v>
      </c>
      <c r="F335" s="9">
        <v>2455</v>
      </c>
      <c r="G335" s="9" t="s">
        <v>1248</v>
      </c>
      <c r="H335" s="9" t="s">
        <v>1545</v>
      </c>
      <c r="I335" s="9" t="s">
        <v>1546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>
      <c r="A336" s="7" t="s">
        <v>361</v>
      </c>
      <c r="B336" s="8">
        <v>983140839457</v>
      </c>
      <c r="C336" s="8" t="s">
        <v>301</v>
      </c>
      <c r="D336" s="8" t="s">
        <v>170</v>
      </c>
      <c r="E336" s="8" t="s">
        <v>12</v>
      </c>
      <c r="F336" s="9">
        <v>2482</v>
      </c>
      <c r="G336" s="9" t="s">
        <v>1248</v>
      </c>
      <c r="H336" s="9" t="s">
        <v>1547</v>
      </c>
      <c r="I336" s="9" t="s">
        <v>1548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>
      <c r="A337" s="7" t="s">
        <v>362</v>
      </c>
      <c r="B337" s="8">
        <v>434196242350</v>
      </c>
      <c r="C337" s="8" t="s">
        <v>301</v>
      </c>
      <c r="D337" s="8" t="s">
        <v>170</v>
      </c>
      <c r="E337" s="8" t="s">
        <v>12</v>
      </c>
      <c r="F337" s="9">
        <v>2478</v>
      </c>
      <c r="G337" s="9" t="s">
        <v>1248</v>
      </c>
      <c r="H337" s="9" t="s">
        <v>1549</v>
      </c>
      <c r="I337" s="9" t="s">
        <v>1550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>
      <c r="A338" s="7" t="s">
        <v>363</v>
      </c>
      <c r="B338" s="8">
        <v>982159721983</v>
      </c>
      <c r="C338" s="8" t="s">
        <v>301</v>
      </c>
      <c r="D338" s="8" t="s">
        <v>170</v>
      </c>
      <c r="E338" s="8" t="s">
        <v>14</v>
      </c>
      <c r="F338" s="9">
        <v>2658</v>
      </c>
      <c r="G338" s="9" t="s">
        <v>1436</v>
      </c>
      <c r="H338" s="9" t="s">
        <v>1551</v>
      </c>
      <c r="I338" s="9" t="s">
        <v>1552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>
      <c r="A339" s="7" t="s">
        <v>364</v>
      </c>
      <c r="B339" s="8">
        <v>782154150214</v>
      </c>
      <c r="C339" s="8" t="s">
        <v>301</v>
      </c>
      <c r="D339" s="8" t="s">
        <v>170</v>
      </c>
      <c r="E339" s="8" t="s">
        <v>14</v>
      </c>
      <c r="F339" s="9">
        <v>2678</v>
      </c>
      <c r="G339" s="9" t="s">
        <v>1248</v>
      </c>
      <c r="H339" s="9" t="s">
        <v>1553</v>
      </c>
      <c r="I339" s="9" t="s">
        <v>1554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>
      <c r="A340" s="7" t="s">
        <v>365</v>
      </c>
      <c r="B340" s="8">
        <v>393183180213</v>
      </c>
      <c r="C340" s="8" t="s">
        <v>301</v>
      </c>
      <c r="D340" s="8" t="s">
        <v>170</v>
      </c>
      <c r="E340" s="8" t="s">
        <v>14</v>
      </c>
      <c r="F340" s="9">
        <v>2602</v>
      </c>
      <c r="G340" s="9" t="s">
        <v>1436</v>
      </c>
      <c r="H340" s="9" t="s">
        <v>1555</v>
      </c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>
      <c r="A341" s="7" t="s">
        <v>366</v>
      </c>
      <c r="B341" s="8">
        <v>856163762784</v>
      </c>
      <c r="C341" s="8" t="s">
        <v>301</v>
      </c>
      <c r="D341" s="8" t="s">
        <v>170</v>
      </c>
      <c r="E341" s="8" t="s">
        <v>12</v>
      </c>
      <c r="F341" s="9">
        <v>2710</v>
      </c>
      <c r="G341" s="9" t="s">
        <v>982</v>
      </c>
      <c r="H341" s="9" t="s">
        <v>1556</v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>
      <c r="A342" s="7" t="s">
        <v>367</v>
      </c>
      <c r="B342" s="8">
        <v>609168138349</v>
      </c>
      <c r="C342" s="8" t="s">
        <v>301</v>
      </c>
      <c r="D342" s="8" t="s">
        <v>170</v>
      </c>
      <c r="E342" s="8" t="s">
        <v>12</v>
      </c>
      <c r="F342" s="9">
        <v>2630</v>
      </c>
      <c r="G342" s="9" t="s">
        <v>1248</v>
      </c>
      <c r="H342" s="9" t="s">
        <v>1557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>
      <c r="A343" s="7" t="s">
        <v>368</v>
      </c>
      <c r="B343" s="8">
        <v>729109646242</v>
      </c>
      <c r="C343" s="8" t="s">
        <v>301</v>
      </c>
      <c r="D343" s="8" t="s">
        <v>170</v>
      </c>
      <c r="E343" s="8" t="s">
        <v>12</v>
      </c>
      <c r="F343" s="9">
        <v>2697</v>
      </c>
      <c r="G343" s="9" t="s">
        <v>1248</v>
      </c>
      <c r="H343" s="9" t="s">
        <v>1558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>
      <c r="A344" s="7" t="s">
        <v>369</v>
      </c>
      <c r="B344" s="8">
        <v>715147613634</v>
      </c>
      <c r="C344" s="8" t="s">
        <v>301</v>
      </c>
      <c r="D344" s="8" t="s">
        <v>170</v>
      </c>
      <c r="E344" s="8" t="s">
        <v>12</v>
      </c>
      <c r="F344" s="9">
        <v>2721</v>
      </c>
      <c r="G344" s="9" t="s">
        <v>1248</v>
      </c>
      <c r="H344" s="9" t="s">
        <v>1559</v>
      </c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>
      <c r="A345" s="7" t="s">
        <v>370</v>
      </c>
      <c r="B345" s="8">
        <v>986159246809</v>
      </c>
      <c r="C345" s="8" t="s">
        <v>301</v>
      </c>
      <c r="D345" s="7" t="s">
        <v>201</v>
      </c>
      <c r="E345" s="8" t="s">
        <v>14</v>
      </c>
      <c r="F345" s="10" t="s">
        <v>1560</v>
      </c>
      <c r="G345" s="9" t="s">
        <v>1248</v>
      </c>
      <c r="H345" s="9" t="s">
        <v>1561</v>
      </c>
      <c r="I345" s="9" t="s">
        <v>1562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>
      <c r="A346" s="7" t="s">
        <v>371</v>
      </c>
      <c r="B346" s="8">
        <v>535169279095</v>
      </c>
      <c r="C346" s="8" t="s">
        <v>301</v>
      </c>
      <c r="D346" s="7" t="s">
        <v>201</v>
      </c>
      <c r="E346" s="8" t="s">
        <v>14</v>
      </c>
      <c r="F346" s="10" t="s">
        <v>1563</v>
      </c>
      <c r="G346" s="9" t="s">
        <v>1248</v>
      </c>
      <c r="H346" s="9" t="s">
        <v>1564</v>
      </c>
      <c r="I346" s="9" t="s">
        <v>1565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>
      <c r="A347" s="7" t="s">
        <v>372</v>
      </c>
      <c r="B347" s="8">
        <v>262187939345</v>
      </c>
      <c r="C347" s="8" t="s">
        <v>301</v>
      </c>
      <c r="D347" s="7" t="s">
        <v>201</v>
      </c>
      <c r="E347" s="8" t="s">
        <v>14</v>
      </c>
      <c r="F347" s="10" t="s">
        <v>1566</v>
      </c>
      <c r="G347" s="9"/>
      <c r="H347" s="9" t="s">
        <v>1567</v>
      </c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>
      <c r="A348" s="7" t="s">
        <v>373</v>
      </c>
      <c r="B348" s="8">
        <v>402170847265</v>
      </c>
      <c r="C348" s="8" t="s">
        <v>301</v>
      </c>
      <c r="D348" s="7" t="s">
        <v>201</v>
      </c>
      <c r="E348" s="8" t="s">
        <v>14</v>
      </c>
      <c r="F348" s="10" t="s">
        <v>1568</v>
      </c>
      <c r="G348" s="9"/>
      <c r="H348" s="9" t="s">
        <v>1569</v>
      </c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>
      <c r="A349" s="7" t="s">
        <v>374</v>
      </c>
      <c r="B349" s="8">
        <v>529172543087</v>
      </c>
      <c r="C349" s="8" t="s">
        <v>301</v>
      </c>
      <c r="D349" s="7" t="s">
        <v>201</v>
      </c>
      <c r="E349" s="8" t="s">
        <v>14</v>
      </c>
      <c r="F349" s="10" t="s">
        <v>1570</v>
      </c>
      <c r="G349" s="9"/>
      <c r="H349" s="9" t="s">
        <v>1571</v>
      </c>
      <c r="I349" s="9" t="s">
        <v>1572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>
      <c r="A350" s="7" t="s">
        <v>375</v>
      </c>
      <c r="B350" s="8">
        <v>724162474043</v>
      </c>
      <c r="C350" s="8" t="s">
        <v>301</v>
      </c>
      <c r="D350" s="7" t="s">
        <v>201</v>
      </c>
      <c r="E350" s="8" t="s">
        <v>14</v>
      </c>
      <c r="F350" s="10" t="s">
        <v>1573</v>
      </c>
      <c r="G350" s="9"/>
      <c r="H350" s="9" t="s">
        <v>1574</v>
      </c>
      <c r="I350" s="9" t="s">
        <v>1575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>
      <c r="A351" s="7" t="s">
        <v>376</v>
      </c>
      <c r="B351" s="8">
        <v>573182638724</v>
      </c>
      <c r="C351" s="8" t="s">
        <v>301</v>
      </c>
      <c r="D351" s="7" t="s">
        <v>201</v>
      </c>
      <c r="E351" s="8" t="s">
        <v>14</v>
      </c>
      <c r="F351" s="10" t="s">
        <v>1576</v>
      </c>
      <c r="G351" s="9"/>
      <c r="H351" s="9" t="s">
        <v>1577</v>
      </c>
      <c r="I351" s="9" t="s">
        <v>1578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>
      <c r="A352" s="7" t="s">
        <v>377</v>
      </c>
      <c r="B352" s="8">
        <v>283104384369</v>
      </c>
      <c r="C352" s="8" t="s">
        <v>301</v>
      </c>
      <c r="D352" s="7" t="s">
        <v>201</v>
      </c>
      <c r="E352" s="8" t="s">
        <v>14</v>
      </c>
      <c r="F352" s="10" t="s">
        <v>1579</v>
      </c>
      <c r="G352" s="9"/>
      <c r="H352" s="9" t="s">
        <v>1580</v>
      </c>
      <c r="I352" s="9" t="s">
        <v>1581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>
      <c r="A353" s="7" t="s">
        <v>378</v>
      </c>
      <c r="B353" s="8">
        <v>372149691918</v>
      </c>
      <c r="C353" s="8" t="s">
        <v>301</v>
      </c>
      <c r="D353" s="7" t="s">
        <v>201</v>
      </c>
      <c r="E353" s="8" t="s">
        <v>14</v>
      </c>
      <c r="F353" s="10" t="s">
        <v>1582</v>
      </c>
      <c r="G353" s="9"/>
      <c r="H353" s="9" t="s">
        <v>1583</v>
      </c>
      <c r="I353" s="9" t="s">
        <v>1584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>
      <c r="A354" s="7" t="s">
        <v>379</v>
      </c>
      <c r="B354" s="8">
        <v>747194232493</v>
      </c>
      <c r="C354" s="8" t="s">
        <v>301</v>
      </c>
      <c r="D354" s="7" t="s">
        <v>201</v>
      </c>
      <c r="E354" s="8" t="s">
        <v>14</v>
      </c>
      <c r="F354" s="10" t="s">
        <v>1585</v>
      </c>
      <c r="G354" s="9" t="s">
        <v>1420</v>
      </c>
      <c r="H354" s="9" t="s">
        <v>1586</v>
      </c>
      <c r="I354" s="9" t="s">
        <v>1587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>
      <c r="A355" s="7" t="s">
        <v>380</v>
      </c>
      <c r="B355" s="8">
        <v>864108372349</v>
      </c>
      <c r="C355" s="8" t="s">
        <v>301</v>
      </c>
      <c r="D355" s="7" t="s">
        <v>201</v>
      </c>
      <c r="E355" s="8" t="s">
        <v>14</v>
      </c>
      <c r="F355" s="10" t="s">
        <v>1588</v>
      </c>
      <c r="G355" s="9" t="s">
        <v>1420</v>
      </c>
      <c r="H355" s="9" t="s">
        <v>1589</v>
      </c>
      <c r="I355" s="9" t="s">
        <v>1590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>
      <c r="A356" s="7" t="s">
        <v>381</v>
      </c>
      <c r="B356" s="8">
        <v>489123510390</v>
      </c>
      <c r="C356" s="8" t="s">
        <v>301</v>
      </c>
      <c r="D356" s="7" t="s">
        <v>201</v>
      </c>
      <c r="E356" s="8" t="s">
        <v>14</v>
      </c>
      <c r="F356" s="10" t="s">
        <v>1591</v>
      </c>
      <c r="G356" s="9" t="s">
        <v>1592</v>
      </c>
      <c r="H356" s="9" t="s">
        <v>1593</v>
      </c>
      <c r="I356" s="9" t="s">
        <v>1594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>
      <c r="A357" s="7" t="s">
        <v>382</v>
      </c>
      <c r="B357" s="8">
        <v>836130414695</v>
      </c>
      <c r="C357" s="8" t="s">
        <v>301</v>
      </c>
      <c r="D357" s="7" t="s">
        <v>201</v>
      </c>
      <c r="E357" s="8" t="s">
        <v>14</v>
      </c>
      <c r="F357" s="10">
        <v>2220</v>
      </c>
      <c r="G357" s="9" t="s">
        <v>1248</v>
      </c>
      <c r="H357" s="9" t="s">
        <v>1595</v>
      </c>
      <c r="I357" s="9" t="s">
        <v>1596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>
      <c r="A358" s="7" t="s">
        <v>383</v>
      </c>
      <c r="B358" s="8">
        <v>157185923195</v>
      </c>
      <c r="C358" s="8" t="s">
        <v>301</v>
      </c>
      <c r="D358" s="7" t="s">
        <v>201</v>
      </c>
      <c r="E358" s="8" t="s">
        <v>12</v>
      </c>
      <c r="F358" s="10" t="s">
        <v>1597</v>
      </c>
      <c r="G358" s="9" t="s">
        <v>1420</v>
      </c>
      <c r="H358" s="9" t="s">
        <v>1598</v>
      </c>
      <c r="I358" s="9" t="s">
        <v>1599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>
      <c r="A359" s="7" t="s">
        <v>384</v>
      </c>
      <c r="B359" s="8">
        <v>586103986059</v>
      </c>
      <c r="C359" s="8" t="s">
        <v>301</v>
      </c>
      <c r="D359" s="7" t="s">
        <v>201</v>
      </c>
      <c r="E359" s="8" t="s">
        <v>14</v>
      </c>
      <c r="F359" s="10" t="s">
        <v>1600</v>
      </c>
      <c r="G359" s="9" t="s">
        <v>1601</v>
      </c>
      <c r="H359" s="9" t="s">
        <v>1602</v>
      </c>
      <c r="I359" s="9" t="s">
        <v>1603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>
      <c r="A360" s="7" t="s">
        <v>385</v>
      </c>
      <c r="B360" s="8">
        <v>316181624372</v>
      </c>
      <c r="C360" s="8" t="s">
        <v>301</v>
      </c>
      <c r="D360" s="7" t="s">
        <v>201</v>
      </c>
      <c r="E360" s="8" t="s">
        <v>14</v>
      </c>
      <c r="F360" s="10" t="s">
        <v>1604</v>
      </c>
      <c r="G360" s="9" t="s">
        <v>1248</v>
      </c>
      <c r="H360" s="9" t="s">
        <v>1605</v>
      </c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>
      <c r="A361" s="7" t="s">
        <v>386</v>
      </c>
      <c r="B361" s="8">
        <v>814163407679</v>
      </c>
      <c r="C361" s="8" t="s">
        <v>301</v>
      </c>
      <c r="D361" s="7" t="s">
        <v>201</v>
      </c>
      <c r="E361" s="8" t="s">
        <v>14</v>
      </c>
      <c r="F361" s="10">
        <v>2216</v>
      </c>
      <c r="G361" s="9"/>
      <c r="H361" s="9" t="s">
        <v>1606</v>
      </c>
      <c r="I361" s="9" t="s">
        <v>1607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>
      <c r="A362" s="7" t="s">
        <v>387</v>
      </c>
      <c r="B362" s="8">
        <v>980182127485</v>
      </c>
      <c r="C362" s="8" t="s">
        <v>301</v>
      </c>
      <c r="D362" s="7" t="s">
        <v>201</v>
      </c>
      <c r="E362" s="8" t="s">
        <v>14</v>
      </c>
      <c r="F362" s="9">
        <v>2280</v>
      </c>
      <c r="G362" s="9" t="s">
        <v>1248</v>
      </c>
      <c r="H362" s="9" t="s">
        <v>1608</v>
      </c>
      <c r="I362" s="9" t="s">
        <v>1609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>
      <c r="A363" s="7" t="s">
        <v>388</v>
      </c>
      <c r="B363" s="8">
        <v>373156736453</v>
      </c>
      <c r="C363" s="8" t="s">
        <v>301</v>
      </c>
      <c r="D363" s="7" t="s">
        <v>201</v>
      </c>
      <c r="E363" s="8" t="s">
        <v>14</v>
      </c>
      <c r="F363" s="9">
        <v>2340</v>
      </c>
      <c r="G363" s="9" t="s">
        <v>1248</v>
      </c>
      <c r="H363" s="9" t="s">
        <v>1610</v>
      </c>
      <c r="I363" s="9">
        <v>1011099883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>
      <c r="A364" s="7" t="s">
        <v>389</v>
      </c>
      <c r="B364" s="8">
        <v>375181892149</v>
      </c>
      <c r="C364" s="8" t="s">
        <v>301</v>
      </c>
      <c r="D364" s="7" t="s">
        <v>201</v>
      </c>
      <c r="E364" s="8" t="s">
        <v>14</v>
      </c>
      <c r="F364" s="9">
        <v>2347</v>
      </c>
      <c r="G364" s="9" t="s">
        <v>1248</v>
      </c>
      <c r="H364" s="9" t="s">
        <v>1611</v>
      </c>
      <c r="I364" s="9" t="s">
        <v>1612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>
      <c r="A365" s="7" t="s">
        <v>390</v>
      </c>
      <c r="B365" s="8">
        <v>835129836321</v>
      </c>
      <c r="C365" s="8" t="s">
        <v>301</v>
      </c>
      <c r="D365" s="7" t="s">
        <v>201</v>
      </c>
      <c r="E365" s="8" t="s">
        <v>14</v>
      </c>
      <c r="F365" s="10" t="s">
        <v>1613</v>
      </c>
      <c r="G365" s="9" t="s">
        <v>1248</v>
      </c>
      <c r="H365" s="9" t="s">
        <v>1614</v>
      </c>
      <c r="I365" s="9" t="s">
        <v>1615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>
      <c r="A366" s="7" t="s">
        <v>391</v>
      </c>
      <c r="B366" s="8">
        <v>498171430513</v>
      </c>
      <c r="C366" s="8" t="s">
        <v>301</v>
      </c>
      <c r="D366" s="7" t="s">
        <v>201</v>
      </c>
      <c r="E366" s="8" t="s">
        <v>12</v>
      </c>
      <c r="F366" s="9">
        <v>2349</v>
      </c>
      <c r="G366" s="9" t="s">
        <v>1227</v>
      </c>
      <c r="H366" s="9" t="s">
        <v>1616</v>
      </c>
      <c r="I366" s="9" t="s">
        <v>1617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>
      <c r="A367" s="7" t="s">
        <v>392</v>
      </c>
      <c r="B367" s="8">
        <v>819179164789</v>
      </c>
      <c r="C367" s="8" t="s">
        <v>301</v>
      </c>
      <c r="D367" s="7" t="s">
        <v>201</v>
      </c>
      <c r="E367" s="8" t="s">
        <v>14</v>
      </c>
      <c r="F367" s="9">
        <v>2527</v>
      </c>
      <c r="G367" s="9" t="s">
        <v>1248</v>
      </c>
      <c r="H367" s="9" t="s">
        <v>1618</v>
      </c>
      <c r="I367" s="9" t="s">
        <v>1619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>
      <c r="A368" s="7" t="s">
        <v>393</v>
      </c>
      <c r="B368" s="8">
        <v>605108626197</v>
      </c>
      <c r="C368" s="8" t="s">
        <v>301</v>
      </c>
      <c r="D368" s="7" t="s">
        <v>201</v>
      </c>
      <c r="E368" s="8" t="s">
        <v>14</v>
      </c>
      <c r="F368" s="9">
        <v>2555</v>
      </c>
      <c r="G368" s="9" t="s">
        <v>1620</v>
      </c>
      <c r="H368" s="9" t="s">
        <v>1621</v>
      </c>
      <c r="I368" s="9" t="s">
        <v>1622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>
      <c r="A369" s="7" t="s">
        <v>394</v>
      </c>
      <c r="B369" s="8">
        <v>678162816468</v>
      </c>
      <c r="C369" s="8" t="s">
        <v>301</v>
      </c>
      <c r="D369" s="7" t="s">
        <v>201</v>
      </c>
      <c r="E369" s="8" t="s">
        <v>14</v>
      </c>
      <c r="F369" s="9">
        <v>2579</v>
      </c>
      <c r="G369" s="9" t="s">
        <v>1248</v>
      </c>
      <c r="H369" s="9" t="s">
        <v>1623</v>
      </c>
      <c r="I369" s="9" t="s">
        <v>1624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>
      <c r="A370" s="7" t="s">
        <v>395</v>
      </c>
      <c r="B370" s="8">
        <v>519197286720</v>
      </c>
      <c r="C370" s="8" t="s">
        <v>301</v>
      </c>
      <c r="D370" s="7" t="s">
        <v>201</v>
      </c>
      <c r="E370" s="8" t="s">
        <v>12</v>
      </c>
      <c r="F370" s="9">
        <v>2694</v>
      </c>
      <c r="G370" s="9" t="s">
        <v>1248</v>
      </c>
      <c r="H370" s="9" t="s">
        <v>1625</v>
      </c>
      <c r="I370" s="9" t="s">
        <v>1626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>
      <c r="A371" s="7" t="s">
        <v>396</v>
      </c>
      <c r="B371" s="8">
        <v>845178158571</v>
      </c>
      <c r="C371" s="8" t="s">
        <v>301</v>
      </c>
      <c r="D371" s="7" t="s">
        <v>201</v>
      </c>
      <c r="E371" s="8" t="s">
        <v>14</v>
      </c>
      <c r="F371" s="9">
        <v>2766</v>
      </c>
      <c r="G371" s="9" t="s">
        <v>985</v>
      </c>
      <c r="H371" s="9" t="s">
        <v>1627</v>
      </c>
      <c r="I371" s="9" t="s">
        <v>1628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>
      <c r="A372" s="7" t="s">
        <v>397</v>
      </c>
      <c r="B372" s="8">
        <v>765142805403</v>
      </c>
      <c r="C372" s="8" t="s">
        <v>301</v>
      </c>
      <c r="D372" s="7" t="s">
        <v>201</v>
      </c>
      <c r="E372" s="8" t="s">
        <v>12</v>
      </c>
      <c r="F372" s="9">
        <v>2777</v>
      </c>
      <c r="G372" s="9" t="s">
        <v>1248</v>
      </c>
      <c r="H372" s="9" t="s">
        <v>1629</v>
      </c>
      <c r="I372" s="9" t="s">
        <v>1630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>
      <c r="A373" s="7" t="s">
        <v>398</v>
      </c>
      <c r="B373" s="8">
        <v>257141843453</v>
      </c>
      <c r="C373" s="8" t="s">
        <v>301</v>
      </c>
      <c r="D373" s="7" t="s">
        <v>201</v>
      </c>
      <c r="E373" s="8" t="s">
        <v>12</v>
      </c>
      <c r="F373" s="9">
        <v>2782</v>
      </c>
      <c r="G373" s="9" t="s">
        <v>985</v>
      </c>
      <c r="H373" s="9" t="s">
        <v>1631</v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>
      <c r="A374" s="7" t="s">
        <v>399</v>
      </c>
      <c r="B374" s="8">
        <v>730148062985</v>
      </c>
      <c r="C374" s="8" t="s">
        <v>301</v>
      </c>
      <c r="D374" s="7" t="s">
        <v>201</v>
      </c>
      <c r="E374" s="8" t="s">
        <v>14</v>
      </c>
      <c r="F374" s="9">
        <v>2692</v>
      </c>
      <c r="G374" s="9" t="s">
        <v>1248</v>
      </c>
      <c r="H374" s="9" t="s">
        <v>1632</v>
      </c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>
      <c r="A375" s="7" t="s">
        <v>400</v>
      </c>
      <c r="B375" s="8">
        <v>105170539032</v>
      </c>
      <c r="C375" s="8" t="s">
        <v>301</v>
      </c>
      <c r="D375" s="7" t="s">
        <v>201</v>
      </c>
      <c r="E375" s="8" t="s">
        <v>12</v>
      </c>
      <c r="F375" s="9">
        <v>2734</v>
      </c>
      <c r="G375" s="9" t="s">
        <v>1248</v>
      </c>
      <c r="H375" s="9" t="s">
        <v>1633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>
      <c r="A376" s="7" t="s">
        <v>401</v>
      </c>
      <c r="B376" s="8">
        <v>537125814019</v>
      </c>
      <c r="C376" s="8" t="s">
        <v>301</v>
      </c>
      <c r="D376" s="7" t="s">
        <v>63</v>
      </c>
      <c r="E376" s="8" t="s">
        <v>14</v>
      </c>
      <c r="F376" s="10" t="s">
        <v>1634</v>
      </c>
      <c r="G376" s="9"/>
      <c r="H376" s="9" t="s">
        <v>1635</v>
      </c>
      <c r="I376" s="9" t="s">
        <v>1636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>
      <c r="A377" s="7" t="s">
        <v>402</v>
      </c>
      <c r="B377" s="8">
        <v>609123972619</v>
      </c>
      <c r="C377" s="8" t="s">
        <v>301</v>
      </c>
      <c r="D377" s="7" t="s">
        <v>63</v>
      </c>
      <c r="E377" s="8" t="s">
        <v>14</v>
      </c>
      <c r="F377" s="10" t="s">
        <v>1637</v>
      </c>
      <c r="G377" s="9"/>
      <c r="H377" s="9" t="s">
        <v>1638</v>
      </c>
      <c r="I377" s="9" t="s">
        <v>1639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>
      <c r="A378" s="7" t="s">
        <v>403</v>
      </c>
      <c r="B378" s="8">
        <v>439197564751</v>
      </c>
      <c r="C378" s="8" t="s">
        <v>301</v>
      </c>
      <c r="D378" s="7" t="s">
        <v>63</v>
      </c>
      <c r="E378" s="8" t="s">
        <v>14</v>
      </c>
      <c r="F378" s="10" t="s">
        <v>1640</v>
      </c>
      <c r="G378" s="9"/>
      <c r="H378" s="9" t="s">
        <v>1641</v>
      </c>
      <c r="I378" s="9" t="s">
        <v>1642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>
      <c r="A379" s="7" t="s">
        <v>404</v>
      </c>
      <c r="B379" s="8">
        <v>510130705852</v>
      </c>
      <c r="C379" s="8" t="s">
        <v>301</v>
      </c>
      <c r="D379" s="7" t="s">
        <v>63</v>
      </c>
      <c r="E379" s="8" t="s">
        <v>14</v>
      </c>
      <c r="F379" s="10" t="s">
        <v>1643</v>
      </c>
      <c r="G379" s="9"/>
      <c r="H379" s="9" t="s">
        <v>1644</v>
      </c>
      <c r="I379" s="9" t="s">
        <v>1645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>
      <c r="A380" s="7" t="s">
        <v>405</v>
      </c>
      <c r="B380" s="8">
        <v>328148357020</v>
      </c>
      <c r="C380" s="8" t="s">
        <v>301</v>
      </c>
      <c r="D380" s="7" t="s">
        <v>63</v>
      </c>
      <c r="E380" s="8" t="s">
        <v>14</v>
      </c>
      <c r="F380" s="10" t="s">
        <v>1646</v>
      </c>
      <c r="G380" s="9"/>
      <c r="H380" s="9" t="s">
        <v>1647</v>
      </c>
      <c r="I380" s="9" t="s">
        <v>1648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>
      <c r="A381" s="7" t="s">
        <v>406</v>
      </c>
      <c r="B381" s="8">
        <v>785152928659</v>
      </c>
      <c r="C381" s="8" t="s">
        <v>301</v>
      </c>
      <c r="D381" s="7" t="s">
        <v>63</v>
      </c>
      <c r="E381" s="8" t="s">
        <v>14</v>
      </c>
      <c r="F381" s="10" t="s">
        <v>1649</v>
      </c>
      <c r="G381" s="9"/>
      <c r="H381" s="9" t="s">
        <v>1650</v>
      </c>
      <c r="I381" s="9" t="s">
        <v>1651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>
      <c r="A382" s="7" t="s">
        <v>407</v>
      </c>
      <c r="B382" s="8">
        <v>412128504012</v>
      </c>
      <c r="C382" s="8" t="s">
        <v>301</v>
      </c>
      <c r="D382" s="7" t="s">
        <v>63</v>
      </c>
      <c r="E382" s="8" t="s">
        <v>14</v>
      </c>
      <c r="F382" s="10" t="s">
        <v>1652</v>
      </c>
      <c r="G382" s="9"/>
      <c r="H382" s="9" t="s">
        <v>1653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>
      <c r="A383" s="7" t="s">
        <v>408</v>
      </c>
      <c r="B383" s="8">
        <v>725137150313</v>
      </c>
      <c r="C383" s="8" t="s">
        <v>301</v>
      </c>
      <c r="D383" s="7" t="s">
        <v>63</v>
      </c>
      <c r="E383" s="8" t="s">
        <v>12</v>
      </c>
      <c r="F383" s="9">
        <v>2536</v>
      </c>
      <c r="G383" s="9" t="s">
        <v>1654</v>
      </c>
      <c r="H383" s="9" t="s">
        <v>1655</v>
      </c>
      <c r="I383" s="9" t="s">
        <v>1656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>
      <c r="A384" s="7" t="s">
        <v>409</v>
      </c>
      <c r="B384" s="8">
        <v>950163761784</v>
      </c>
      <c r="C384" s="8" t="s">
        <v>301</v>
      </c>
      <c r="D384" s="7" t="s">
        <v>63</v>
      </c>
      <c r="E384" s="8" t="s">
        <v>12</v>
      </c>
      <c r="F384" s="9">
        <v>2407</v>
      </c>
      <c r="G384" s="9" t="s">
        <v>1248</v>
      </c>
      <c r="H384" s="9" t="s">
        <v>1657</v>
      </c>
      <c r="I384" s="9" t="s">
        <v>1658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>
      <c r="A385" s="7" t="s">
        <v>410</v>
      </c>
      <c r="B385" s="8">
        <v>429170348610</v>
      </c>
      <c r="C385" s="8" t="s">
        <v>301</v>
      </c>
      <c r="D385" s="7" t="s">
        <v>63</v>
      </c>
      <c r="E385" s="8" t="s">
        <v>14</v>
      </c>
      <c r="F385" s="9">
        <v>2402</v>
      </c>
      <c r="G385" s="9" t="s">
        <v>1248</v>
      </c>
      <c r="H385" s="9" t="s">
        <v>1659</v>
      </c>
      <c r="I385" s="9" t="s">
        <v>1660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>
      <c r="A386" s="7" t="s">
        <v>411</v>
      </c>
      <c r="B386" s="8">
        <v>589184652592</v>
      </c>
      <c r="C386" s="8" t="s">
        <v>301</v>
      </c>
      <c r="D386" s="7" t="s">
        <v>63</v>
      </c>
      <c r="E386" s="8" t="s">
        <v>12</v>
      </c>
      <c r="F386" s="9">
        <v>2592</v>
      </c>
      <c r="G386" s="9" t="s">
        <v>1248</v>
      </c>
      <c r="H386" s="9" t="s">
        <v>1661</v>
      </c>
      <c r="I386" s="9" t="s">
        <v>1662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>
      <c r="A387" s="7" t="s">
        <v>412</v>
      </c>
      <c r="B387" s="8">
        <v>282156737906</v>
      </c>
      <c r="C387" s="8" t="s">
        <v>301</v>
      </c>
      <c r="D387" s="7" t="s">
        <v>63</v>
      </c>
      <c r="E387" s="8" t="s">
        <v>14</v>
      </c>
      <c r="F387" s="9">
        <v>2635</v>
      </c>
      <c r="G387" s="9" t="s">
        <v>1433</v>
      </c>
      <c r="H387" s="9" t="s">
        <v>1663</v>
      </c>
      <c r="I387" s="9" t="s">
        <v>1664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>
      <c r="A388" s="7" t="s">
        <v>413</v>
      </c>
      <c r="B388" s="8">
        <v>248148530686</v>
      </c>
      <c r="C388" s="8" t="s">
        <v>301</v>
      </c>
      <c r="D388" s="7" t="s">
        <v>63</v>
      </c>
      <c r="E388" s="8" t="s">
        <v>12</v>
      </c>
      <c r="F388" s="9">
        <v>2645</v>
      </c>
      <c r="G388" s="9" t="s">
        <v>1248</v>
      </c>
      <c r="H388" s="9" t="s">
        <v>1665</v>
      </c>
      <c r="I388" s="9">
        <v>1020719300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>
      <c r="A389" s="7" t="s">
        <v>414</v>
      </c>
      <c r="B389" s="8">
        <v>790141820907</v>
      </c>
      <c r="C389" s="8" t="s">
        <v>301</v>
      </c>
      <c r="D389" s="7" t="s">
        <v>63</v>
      </c>
      <c r="E389" s="8" t="s">
        <v>12</v>
      </c>
      <c r="F389" s="9">
        <v>2747</v>
      </c>
      <c r="G389" s="9" t="s">
        <v>1248</v>
      </c>
      <c r="H389" s="9" t="s">
        <v>1666</v>
      </c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>
      <c r="A390" s="7" t="s">
        <v>415</v>
      </c>
      <c r="B390" s="8">
        <v>279170497570</v>
      </c>
      <c r="C390" s="8" t="s">
        <v>301</v>
      </c>
      <c r="D390" s="7" t="s">
        <v>248</v>
      </c>
      <c r="E390" s="8" t="s">
        <v>12</v>
      </c>
      <c r="F390" s="10" t="s">
        <v>1667</v>
      </c>
      <c r="G390" s="9" t="s">
        <v>1668</v>
      </c>
      <c r="H390" s="9" t="s">
        <v>1669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>
      <c r="A391" s="7" t="s">
        <v>416</v>
      </c>
      <c r="B391" s="8">
        <v>818193063651</v>
      </c>
      <c r="C391" s="8" t="s">
        <v>301</v>
      </c>
      <c r="D391" s="7" t="s">
        <v>248</v>
      </c>
      <c r="E391" s="8" t="s">
        <v>14</v>
      </c>
      <c r="F391" s="10" t="s">
        <v>1670</v>
      </c>
      <c r="G391" s="9" t="s">
        <v>1248</v>
      </c>
      <c r="H391" s="9" t="s">
        <v>1671</v>
      </c>
      <c r="I391" s="9">
        <v>1124777848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>
      <c r="A392" s="7" t="s">
        <v>417</v>
      </c>
      <c r="B392" s="8">
        <v>545169685360</v>
      </c>
      <c r="C392" s="8" t="s">
        <v>301</v>
      </c>
      <c r="D392" s="7" t="s">
        <v>248</v>
      </c>
      <c r="E392" s="8" t="s">
        <v>14</v>
      </c>
      <c r="F392" s="10" t="s">
        <v>1672</v>
      </c>
      <c r="G392" s="9" t="s">
        <v>1436</v>
      </c>
      <c r="H392" s="9" t="s">
        <v>1673</v>
      </c>
      <c r="I392" s="9" t="s">
        <v>1674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>
      <c r="A393" s="7" t="s">
        <v>418</v>
      </c>
      <c r="B393" s="8">
        <v>876106203518</v>
      </c>
      <c r="C393" s="8" t="s">
        <v>301</v>
      </c>
      <c r="D393" s="7" t="s">
        <v>248</v>
      </c>
      <c r="E393" s="8" t="s">
        <v>14</v>
      </c>
      <c r="F393" s="10" t="s">
        <v>1675</v>
      </c>
      <c r="G393" s="9" t="s">
        <v>1227</v>
      </c>
      <c r="H393" s="9" t="s">
        <v>1676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>
      <c r="A394" s="7" t="s">
        <v>419</v>
      </c>
      <c r="B394" s="8">
        <v>175120578185</v>
      </c>
      <c r="C394" s="8" t="s">
        <v>301</v>
      </c>
      <c r="D394" s="7" t="s">
        <v>248</v>
      </c>
      <c r="E394" s="8" t="s">
        <v>14</v>
      </c>
      <c r="F394" s="10" t="s">
        <v>1677</v>
      </c>
      <c r="G394" s="9" t="s">
        <v>1248</v>
      </c>
      <c r="H394" s="9" t="s">
        <v>1678</v>
      </c>
      <c r="I394" s="9" t="s">
        <v>1679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>
      <c r="A395" s="7" t="s">
        <v>420</v>
      </c>
      <c r="B395" s="8">
        <v>848121420401</v>
      </c>
      <c r="C395" s="8" t="s">
        <v>301</v>
      </c>
      <c r="D395" s="7" t="s">
        <v>248</v>
      </c>
      <c r="E395" s="8" t="s">
        <v>14</v>
      </c>
      <c r="F395" s="10" t="s">
        <v>1680</v>
      </c>
      <c r="G395" s="9" t="s">
        <v>1248</v>
      </c>
      <c r="H395" s="9" t="s">
        <v>1681</v>
      </c>
      <c r="I395" s="9" t="s">
        <v>1682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>
      <c r="A396" s="7" t="s">
        <v>421</v>
      </c>
      <c r="B396" s="8">
        <v>384108435424</v>
      </c>
      <c r="C396" s="8" t="s">
        <v>301</v>
      </c>
      <c r="D396" s="7" t="s">
        <v>248</v>
      </c>
      <c r="E396" s="8" t="s">
        <v>14</v>
      </c>
      <c r="F396" s="10" t="s">
        <v>1683</v>
      </c>
      <c r="G396" s="9" t="s">
        <v>1248</v>
      </c>
      <c r="H396" s="9" t="s">
        <v>1684</v>
      </c>
      <c r="I396" s="9" t="s">
        <v>1685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>
      <c r="A397" s="7" t="s">
        <v>422</v>
      </c>
      <c r="B397" s="8">
        <v>963182417149</v>
      </c>
      <c r="C397" s="8" t="s">
        <v>301</v>
      </c>
      <c r="D397" s="7" t="s">
        <v>248</v>
      </c>
      <c r="E397" s="8" t="s">
        <v>14</v>
      </c>
      <c r="F397" s="10" t="s">
        <v>1686</v>
      </c>
      <c r="G397" s="9" t="s">
        <v>1248</v>
      </c>
      <c r="H397" s="9" t="s">
        <v>1687</v>
      </c>
      <c r="I397" s="9" t="s">
        <v>1688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>
      <c r="A398" s="7" t="s">
        <v>423</v>
      </c>
      <c r="B398" s="8">
        <v>164127957037</v>
      </c>
      <c r="C398" s="8" t="s">
        <v>301</v>
      </c>
      <c r="D398" s="7" t="s">
        <v>248</v>
      </c>
      <c r="E398" s="8" t="s">
        <v>14</v>
      </c>
      <c r="F398" s="10" t="s">
        <v>1689</v>
      </c>
      <c r="G398" s="9" t="s">
        <v>1248</v>
      </c>
      <c r="H398" s="9" t="s">
        <v>1690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>
      <c r="A399" s="7" t="s">
        <v>424</v>
      </c>
      <c r="B399" s="8">
        <v>360178214932</v>
      </c>
      <c r="C399" s="8" t="s">
        <v>301</v>
      </c>
      <c r="D399" s="7" t="s">
        <v>248</v>
      </c>
      <c r="E399" s="8" t="s">
        <v>14</v>
      </c>
      <c r="F399" s="10" t="s">
        <v>1691</v>
      </c>
      <c r="G399" s="9" t="s">
        <v>982</v>
      </c>
      <c r="H399" s="9" t="s">
        <v>1692</v>
      </c>
      <c r="I399" s="9" t="s">
        <v>1693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>
      <c r="A400" s="7" t="s">
        <v>425</v>
      </c>
      <c r="B400" s="8">
        <v>867198159258</v>
      </c>
      <c r="C400" s="8" t="s">
        <v>301</v>
      </c>
      <c r="D400" s="7" t="s">
        <v>248</v>
      </c>
      <c r="E400" s="8" t="s">
        <v>14</v>
      </c>
      <c r="F400" s="9">
        <v>2334</v>
      </c>
      <c r="G400" s="9" t="s">
        <v>1248</v>
      </c>
      <c r="H400" s="9" t="s">
        <v>1694</v>
      </c>
      <c r="I400" s="9" t="s">
        <v>1695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>
      <c r="A401" s="7" t="s">
        <v>426</v>
      </c>
      <c r="B401" s="8">
        <v>328106361965</v>
      </c>
      <c r="C401" s="8" t="s">
        <v>301</v>
      </c>
      <c r="D401" s="7" t="s">
        <v>248</v>
      </c>
      <c r="E401" s="8" t="s">
        <v>14</v>
      </c>
      <c r="F401" s="9">
        <v>2467</v>
      </c>
      <c r="G401" s="9" t="s">
        <v>1248</v>
      </c>
      <c r="H401" s="9" t="s">
        <v>1696</v>
      </c>
      <c r="I401" s="9" t="s">
        <v>1697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>
      <c r="A402" s="7" t="s">
        <v>427</v>
      </c>
      <c r="B402" s="8">
        <v>472132150306</v>
      </c>
      <c r="C402" s="8" t="s">
        <v>301</v>
      </c>
      <c r="D402" s="8" t="s">
        <v>170</v>
      </c>
      <c r="E402" s="8" t="s">
        <v>12</v>
      </c>
      <c r="F402" s="9">
        <v>2485</v>
      </c>
      <c r="G402" s="9" t="s">
        <v>982</v>
      </c>
      <c r="H402" s="9" t="s">
        <v>1698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>
      <c r="A403" s="7" t="s">
        <v>428</v>
      </c>
      <c r="B403" s="8">
        <v>903167431715</v>
      </c>
      <c r="C403" s="8" t="s">
        <v>301</v>
      </c>
      <c r="D403" s="7" t="s">
        <v>248</v>
      </c>
      <c r="E403" s="8" t="s">
        <v>14</v>
      </c>
      <c r="F403" s="9">
        <v>2618</v>
      </c>
      <c r="G403" s="9" t="s">
        <v>982</v>
      </c>
      <c r="H403" s="9" t="s">
        <v>1699</v>
      </c>
      <c r="I403" s="9" t="s">
        <v>1700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>
      <c r="A404" s="7" t="s">
        <v>429</v>
      </c>
      <c r="B404" s="8">
        <v>236169469685</v>
      </c>
      <c r="C404" s="8" t="s">
        <v>301</v>
      </c>
      <c r="D404" s="7" t="s">
        <v>248</v>
      </c>
      <c r="E404" s="8" t="s">
        <v>12</v>
      </c>
      <c r="F404" s="9">
        <v>2625</v>
      </c>
      <c r="G404" s="9" t="s">
        <v>1248</v>
      </c>
      <c r="H404" s="9" t="s">
        <v>1701</v>
      </c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>
      <c r="A405" s="7" t="s">
        <v>430</v>
      </c>
      <c r="B405" s="8">
        <v>313175709374</v>
      </c>
      <c r="C405" s="8" t="s">
        <v>301</v>
      </c>
      <c r="D405" s="7" t="s">
        <v>248</v>
      </c>
      <c r="E405" s="8" t="s">
        <v>12</v>
      </c>
      <c r="F405" s="9">
        <v>2764</v>
      </c>
      <c r="G405" s="9" t="s">
        <v>1248</v>
      </c>
      <c r="H405" s="9" t="s">
        <v>1702</v>
      </c>
      <c r="I405" s="9" t="s">
        <v>1703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>
      <c r="A406" s="7" t="s">
        <v>431</v>
      </c>
      <c r="B406" s="8">
        <v>260127872510</v>
      </c>
      <c r="C406" s="8" t="s">
        <v>301</v>
      </c>
      <c r="D406" s="7" t="s">
        <v>248</v>
      </c>
      <c r="E406" s="8" t="s">
        <v>12</v>
      </c>
      <c r="F406" s="9">
        <v>2727</v>
      </c>
      <c r="G406" s="9" t="s">
        <v>1248</v>
      </c>
      <c r="H406" s="9" t="s">
        <v>1704</v>
      </c>
      <c r="I406" s="9" t="s">
        <v>1705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>
      <c r="A407" s="7" t="s">
        <v>432</v>
      </c>
      <c r="B407" s="8">
        <v>158129191683</v>
      </c>
      <c r="C407" s="8" t="s">
        <v>301</v>
      </c>
      <c r="D407" s="7" t="s">
        <v>248</v>
      </c>
      <c r="E407" s="8" t="s">
        <v>12</v>
      </c>
      <c r="F407" s="9">
        <v>2696</v>
      </c>
      <c r="G407" s="9" t="s">
        <v>1248</v>
      </c>
      <c r="H407" s="9" t="s">
        <v>1706</v>
      </c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>
      <c r="A408" s="7" t="s">
        <v>433</v>
      </c>
      <c r="B408" s="8">
        <v>573158956591</v>
      </c>
      <c r="C408" s="8" t="s">
        <v>301</v>
      </c>
      <c r="D408" s="7" t="s">
        <v>248</v>
      </c>
      <c r="E408" s="8" t="s">
        <v>12</v>
      </c>
      <c r="F408" s="9">
        <v>2743</v>
      </c>
      <c r="G408" s="9" t="s">
        <v>1248</v>
      </c>
      <c r="H408" s="9" t="s">
        <v>1707</v>
      </c>
      <c r="I408" s="9" t="s">
        <v>1708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>
      <c r="A409" s="7" t="s">
        <v>434</v>
      </c>
      <c r="B409" s="8">
        <v>564139362753</v>
      </c>
      <c r="C409" s="8" t="s">
        <v>301</v>
      </c>
      <c r="D409" s="7" t="s">
        <v>248</v>
      </c>
      <c r="E409" s="8" t="s">
        <v>12</v>
      </c>
      <c r="F409" s="9">
        <v>2770</v>
      </c>
      <c r="G409" s="9" t="s">
        <v>1248</v>
      </c>
      <c r="H409" s="9" t="s">
        <v>1709</v>
      </c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>
      <c r="A410" s="7" t="s">
        <v>435</v>
      </c>
      <c r="B410" s="8">
        <v>834132198971</v>
      </c>
      <c r="C410" s="8" t="s">
        <v>301</v>
      </c>
      <c r="D410" s="7" t="s">
        <v>248</v>
      </c>
      <c r="E410" s="8" t="s">
        <v>12</v>
      </c>
      <c r="F410" s="9">
        <v>2764</v>
      </c>
      <c r="G410" s="9" t="s">
        <v>1248</v>
      </c>
      <c r="H410" s="9" t="s">
        <v>1710</v>
      </c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>
      <c r="A411" s="7" t="s">
        <v>436</v>
      </c>
      <c r="B411" s="8">
        <v>275182367207</v>
      </c>
      <c r="C411" s="8" t="s">
        <v>301</v>
      </c>
      <c r="D411" s="7" t="s">
        <v>248</v>
      </c>
      <c r="E411" s="8" t="s">
        <v>12</v>
      </c>
      <c r="F411" s="9">
        <v>2756</v>
      </c>
      <c r="G411" s="9" t="s">
        <v>1227</v>
      </c>
      <c r="H411" s="9" t="s">
        <v>1711</v>
      </c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>
      <c r="A412" s="7" t="s">
        <v>437</v>
      </c>
      <c r="B412" s="8">
        <v>586129524617</v>
      </c>
      <c r="C412" s="8" t="s">
        <v>301</v>
      </c>
      <c r="D412" s="7" t="s">
        <v>248</v>
      </c>
      <c r="E412" s="8" t="s">
        <v>12</v>
      </c>
      <c r="F412" s="9">
        <v>2796</v>
      </c>
      <c r="G412" s="9" t="s">
        <v>1248</v>
      </c>
      <c r="H412" s="9" t="s">
        <v>1712</v>
      </c>
      <c r="I412" s="9" t="s">
        <v>1713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>
      <c r="A413" s="7" t="s">
        <v>438</v>
      </c>
      <c r="B413" s="8">
        <v>283104819698</v>
      </c>
      <c r="C413" s="8" t="s">
        <v>301</v>
      </c>
      <c r="D413" s="7" t="s">
        <v>248</v>
      </c>
      <c r="E413" s="8" t="s">
        <v>12</v>
      </c>
      <c r="F413" s="9">
        <v>2669</v>
      </c>
      <c r="G413" s="9" t="s">
        <v>1248</v>
      </c>
      <c r="H413" s="9" t="s">
        <v>1714</v>
      </c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>
      <c r="A414" s="7" t="s">
        <v>439</v>
      </c>
      <c r="B414" s="8">
        <v>206131919704</v>
      </c>
      <c r="C414" s="8" t="s">
        <v>301</v>
      </c>
      <c r="D414" s="7" t="s">
        <v>248</v>
      </c>
      <c r="E414" s="8" t="s">
        <v>14</v>
      </c>
      <c r="F414" s="9">
        <v>2736</v>
      </c>
      <c r="G414" s="9" t="s">
        <v>982</v>
      </c>
      <c r="H414" s="9" t="s">
        <v>1715</v>
      </c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>
      <c r="A415" s="7" t="s">
        <v>440</v>
      </c>
      <c r="B415" s="8">
        <v>957162109584</v>
      </c>
      <c r="C415" s="8" t="s">
        <v>301</v>
      </c>
      <c r="D415" s="7" t="s">
        <v>248</v>
      </c>
      <c r="E415" s="8" t="s">
        <v>12</v>
      </c>
      <c r="F415" s="9">
        <v>2808</v>
      </c>
      <c r="G415" s="9" t="s">
        <v>1449</v>
      </c>
      <c r="H415" s="9" t="s">
        <v>1716</v>
      </c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>
      <c r="A416" s="7" t="s">
        <v>441</v>
      </c>
      <c r="B416" s="8">
        <v>656179636850</v>
      </c>
      <c r="C416" s="8" t="s">
        <v>301</v>
      </c>
      <c r="D416" s="7" t="s">
        <v>69</v>
      </c>
      <c r="E416" s="8" t="s">
        <v>14</v>
      </c>
      <c r="F416" s="10" t="s">
        <v>1717</v>
      </c>
      <c r="G416" s="9" t="s">
        <v>1433</v>
      </c>
      <c r="H416" s="9" t="s">
        <v>1718</v>
      </c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>
      <c r="A417" s="7" t="s">
        <v>442</v>
      </c>
      <c r="B417" s="8">
        <v>467134069813</v>
      </c>
      <c r="C417" s="8" t="s">
        <v>301</v>
      </c>
      <c r="D417" s="7" t="s">
        <v>69</v>
      </c>
      <c r="E417" s="8" t="s">
        <v>14</v>
      </c>
      <c r="F417" s="10" t="s">
        <v>1719</v>
      </c>
      <c r="G417" s="9" t="s">
        <v>1045</v>
      </c>
      <c r="H417" s="9" t="s">
        <v>1720</v>
      </c>
      <c r="I417" s="9">
        <v>201091050146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>
      <c r="A418" s="7" t="s">
        <v>443</v>
      </c>
      <c r="B418" s="8">
        <v>592179807615</v>
      </c>
      <c r="C418" s="8" t="s">
        <v>301</v>
      </c>
      <c r="D418" s="7" t="s">
        <v>69</v>
      </c>
      <c r="E418" s="8" t="s">
        <v>14</v>
      </c>
      <c r="F418" s="10" t="s">
        <v>1721</v>
      </c>
      <c r="G418" s="9" t="s">
        <v>1248</v>
      </c>
      <c r="H418" s="9" t="s">
        <v>1722</v>
      </c>
      <c r="I418" s="9">
        <v>201116153885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>
      <c r="A419" s="7" t="s">
        <v>444</v>
      </c>
      <c r="B419" s="8">
        <v>957170329636</v>
      </c>
      <c r="C419" s="8" t="s">
        <v>301</v>
      </c>
      <c r="D419" s="7" t="s">
        <v>69</v>
      </c>
      <c r="E419" s="8" t="s">
        <v>14</v>
      </c>
      <c r="F419" s="10" t="s">
        <v>1723</v>
      </c>
      <c r="G419" s="9" t="s">
        <v>1248</v>
      </c>
      <c r="H419" s="9" t="s">
        <v>1724</v>
      </c>
      <c r="I419" s="9" t="s">
        <v>1725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>
      <c r="A420" s="7" t="s">
        <v>445</v>
      </c>
      <c r="B420" s="8">
        <v>919178945796</v>
      </c>
      <c r="C420" s="8" t="s">
        <v>301</v>
      </c>
      <c r="D420" s="7" t="s">
        <v>69</v>
      </c>
      <c r="E420" s="8" t="s">
        <v>14</v>
      </c>
      <c r="F420" s="10" t="s">
        <v>1726</v>
      </c>
      <c r="G420" s="9" t="s">
        <v>1433</v>
      </c>
      <c r="H420" s="9" t="s">
        <v>1727</v>
      </c>
      <c r="I420" s="9" t="s">
        <v>1728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>
      <c r="A421" s="7" t="s">
        <v>446</v>
      </c>
      <c r="B421" s="8">
        <v>617175650841</v>
      </c>
      <c r="C421" s="8" t="s">
        <v>301</v>
      </c>
      <c r="D421" s="7" t="s">
        <v>69</v>
      </c>
      <c r="E421" s="8" t="s">
        <v>14</v>
      </c>
      <c r="F421" s="10" t="s">
        <v>1729</v>
      </c>
      <c r="G421" s="9" t="s">
        <v>1730</v>
      </c>
      <c r="H421" s="9" t="s">
        <v>1731</v>
      </c>
      <c r="I421" s="9" t="s">
        <v>1732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>
      <c r="A422" s="7" t="s">
        <v>447</v>
      </c>
      <c r="B422" s="8">
        <v>456173727324</v>
      </c>
      <c r="C422" s="8" t="s">
        <v>301</v>
      </c>
      <c r="D422" s="7" t="s">
        <v>69</v>
      </c>
      <c r="E422" s="8" t="s">
        <v>14</v>
      </c>
      <c r="F422" s="10" t="s">
        <v>1733</v>
      </c>
      <c r="G422" s="9" t="s">
        <v>982</v>
      </c>
      <c r="H422" s="9" t="s">
        <v>1734</v>
      </c>
      <c r="I422" s="9" t="s">
        <v>1735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>
      <c r="A423" s="7" t="s">
        <v>448</v>
      </c>
      <c r="B423" s="8">
        <v>138195736921</v>
      </c>
      <c r="C423" s="8" t="s">
        <v>301</v>
      </c>
      <c r="D423" s="7" t="s">
        <v>69</v>
      </c>
      <c r="E423" s="8" t="s">
        <v>14</v>
      </c>
      <c r="F423" s="10" t="s">
        <v>1736</v>
      </c>
      <c r="G423" s="9" t="s">
        <v>1248</v>
      </c>
      <c r="H423" s="9" t="s">
        <v>1737</v>
      </c>
      <c r="I423" s="9" t="s">
        <v>1738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>
      <c r="A424" s="7" t="s">
        <v>449</v>
      </c>
      <c r="B424" s="8">
        <v>786170102324</v>
      </c>
      <c r="C424" s="8" t="s">
        <v>301</v>
      </c>
      <c r="D424" s="7" t="s">
        <v>69</v>
      </c>
      <c r="E424" s="8" t="s">
        <v>14</v>
      </c>
      <c r="F424" s="10" t="s">
        <v>1739</v>
      </c>
      <c r="G424" s="9" t="s">
        <v>1248</v>
      </c>
      <c r="H424" s="9" t="s">
        <v>1740</v>
      </c>
      <c r="I424" s="9" t="s">
        <v>1741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>
      <c r="A425" s="7" t="s">
        <v>450</v>
      </c>
      <c r="B425" s="8">
        <v>503107402589</v>
      </c>
      <c r="C425" s="8" t="s">
        <v>301</v>
      </c>
      <c r="D425" s="7" t="s">
        <v>69</v>
      </c>
      <c r="E425" s="8" t="s">
        <v>14</v>
      </c>
      <c r="F425" s="9">
        <v>2346</v>
      </c>
      <c r="G425" s="9" t="s">
        <v>1248</v>
      </c>
      <c r="H425" s="9" t="s">
        <v>1742</v>
      </c>
      <c r="I425" s="9" t="s">
        <v>1743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>
      <c r="A426" s="7" t="s">
        <v>451</v>
      </c>
      <c r="B426" s="8">
        <v>839190937852</v>
      </c>
      <c r="C426" s="8" t="s">
        <v>301</v>
      </c>
      <c r="D426" s="7" t="s">
        <v>69</v>
      </c>
      <c r="E426" s="8" t="s">
        <v>12</v>
      </c>
      <c r="F426" s="9">
        <v>2378</v>
      </c>
      <c r="G426" s="9" t="s">
        <v>1433</v>
      </c>
      <c r="H426" s="9" t="s">
        <v>1744</v>
      </c>
      <c r="I426" s="9" t="s">
        <v>1745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>
      <c r="A427" s="7" t="s">
        <v>452</v>
      </c>
      <c r="B427" s="8">
        <v>250145985245</v>
      </c>
      <c r="C427" s="8" t="s">
        <v>301</v>
      </c>
      <c r="D427" s="7" t="s">
        <v>69</v>
      </c>
      <c r="E427" s="8" t="s">
        <v>14</v>
      </c>
      <c r="F427" s="9">
        <v>2374</v>
      </c>
      <c r="G427" s="9" t="s">
        <v>1248</v>
      </c>
      <c r="H427" s="9" t="s">
        <v>1746</v>
      </c>
      <c r="I427" s="9" t="s">
        <v>1747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>
      <c r="A428" s="7" t="s">
        <v>453</v>
      </c>
      <c r="B428" s="8">
        <v>498131373584</v>
      </c>
      <c r="C428" s="8" t="s">
        <v>301</v>
      </c>
      <c r="D428" s="7" t="s">
        <v>69</v>
      </c>
      <c r="E428" s="8" t="s">
        <v>14</v>
      </c>
      <c r="F428" s="9">
        <v>2394</v>
      </c>
      <c r="G428" s="9" t="s">
        <v>982</v>
      </c>
      <c r="H428" s="9" t="s">
        <v>1748</v>
      </c>
      <c r="I428" s="9" t="s">
        <v>1749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>
      <c r="A429" s="7" t="s">
        <v>454</v>
      </c>
      <c r="B429" s="8">
        <v>608183854595</v>
      </c>
      <c r="C429" s="8" t="s">
        <v>301</v>
      </c>
      <c r="D429" s="7" t="s">
        <v>69</v>
      </c>
      <c r="E429" s="8" t="s">
        <v>12</v>
      </c>
      <c r="F429" s="9">
        <v>2415</v>
      </c>
      <c r="G429" s="9" t="s">
        <v>1750</v>
      </c>
      <c r="H429" s="9" t="s">
        <v>1751</v>
      </c>
      <c r="I429" s="9" t="s">
        <v>1752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>
      <c r="A430" s="7" t="s">
        <v>455</v>
      </c>
      <c r="B430" s="8">
        <v>416178416352</v>
      </c>
      <c r="C430" s="8" t="s">
        <v>301</v>
      </c>
      <c r="D430" s="7" t="s">
        <v>69</v>
      </c>
      <c r="E430" s="8" t="s">
        <v>14</v>
      </c>
      <c r="F430" s="9">
        <v>2410</v>
      </c>
      <c r="G430" s="9" t="s">
        <v>982</v>
      </c>
      <c r="H430" s="9" t="s">
        <v>1753</v>
      </c>
      <c r="I430" s="9" t="s">
        <v>1754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>
      <c r="A431" s="7" t="s">
        <v>456</v>
      </c>
      <c r="B431" s="8">
        <v>193167923501</v>
      </c>
      <c r="C431" s="8" t="s">
        <v>301</v>
      </c>
      <c r="D431" s="7" t="s">
        <v>69</v>
      </c>
      <c r="E431" s="8" t="s">
        <v>14</v>
      </c>
      <c r="F431" s="9">
        <v>2451</v>
      </c>
      <c r="G431" s="9" t="s">
        <v>1045</v>
      </c>
      <c r="H431" s="9" t="s">
        <v>1755</v>
      </c>
      <c r="I431" s="9" t="s">
        <v>1756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>
      <c r="A432" s="7" t="s">
        <v>457</v>
      </c>
      <c r="B432" s="8">
        <v>735137965041</v>
      </c>
      <c r="C432" s="8" t="s">
        <v>301</v>
      </c>
      <c r="D432" s="7" t="s">
        <v>69</v>
      </c>
      <c r="E432" s="8" t="s">
        <v>14</v>
      </c>
      <c r="F432" s="9">
        <v>2469</v>
      </c>
      <c r="G432" s="9" t="s">
        <v>982</v>
      </c>
      <c r="H432" s="9" t="s">
        <v>1757</v>
      </c>
      <c r="I432" s="9" t="s">
        <v>1758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>
      <c r="A433" s="7" t="s">
        <v>458</v>
      </c>
      <c r="B433" s="8">
        <v>358183213283</v>
      </c>
      <c r="C433" s="8" t="s">
        <v>301</v>
      </c>
      <c r="D433" s="7" t="s">
        <v>69</v>
      </c>
      <c r="E433" s="8" t="s">
        <v>14</v>
      </c>
      <c r="F433" s="9">
        <v>2463</v>
      </c>
      <c r="G433" s="9" t="s">
        <v>1248</v>
      </c>
      <c r="H433" s="9" t="s">
        <v>1759</v>
      </c>
      <c r="I433" s="9" t="s">
        <v>1760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>
      <c r="A434" s="7" t="s">
        <v>459</v>
      </c>
      <c r="B434" s="8">
        <v>184134281752</v>
      </c>
      <c r="C434" s="8" t="s">
        <v>301</v>
      </c>
      <c r="D434" s="7" t="s">
        <v>69</v>
      </c>
      <c r="E434" s="8" t="s">
        <v>14</v>
      </c>
      <c r="F434" s="9">
        <v>2418</v>
      </c>
      <c r="G434" s="9" t="s">
        <v>1248</v>
      </c>
      <c r="H434" s="9" t="s">
        <v>1761</v>
      </c>
      <c r="I434" s="9" t="s">
        <v>1762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>
      <c r="A435" s="7" t="s">
        <v>460</v>
      </c>
      <c r="B435" s="8">
        <v>872145824294</v>
      </c>
      <c r="C435" s="8" t="s">
        <v>301</v>
      </c>
      <c r="D435" s="7" t="s">
        <v>69</v>
      </c>
      <c r="E435" s="8" t="s">
        <v>12</v>
      </c>
      <c r="F435" s="9">
        <v>2464</v>
      </c>
      <c r="G435" s="9" t="s">
        <v>1763</v>
      </c>
      <c r="H435" s="9" t="s">
        <v>1764</v>
      </c>
      <c r="I435" s="9" t="s">
        <v>1765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>
      <c r="A436" s="7" t="s">
        <v>461</v>
      </c>
      <c r="B436" s="8">
        <v>724157458293</v>
      </c>
      <c r="C436" s="8" t="s">
        <v>301</v>
      </c>
      <c r="D436" s="7" t="s">
        <v>69</v>
      </c>
      <c r="E436" s="8" t="s">
        <v>14</v>
      </c>
      <c r="F436" s="9">
        <v>2460</v>
      </c>
      <c r="G436" s="9" t="s">
        <v>1420</v>
      </c>
      <c r="H436" s="9" t="s">
        <v>1766</v>
      </c>
      <c r="I436" s="9" t="s">
        <v>1767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>
      <c r="A437" s="7" t="s">
        <v>462</v>
      </c>
      <c r="B437" s="8">
        <v>607140826840</v>
      </c>
      <c r="C437" s="8" t="s">
        <v>301</v>
      </c>
      <c r="D437" s="7" t="s">
        <v>69</v>
      </c>
      <c r="E437" s="8" t="s">
        <v>14</v>
      </c>
      <c r="F437" s="9">
        <v>2828</v>
      </c>
      <c r="G437" s="9" t="s">
        <v>1433</v>
      </c>
      <c r="H437" s="9" t="s">
        <v>1768</v>
      </c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>
      <c r="A438" s="7" t="s">
        <v>463</v>
      </c>
      <c r="B438" s="8">
        <v>196162052652</v>
      </c>
      <c r="C438" s="8" t="s">
        <v>301</v>
      </c>
      <c r="D438" s="7" t="s">
        <v>69</v>
      </c>
      <c r="E438" s="8" t="s">
        <v>14</v>
      </c>
      <c r="F438" s="9">
        <v>2494</v>
      </c>
      <c r="G438" s="9" t="s">
        <v>982</v>
      </c>
      <c r="H438" s="9" t="s">
        <v>1769</v>
      </c>
      <c r="I438" s="9" t="s">
        <v>1770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>
      <c r="A439" s="7" t="s">
        <v>464</v>
      </c>
      <c r="B439" s="8">
        <v>863124634182</v>
      </c>
      <c r="C439" s="8" t="s">
        <v>301</v>
      </c>
      <c r="D439" s="7" t="s">
        <v>69</v>
      </c>
      <c r="E439" s="8" t="s">
        <v>14</v>
      </c>
      <c r="F439" s="9">
        <v>2598</v>
      </c>
      <c r="G439" s="9" t="s">
        <v>982</v>
      </c>
      <c r="H439" s="9" t="s">
        <v>1771</v>
      </c>
      <c r="I439" s="9" t="s">
        <v>1772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>
      <c r="A440" s="7" t="s">
        <v>465</v>
      </c>
      <c r="B440" s="8">
        <v>679107028652</v>
      </c>
      <c r="C440" s="8" t="s">
        <v>301</v>
      </c>
      <c r="D440" s="7" t="s">
        <v>69</v>
      </c>
      <c r="E440" s="8" t="s">
        <v>14</v>
      </c>
      <c r="F440" s="9">
        <v>2607</v>
      </c>
      <c r="G440" s="9" t="s">
        <v>982</v>
      </c>
      <c r="H440" s="9" t="s">
        <v>1773</v>
      </c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>
      <c r="A441" s="7" t="s">
        <v>466</v>
      </c>
      <c r="B441" s="8">
        <v>158121437132</v>
      </c>
      <c r="C441" s="8" t="s">
        <v>301</v>
      </c>
      <c r="D441" s="7" t="s">
        <v>69</v>
      </c>
      <c r="E441" s="8" t="s">
        <v>12</v>
      </c>
      <c r="F441" s="9">
        <v>2689</v>
      </c>
      <c r="G441" s="9" t="s">
        <v>982</v>
      </c>
      <c r="H441" s="9" t="s">
        <v>1774</v>
      </c>
      <c r="I441" s="9" t="s">
        <v>1775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>
      <c r="A442" s="7" t="s">
        <v>467</v>
      </c>
      <c r="B442" s="8">
        <v>248108614245</v>
      </c>
      <c r="C442" s="8" t="s">
        <v>301</v>
      </c>
      <c r="D442" s="7" t="s">
        <v>69</v>
      </c>
      <c r="E442" s="8" t="s">
        <v>12</v>
      </c>
      <c r="F442" s="9">
        <v>2714</v>
      </c>
      <c r="G442" s="9" t="s">
        <v>1368</v>
      </c>
      <c r="H442" s="9" t="s">
        <v>1776</v>
      </c>
      <c r="I442" s="9" t="s">
        <v>1777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>
      <c r="A443" s="7" t="s">
        <v>468</v>
      </c>
      <c r="B443" s="8">
        <v>808120316039</v>
      </c>
      <c r="C443" s="8" t="s">
        <v>301</v>
      </c>
      <c r="D443" s="7" t="s">
        <v>69</v>
      </c>
      <c r="E443" s="8" t="s">
        <v>14</v>
      </c>
      <c r="F443" s="9">
        <v>2739</v>
      </c>
      <c r="G443" s="9" t="s">
        <v>982</v>
      </c>
      <c r="H443" s="9" t="s">
        <v>1778</v>
      </c>
      <c r="I443" s="9" t="s">
        <v>1779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>
      <c r="A444" s="7" t="s">
        <v>469</v>
      </c>
      <c r="B444" s="8">
        <v>745160949182</v>
      </c>
      <c r="C444" s="8" t="s">
        <v>301</v>
      </c>
      <c r="D444" s="7" t="s">
        <v>69</v>
      </c>
      <c r="E444" s="8" t="s">
        <v>14</v>
      </c>
      <c r="F444" s="9">
        <v>2666</v>
      </c>
      <c r="G444" s="9" t="s">
        <v>1248</v>
      </c>
      <c r="H444" s="9" t="s">
        <v>1780</v>
      </c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>
      <c r="A445" s="7" t="s">
        <v>470</v>
      </c>
      <c r="B445" s="8">
        <v>945158431678</v>
      </c>
      <c r="C445" s="8" t="s">
        <v>301</v>
      </c>
      <c r="D445" s="7" t="s">
        <v>69</v>
      </c>
      <c r="E445" s="8" t="s">
        <v>12</v>
      </c>
      <c r="F445" s="9">
        <v>2683</v>
      </c>
      <c r="G445" s="9" t="s">
        <v>982</v>
      </c>
      <c r="H445" s="9" t="s">
        <v>1781</v>
      </c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>
      <c r="A446" s="7" t="s">
        <v>471</v>
      </c>
      <c r="B446" s="8">
        <v>173169573720</v>
      </c>
      <c r="C446" s="8" t="s">
        <v>301</v>
      </c>
      <c r="D446" s="7" t="s">
        <v>69</v>
      </c>
      <c r="E446" s="8" t="s">
        <v>12</v>
      </c>
      <c r="F446" s="9">
        <v>2518</v>
      </c>
      <c r="G446" s="9" t="s">
        <v>1433</v>
      </c>
      <c r="H446" s="9" t="s">
        <v>1782</v>
      </c>
      <c r="I446" s="9" t="s">
        <v>1783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>
      <c r="A447" s="7" t="s">
        <v>472</v>
      </c>
      <c r="B447" s="8">
        <v>802176250947</v>
      </c>
      <c r="C447" s="8" t="s">
        <v>301</v>
      </c>
      <c r="D447" s="7" t="s">
        <v>69</v>
      </c>
      <c r="E447" s="8" t="s">
        <v>12</v>
      </c>
      <c r="F447" s="9">
        <v>2636</v>
      </c>
      <c r="G447" s="9" t="s">
        <v>1248</v>
      </c>
      <c r="H447" s="9" t="s">
        <v>1784</v>
      </c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>
      <c r="A448" s="7" t="s">
        <v>473</v>
      </c>
      <c r="B448" s="8">
        <v>648193010591</v>
      </c>
      <c r="C448" s="8" t="s">
        <v>474</v>
      </c>
      <c r="D448" s="8" t="s">
        <v>475</v>
      </c>
      <c r="E448" s="8" t="s">
        <v>14</v>
      </c>
      <c r="F448" s="10" t="s">
        <v>1785</v>
      </c>
      <c r="G448" s="9" t="s">
        <v>1786</v>
      </c>
      <c r="H448" s="9" t="s">
        <v>1787</v>
      </c>
      <c r="I448" s="9">
        <v>201119117049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>
      <c r="A449" s="7" t="s">
        <v>476</v>
      </c>
      <c r="B449" s="8">
        <v>535169041274</v>
      </c>
      <c r="C449" s="8" t="s">
        <v>474</v>
      </c>
      <c r="D449" s="8" t="s">
        <v>475</v>
      </c>
      <c r="E449" s="8" t="s">
        <v>12</v>
      </c>
      <c r="F449" s="10" t="s">
        <v>1788</v>
      </c>
      <c r="G449" s="9" t="s">
        <v>1789</v>
      </c>
      <c r="H449" s="9" t="s">
        <v>1790</v>
      </c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>
      <c r="A450" s="7" t="s">
        <v>477</v>
      </c>
      <c r="B450" s="8">
        <v>165178526464</v>
      </c>
      <c r="C450" s="8" t="s">
        <v>474</v>
      </c>
      <c r="D450" s="8" t="s">
        <v>475</v>
      </c>
      <c r="E450" s="8" t="s">
        <v>14</v>
      </c>
      <c r="F450" s="10" t="s">
        <v>1791</v>
      </c>
      <c r="G450" s="9" t="s">
        <v>1786</v>
      </c>
      <c r="H450" s="9" t="s">
        <v>1792</v>
      </c>
      <c r="I450" s="9" t="s">
        <v>1793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>
      <c r="A451" s="7" t="s">
        <v>478</v>
      </c>
      <c r="B451" s="8">
        <v>576138787065</v>
      </c>
      <c r="C451" s="8" t="s">
        <v>474</v>
      </c>
      <c r="D451" s="8" t="s">
        <v>475</v>
      </c>
      <c r="E451" s="8" t="s">
        <v>14</v>
      </c>
      <c r="F451" s="10" t="s">
        <v>1794</v>
      </c>
      <c r="G451" s="9" t="s">
        <v>1789</v>
      </c>
      <c r="H451" s="9" t="s">
        <v>1795</v>
      </c>
      <c r="I451" s="9" t="s">
        <v>1796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>
      <c r="A452" s="7" t="s">
        <v>479</v>
      </c>
      <c r="B452" s="8">
        <v>159132748372</v>
      </c>
      <c r="C452" s="8" t="s">
        <v>474</v>
      </c>
      <c r="D452" s="8" t="s">
        <v>475</v>
      </c>
      <c r="E452" s="8" t="s">
        <v>12</v>
      </c>
      <c r="F452" s="9">
        <v>2679</v>
      </c>
      <c r="G452" s="9" t="s">
        <v>1248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>
      <c r="A453" s="7" t="s">
        <v>480</v>
      </c>
      <c r="B453" s="8">
        <v>427185258450</v>
      </c>
      <c r="C453" s="8" t="s">
        <v>474</v>
      </c>
      <c r="D453" s="8" t="s">
        <v>475</v>
      </c>
      <c r="E453" s="8" t="s">
        <v>14</v>
      </c>
      <c r="F453" s="10" t="s">
        <v>1797</v>
      </c>
      <c r="G453" s="9" t="s">
        <v>1789</v>
      </c>
      <c r="H453" s="9" t="s">
        <v>1798</v>
      </c>
      <c r="I453" s="9" t="s">
        <v>1799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>
      <c r="A454" s="7" t="s">
        <v>481</v>
      </c>
      <c r="B454" s="8">
        <v>485105671631</v>
      </c>
      <c r="C454" s="8" t="s">
        <v>474</v>
      </c>
      <c r="D454" s="8" t="s">
        <v>475</v>
      </c>
      <c r="E454" s="8" t="s">
        <v>12</v>
      </c>
      <c r="F454" s="9" t="s">
        <v>1800</v>
      </c>
      <c r="G454" s="9" t="s">
        <v>1789</v>
      </c>
      <c r="H454" s="9" t="s">
        <v>1801</v>
      </c>
      <c r="I454" s="9" t="s">
        <v>1802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>
      <c r="A455" s="7" t="s">
        <v>482</v>
      </c>
      <c r="B455" s="8">
        <v>684136956389</v>
      </c>
      <c r="C455" s="8" t="s">
        <v>474</v>
      </c>
      <c r="D455" s="8" t="s">
        <v>475</v>
      </c>
      <c r="E455" s="8" t="s">
        <v>14</v>
      </c>
      <c r="F455" s="9">
        <v>2272</v>
      </c>
      <c r="G455" s="9" t="s">
        <v>1786</v>
      </c>
      <c r="H455" s="9" t="s">
        <v>1803</v>
      </c>
      <c r="I455" s="9" t="s">
        <v>1804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>
      <c r="A456" s="7" t="s">
        <v>483</v>
      </c>
      <c r="B456" s="8">
        <v>535159767372</v>
      </c>
      <c r="C456" s="8" t="s">
        <v>474</v>
      </c>
      <c r="D456" s="8" t="s">
        <v>475</v>
      </c>
      <c r="E456" s="8" t="s">
        <v>14</v>
      </c>
      <c r="F456" s="9">
        <v>2268</v>
      </c>
      <c r="G456" s="9" t="s">
        <v>1654</v>
      </c>
      <c r="H456" s="9" t="s">
        <v>1805</v>
      </c>
      <c r="I456" s="9" t="s">
        <v>1806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>
      <c r="A457" s="7" t="s">
        <v>484</v>
      </c>
      <c r="B457" s="8">
        <v>274174108437</v>
      </c>
      <c r="C457" s="8" t="s">
        <v>474</v>
      </c>
      <c r="D457" s="8" t="s">
        <v>475</v>
      </c>
      <c r="E457" s="8" t="s">
        <v>14</v>
      </c>
      <c r="F457" s="9">
        <v>2343</v>
      </c>
      <c r="G457" s="9" t="s">
        <v>1789</v>
      </c>
      <c r="H457" s="9" t="s">
        <v>1807</v>
      </c>
      <c r="I457" s="9" t="s">
        <v>1808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>
      <c r="A458" s="7" t="s">
        <v>485</v>
      </c>
      <c r="B458" s="8">
        <v>164139350921</v>
      </c>
      <c r="C458" s="8" t="s">
        <v>474</v>
      </c>
      <c r="D458" s="8" t="s">
        <v>486</v>
      </c>
      <c r="E458" s="8" t="s">
        <v>14</v>
      </c>
      <c r="F458" s="10" t="s">
        <v>1809</v>
      </c>
      <c r="G458" s="9" t="s">
        <v>1786</v>
      </c>
      <c r="H458" s="9" t="s">
        <v>1810</v>
      </c>
      <c r="I458" s="9" t="s">
        <v>1811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>
      <c r="A459" s="7" t="s">
        <v>487</v>
      </c>
      <c r="B459" s="8">
        <v>718157635385</v>
      </c>
      <c r="C459" s="8" t="s">
        <v>474</v>
      </c>
      <c r="D459" s="8" t="s">
        <v>486</v>
      </c>
      <c r="E459" s="8" t="s">
        <v>14</v>
      </c>
      <c r="F459" s="10" t="s">
        <v>1812</v>
      </c>
      <c r="G459" s="9" t="s">
        <v>1786</v>
      </c>
      <c r="H459" s="9" t="s">
        <v>1813</v>
      </c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>
      <c r="A460" s="7" t="s">
        <v>488</v>
      </c>
      <c r="B460" s="8">
        <v>809169821473</v>
      </c>
      <c r="C460" s="8" t="s">
        <v>474</v>
      </c>
      <c r="D460" s="8" t="s">
        <v>486</v>
      </c>
      <c r="E460" s="8" t="s">
        <v>14</v>
      </c>
      <c r="F460" s="10" t="s">
        <v>1814</v>
      </c>
      <c r="G460" s="9" t="s">
        <v>1815</v>
      </c>
      <c r="H460" s="9" t="s">
        <v>1816</v>
      </c>
      <c r="I460" s="9" t="s">
        <v>1817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>
      <c r="A461" s="7" t="s">
        <v>489</v>
      </c>
      <c r="B461" s="8">
        <v>484190812809</v>
      </c>
      <c r="C461" s="8" t="s">
        <v>474</v>
      </c>
      <c r="D461" s="8" t="s">
        <v>486</v>
      </c>
      <c r="E461" s="8" t="s">
        <v>14</v>
      </c>
      <c r="F461" s="9">
        <v>2465</v>
      </c>
      <c r="G461" s="9" t="s">
        <v>1818</v>
      </c>
      <c r="H461" s="9" t="s">
        <v>1819</v>
      </c>
      <c r="I461" s="9" t="s">
        <v>1820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>
      <c r="A462" s="7" t="s">
        <v>490</v>
      </c>
      <c r="B462" s="8">
        <v>725121824513</v>
      </c>
      <c r="C462" s="8" t="s">
        <v>474</v>
      </c>
      <c r="D462" s="8" t="s">
        <v>486</v>
      </c>
      <c r="E462" s="8" t="s">
        <v>12</v>
      </c>
      <c r="F462" s="9">
        <v>2510</v>
      </c>
      <c r="G462" s="9" t="s">
        <v>1654</v>
      </c>
      <c r="H462" s="9" t="s">
        <v>1821</v>
      </c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>
      <c r="A463" s="7" t="s">
        <v>491</v>
      </c>
      <c r="B463" s="8">
        <v>368106936162</v>
      </c>
      <c r="C463" s="8" t="s">
        <v>474</v>
      </c>
      <c r="D463" s="8" t="s">
        <v>25</v>
      </c>
      <c r="E463" s="8" t="s">
        <v>14</v>
      </c>
      <c r="F463" s="10" t="s">
        <v>1822</v>
      </c>
      <c r="G463" s="9"/>
      <c r="H463" s="9" t="s">
        <v>1823</v>
      </c>
      <c r="I463" s="9">
        <v>201094446118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>
      <c r="A464" s="7" t="s">
        <v>492</v>
      </c>
      <c r="B464" s="8">
        <v>736126951732</v>
      </c>
      <c r="C464" s="8" t="s">
        <v>474</v>
      </c>
      <c r="D464" s="8" t="s">
        <v>25</v>
      </c>
      <c r="E464" s="8" t="s">
        <v>12</v>
      </c>
      <c r="F464" s="10" t="s">
        <v>1824</v>
      </c>
      <c r="G464" s="9"/>
      <c r="H464" s="9" t="s">
        <v>1825</v>
      </c>
      <c r="I464" s="9" t="s">
        <v>1826</v>
      </c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>
      <c r="A465" s="7" t="s">
        <v>493</v>
      </c>
      <c r="B465" s="8">
        <v>126129384181</v>
      </c>
      <c r="C465" s="8" t="s">
        <v>474</v>
      </c>
      <c r="D465" s="8" t="s">
        <v>25</v>
      </c>
      <c r="E465" s="8" t="s">
        <v>12</v>
      </c>
      <c r="F465" s="10">
        <v>2305</v>
      </c>
      <c r="G465" s="9"/>
      <c r="H465" s="9" t="s">
        <v>1827</v>
      </c>
      <c r="I465" s="9" t="s">
        <v>1828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>
      <c r="A466" s="7" t="s">
        <v>494</v>
      </c>
      <c r="B466" s="8">
        <v>213182140457</v>
      </c>
      <c r="C466" s="8" t="s">
        <v>474</v>
      </c>
      <c r="D466" s="8" t="s">
        <v>25</v>
      </c>
      <c r="E466" s="8" t="s">
        <v>12</v>
      </c>
      <c r="F466" s="9">
        <v>2486</v>
      </c>
      <c r="G466" s="9" t="s">
        <v>1433</v>
      </c>
      <c r="H466" s="9" t="s">
        <v>1829</v>
      </c>
      <c r="I466" s="9" t="s">
        <v>1830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>
      <c r="A467" s="7" t="s">
        <v>495</v>
      </c>
      <c r="B467" s="8">
        <v>810152324716</v>
      </c>
      <c r="C467" s="8" t="s">
        <v>474</v>
      </c>
      <c r="D467" s="8" t="s">
        <v>25</v>
      </c>
      <c r="E467" s="8" t="s">
        <v>12</v>
      </c>
      <c r="F467" s="9"/>
      <c r="G467" s="9" t="s">
        <v>1786</v>
      </c>
      <c r="H467" s="9" t="s">
        <v>1831</v>
      </c>
      <c r="I467" s="9" t="s">
        <v>1832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>
      <c r="A468" s="7" t="s">
        <v>496</v>
      </c>
      <c r="B468" s="8">
        <v>503179175428</v>
      </c>
      <c r="C468" s="8" t="s">
        <v>474</v>
      </c>
      <c r="D468" s="8" t="s">
        <v>25</v>
      </c>
      <c r="E468" s="8" t="s">
        <v>14</v>
      </c>
      <c r="F468" s="9">
        <v>2726</v>
      </c>
      <c r="G468" s="9" t="s">
        <v>1654</v>
      </c>
      <c r="H468" s="9" t="s">
        <v>1833</v>
      </c>
      <c r="I468" s="9" t="s">
        <v>1834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>
      <c r="A469" s="7" t="s">
        <v>497</v>
      </c>
      <c r="B469" s="8">
        <v>840108032761</v>
      </c>
      <c r="C469" s="8" t="s">
        <v>474</v>
      </c>
      <c r="D469" s="8" t="s">
        <v>25</v>
      </c>
      <c r="E469" s="8" t="s">
        <v>12</v>
      </c>
      <c r="F469" s="9">
        <v>2653</v>
      </c>
      <c r="G469" s="9" t="s">
        <v>1789</v>
      </c>
      <c r="H469" s="9" t="s">
        <v>1835</v>
      </c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>
      <c r="A470" s="7" t="s">
        <v>498</v>
      </c>
      <c r="B470" s="8">
        <v>898189620783</v>
      </c>
      <c r="C470" s="8" t="s">
        <v>474</v>
      </c>
      <c r="D470" s="8" t="s">
        <v>499</v>
      </c>
      <c r="E470" s="8" t="s">
        <v>12</v>
      </c>
      <c r="F470" s="9">
        <v>2711</v>
      </c>
      <c r="G470" s="9" t="s">
        <v>1836</v>
      </c>
      <c r="H470" s="9" t="s">
        <v>1837</v>
      </c>
      <c r="I470" s="9" t="s">
        <v>1838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>
      <c r="A471" s="7" t="s">
        <v>500</v>
      </c>
      <c r="B471" s="8">
        <v>529120269683</v>
      </c>
      <c r="C471" s="8" t="s">
        <v>474</v>
      </c>
      <c r="D471" s="8" t="s">
        <v>499</v>
      </c>
      <c r="E471" s="8" t="s">
        <v>14</v>
      </c>
      <c r="F471" s="9">
        <v>2746</v>
      </c>
      <c r="G471" s="9" t="s">
        <v>1839</v>
      </c>
      <c r="H471" s="9" t="s">
        <v>1840</v>
      </c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>
      <c r="A472" s="7" t="s">
        <v>501</v>
      </c>
      <c r="B472" s="8">
        <v>895194823203</v>
      </c>
      <c r="C472" s="8" t="s">
        <v>474</v>
      </c>
      <c r="D472" s="8" t="s">
        <v>47</v>
      </c>
      <c r="E472" s="8" t="s">
        <v>14</v>
      </c>
      <c r="F472" s="10" t="s">
        <v>1841</v>
      </c>
      <c r="G472" s="9"/>
      <c r="H472" s="9" t="s">
        <v>1842</v>
      </c>
      <c r="I472" s="9">
        <v>201146486750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>
      <c r="A473" s="7" t="s">
        <v>502</v>
      </c>
      <c r="B473" s="8">
        <v>853142059206</v>
      </c>
      <c r="C473" s="8" t="s">
        <v>474</v>
      </c>
      <c r="D473" s="8" t="s">
        <v>47</v>
      </c>
      <c r="E473" s="8" t="s">
        <v>12</v>
      </c>
      <c r="F473" s="10" t="s">
        <v>1843</v>
      </c>
      <c r="G473" s="9"/>
      <c r="H473" s="9" t="s">
        <v>1844</v>
      </c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>
      <c r="A474" s="7" t="s">
        <v>503</v>
      </c>
      <c r="B474" s="8">
        <v>698131716280</v>
      </c>
      <c r="C474" s="8" t="s">
        <v>474</v>
      </c>
      <c r="D474" s="8" t="s">
        <v>47</v>
      </c>
      <c r="E474" s="8" t="s">
        <v>14</v>
      </c>
      <c r="F474" s="10" t="s">
        <v>1845</v>
      </c>
      <c r="G474" s="9"/>
      <c r="H474" s="9" t="s">
        <v>1846</v>
      </c>
      <c r="I474" s="9">
        <v>1204000519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>
      <c r="A475" s="7" t="s">
        <v>504</v>
      </c>
      <c r="B475" s="8">
        <v>108136563671</v>
      </c>
      <c r="C475" s="8" t="s">
        <v>474</v>
      </c>
      <c r="D475" s="8" t="s">
        <v>47</v>
      </c>
      <c r="E475" s="8" t="s">
        <v>12</v>
      </c>
      <c r="F475" s="10" t="s">
        <v>1847</v>
      </c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>
      <c r="A476" s="7" t="s">
        <v>505</v>
      </c>
      <c r="B476" s="8">
        <v>987156102178</v>
      </c>
      <c r="C476" s="8" t="s">
        <v>474</v>
      </c>
      <c r="D476" s="8" t="s">
        <v>47</v>
      </c>
      <c r="E476" s="8" t="s">
        <v>14</v>
      </c>
      <c r="F476" s="9">
        <v>2481</v>
      </c>
      <c r="G476" s="9" t="s">
        <v>1433</v>
      </c>
      <c r="H476" s="9" t="s">
        <v>1848</v>
      </c>
      <c r="I476" s="9" t="s">
        <v>1849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>
      <c r="A477" s="7" t="s">
        <v>506</v>
      </c>
      <c r="B477" s="8">
        <v>530148208342</v>
      </c>
      <c r="C477" s="8" t="s">
        <v>474</v>
      </c>
      <c r="D477" s="8" t="s">
        <v>507</v>
      </c>
      <c r="E477" s="8" t="s">
        <v>12</v>
      </c>
      <c r="F477" s="10" t="s">
        <v>1850</v>
      </c>
      <c r="G477" s="9"/>
      <c r="H477" s="9" t="s">
        <v>1851</v>
      </c>
      <c r="I477" s="9">
        <v>1111733923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>
      <c r="A478" s="7" t="s">
        <v>508</v>
      </c>
      <c r="B478" s="8">
        <v>206152939465</v>
      </c>
      <c r="C478" s="8" t="s">
        <v>474</v>
      </c>
      <c r="D478" s="8" t="s">
        <v>507</v>
      </c>
      <c r="E478" s="8" t="s">
        <v>14</v>
      </c>
      <c r="F478" s="10" t="s">
        <v>1852</v>
      </c>
      <c r="G478" s="9" t="s">
        <v>1815</v>
      </c>
      <c r="H478" s="9" t="s">
        <v>1853</v>
      </c>
      <c r="I478" s="9" t="s">
        <v>1854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>
      <c r="A479" s="7" t="s">
        <v>509</v>
      </c>
      <c r="B479" s="8">
        <v>920135701295</v>
      </c>
      <c r="C479" s="8" t="s">
        <v>474</v>
      </c>
      <c r="D479" s="8" t="s">
        <v>507</v>
      </c>
      <c r="E479" s="8" t="s">
        <v>14</v>
      </c>
      <c r="F479" s="10" t="s">
        <v>1855</v>
      </c>
      <c r="G479" s="9" t="s">
        <v>1815</v>
      </c>
      <c r="H479" s="9" t="s">
        <v>1856</v>
      </c>
      <c r="I479" s="9" t="s">
        <v>1857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>
      <c r="A480" s="7" t="s">
        <v>510</v>
      </c>
      <c r="B480" s="8">
        <v>239195281814</v>
      </c>
      <c r="C480" s="8" t="s">
        <v>474</v>
      </c>
      <c r="D480" s="8" t="s">
        <v>507</v>
      </c>
      <c r="E480" s="8" t="s">
        <v>14</v>
      </c>
      <c r="F480" s="10" t="s">
        <v>1858</v>
      </c>
      <c r="G480" s="9" t="s">
        <v>1815</v>
      </c>
      <c r="H480" s="9" t="s">
        <v>1859</v>
      </c>
      <c r="I480" s="9" t="s">
        <v>1860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>
      <c r="A481" s="7" t="s">
        <v>511</v>
      </c>
      <c r="B481" s="8">
        <v>493105352632</v>
      </c>
      <c r="C481" s="8" t="s">
        <v>474</v>
      </c>
      <c r="D481" s="8" t="s">
        <v>507</v>
      </c>
      <c r="E481" s="8" t="s">
        <v>14</v>
      </c>
      <c r="F481" s="10" t="s">
        <v>1861</v>
      </c>
      <c r="G481" s="9" t="s">
        <v>1815</v>
      </c>
      <c r="H481" s="9" t="s">
        <v>1862</v>
      </c>
      <c r="I481" s="9" t="s">
        <v>1863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>
      <c r="A482" s="7" t="s">
        <v>512</v>
      </c>
      <c r="B482" s="8">
        <v>697161098253</v>
      </c>
      <c r="C482" s="8" t="s">
        <v>474</v>
      </c>
      <c r="D482" s="8" t="s">
        <v>507</v>
      </c>
      <c r="E482" s="8" t="s">
        <v>12</v>
      </c>
      <c r="F482" s="10" t="s">
        <v>1864</v>
      </c>
      <c r="G482" s="9" t="s">
        <v>1786</v>
      </c>
      <c r="H482" s="9" t="s">
        <v>1865</v>
      </c>
      <c r="I482" s="9" t="s">
        <v>1866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>
      <c r="A483" s="7" t="s">
        <v>513</v>
      </c>
      <c r="B483" s="8">
        <v>606135373517</v>
      </c>
      <c r="C483" s="8" t="s">
        <v>474</v>
      </c>
      <c r="D483" s="8" t="s">
        <v>507</v>
      </c>
      <c r="E483" s="8" t="s">
        <v>14</v>
      </c>
      <c r="F483" s="9">
        <v>2372</v>
      </c>
      <c r="G483" s="9" t="s">
        <v>1786</v>
      </c>
      <c r="H483" s="9" t="s">
        <v>1867</v>
      </c>
      <c r="I483" s="9" t="s">
        <v>1868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>
      <c r="A484" s="7" t="s">
        <v>514</v>
      </c>
      <c r="B484" s="8">
        <v>538169672528</v>
      </c>
      <c r="C484" s="8" t="s">
        <v>474</v>
      </c>
      <c r="D484" s="8" t="s">
        <v>507</v>
      </c>
      <c r="E484" s="8" t="s">
        <v>12</v>
      </c>
      <c r="F484" s="9">
        <v>2369</v>
      </c>
      <c r="G484" s="9" t="s">
        <v>1786</v>
      </c>
      <c r="H484" s="9" t="s">
        <v>1869</v>
      </c>
      <c r="I484" s="9" t="s">
        <v>1870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>
      <c r="A485" s="7" t="s">
        <v>515</v>
      </c>
      <c r="B485" s="8">
        <v>156154179702</v>
      </c>
      <c r="C485" s="8" t="s">
        <v>474</v>
      </c>
      <c r="D485" s="7" t="s">
        <v>516</v>
      </c>
      <c r="E485" s="8" t="s">
        <v>12</v>
      </c>
      <c r="F485" s="10" t="s">
        <v>1871</v>
      </c>
      <c r="G485" s="9" t="s">
        <v>1786</v>
      </c>
      <c r="H485" s="9" t="s">
        <v>1872</v>
      </c>
      <c r="I485" s="9">
        <v>201001344221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>
      <c r="A486" s="7" t="s">
        <v>517</v>
      </c>
      <c r="B486" s="8">
        <v>160143206257</v>
      </c>
      <c r="C486" s="8" t="s">
        <v>474</v>
      </c>
      <c r="D486" s="7" t="s">
        <v>516</v>
      </c>
      <c r="E486" s="8" t="s">
        <v>14</v>
      </c>
      <c r="F486" s="10" t="s">
        <v>1873</v>
      </c>
      <c r="G486" s="9" t="s">
        <v>1789</v>
      </c>
      <c r="H486" s="9" t="s">
        <v>1874</v>
      </c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>
      <c r="A487" s="7" t="s">
        <v>518</v>
      </c>
      <c r="B487" s="8">
        <v>185172946290</v>
      </c>
      <c r="C487" s="8" t="s">
        <v>474</v>
      </c>
      <c r="D487" s="7" t="s">
        <v>516</v>
      </c>
      <c r="E487" s="8" t="s">
        <v>12</v>
      </c>
      <c r="F487" s="10" t="s">
        <v>1875</v>
      </c>
      <c r="G487" s="9" t="s">
        <v>1786</v>
      </c>
      <c r="H487" s="9" t="s">
        <v>1876</v>
      </c>
      <c r="I487" s="9" t="s">
        <v>1877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>
      <c r="A488" s="7" t="s">
        <v>519</v>
      </c>
      <c r="B488" s="8">
        <v>305108276197</v>
      </c>
      <c r="C488" s="8" t="s">
        <v>474</v>
      </c>
      <c r="D488" s="7" t="s">
        <v>516</v>
      </c>
      <c r="E488" s="8" t="s">
        <v>12</v>
      </c>
      <c r="F488" s="10" t="s">
        <v>1878</v>
      </c>
      <c r="G488" s="9" t="s">
        <v>1786</v>
      </c>
      <c r="H488" s="9" t="s">
        <v>1879</v>
      </c>
      <c r="I488" s="9">
        <v>1012274118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>
      <c r="A489" s="7" t="s">
        <v>520</v>
      </c>
      <c r="B489" s="8">
        <v>964165080713</v>
      </c>
      <c r="C489" s="8" t="s">
        <v>474</v>
      </c>
      <c r="D489" s="7" t="s">
        <v>516</v>
      </c>
      <c r="E489" s="8" t="s">
        <v>14</v>
      </c>
      <c r="F489" s="10" t="s">
        <v>1880</v>
      </c>
      <c r="G489" s="9" t="s">
        <v>1786</v>
      </c>
      <c r="H489" s="9" t="s">
        <v>1881</v>
      </c>
      <c r="I489" s="9" t="s">
        <v>1882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>
      <c r="A490" s="7" t="s">
        <v>521</v>
      </c>
      <c r="B490" s="8">
        <v>850173474604</v>
      </c>
      <c r="C490" s="8" t="s">
        <v>474</v>
      </c>
      <c r="D490" s="7" t="s">
        <v>516</v>
      </c>
      <c r="E490" s="8" t="s">
        <v>12</v>
      </c>
      <c r="F490" s="9">
        <v>2235</v>
      </c>
      <c r="G490" s="9"/>
      <c r="H490" s="9" t="s">
        <v>1883</v>
      </c>
      <c r="I490" s="9" t="s">
        <v>1884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>
      <c r="A491" s="7" t="s">
        <v>522</v>
      </c>
      <c r="B491" s="8">
        <v>932148693706</v>
      </c>
      <c r="C491" s="8" t="s">
        <v>474</v>
      </c>
      <c r="D491" s="7" t="s">
        <v>516</v>
      </c>
      <c r="E491" s="8" t="s">
        <v>14</v>
      </c>
      <c r="F491" s="9">
        <v>2233</v>
      </c>
      <c r="G491" s="9" t="s">
        <v>1885</v>
      </c>
      <c r="H491" s="9" t="s">
        <v>1886</v>
      </c>
      <c r="I491" s="9" t="s">
        <v>1887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>
      <c r="A492" s="7" t="s">
        <v>523</v>
      </c>
      <c r="B492" s="8">
        <v>906184953437</v>
      </c>
      <c r="C492" s="8" t="s">
        <v>474</v>
      </c>
      <c r="D492" s="7" t="s">
        <v>524</v>
      </c>
      <c r="E492" s="8" t="s">
        <v>14</v>
      </c>
      <c r="F492" s="10" t="s">
        <v>1888</v>
      </c>
      <c r="G492" s="9"/>
      <c r="H492" s="9" t="s">
        <v>1889</v>
      </c>
      <c r="I492" s="9">
        <v>201129525491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>
      <c r="A493" s="7" t="s">
        <v>525</v>
      </c>
      <c r="B493" s="8">
        <v>624104658072</v>
      </c>
      <c r="C493" s="8" t="s">
        <v>474</v>
      </c>
      <c r="D493" s="7" t="s">
        <v>524</v>
      </c>
      <c r="E493" s="8" t="s">
        <v>12</v>
      </c>
      <c r="F493" s="10" t="s">
        <v>1890</v>
      </c>
      <c r="G493" s="9"/>
      <c r="H493" s="9" t="s">
        <v>1891</v>
      </c>
      <c r="I493" s="9">
        <v>201018842229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>
      <c r="A494" s="7" t="s">
        <v>526</v>
      </c>
      <c r="B494" s="8">
        <v>480103238452</v>
      </c>
      <c r="C494" s="8" t="s">
        <v>474</v>
      </c>
      <c r="D494" s="7" t="s">
        <v>524</v>
      </c>
      <c r="E494" s="8" t="s">
        <v>14</v>
      </c>
      <c r="F494" s="10" t="s">
        <v>1892</v>
      </c>
      <c r="G494" s="9"/>
      <c r="H494" s="9" t="s">
        <v>1893</v>
      </c>
      <c r="I494" s="9">
        <v>201007787118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>
      <c r="A495" s="7" t="s">
        <v>527</v>
      </c>
      <c r="B495" s="8">
        <v>524151240185</v>
      </c>
      <c r="C495" s="8" t="s">
        <v>474</v>
      </c>
      <c r="D495" s="7" t="s">
        <v>524</v>
      </c>
      <c r="E495" s="8" t="s">
        <v>14</v>
      </c>
      <c r="F495" s="10" t="s">
        <v>1894</v>
      </c>
      <c r="G495" s="9"/>
      <c r="H495" s="9" t="s">
        <v>1895</v>
      </c>
      <c r="I495" s="9" t="s">
        <v>1896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>
      <c r="A496" s="7" t="s">
        <v>528</v>
      </c>
      <c r="B496" s="8">
        <v>630193927137</v>
      </c>
      <c r="C496" s="8" t="s">
        <v>474</v>
      </c>
      <c r="D496" s="8" t="s">
        <v>47</v>
      </c>
      <c r="E496" s="8" t="s">
        <v>14</v>
      </c>
      <c r="F496" s="9">
        <v>1929</v>
      </c>
      <c r="G496" s="9" t="s">
        <v>1248</v>
      </c>
      <c r="H496" s="9" t="s">
        <v>1897</v>
      </c>
      <c r="I496" s="9" t="s">
        <v>1898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>
      <c r="A497" s="7" t="s">
        <v>529</v>
      </c>
      <c r="B497" s="8">
        <v>509154312983</v>
      </c>
      <c r="C497" s="8" t="s">
        <v>474</v>
      </c>
      <c r="D497" s="7" t="s">
        <v>524</v>
      </c>
      <c r="E497" s="8" t="s">
        <v>12</v>
      </c>
      <c r="F497" s="10" t="s">
        <v>1899</v>
      </c>
      <c r="G497" s="9"/>
      <c r="H497" s="9" t="s">
        <v>1900</v>
      </c>
      <c r="I497" s="9" t="s">
        <v>1901</v>
      </c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>
      <c r="A498" s="7" t="s">
        <v>530</v>
      </c>
      <c r="B498" s="8">
        <v>506172862613</v>
      </c>
      <c r="C498" s="8" t="s">
        <v>474</v>
      </c>
      <c r="D498" s="7" t="s">
        <v>524</v>
      </c>
      <c r="E498" s="8" t="s">
        <v>14</v>
      </c>
      <c r="F498" s="10" t="s">
        <v>1902</v>
      </c>
      <c r="G498" s="9" t="s">
        <v>1786</v>
      </c>
      <c r="H498" s="9" t="s">
        <v>1903</v>
      </c>
      <c r="I498" s="9" t="s">
        <v>1904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>
      <c r="A499" s="7" t="s">
        <v>531</v>
      </c>
      <c r="B499" s="8">
        <v>789173210154</v>
      </c>
      <c r="C499" s="8" t="s">
        <v>474</v>
      </c>
      <c r="D499" s="7" t="s">
        <v>524</v>
      </c>
      <c r="E499" s="8" t="s">
        <v>12</v>
      </c>
      <c r="F499" s="10" t="s">
        <v>1905</v>
      </c>
      <c r="G499" s="9" t="s">
        <v>1786</v>
      </c>
      <c r="H499" s="9" t="s">
        <v>1906</v>
      </c>
      <c r="I499" s="9" t="s">
        <v>1907</v>
      </c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>
      <c r="A500" s="7" t="s">
        <v>532</v>
      </c>
      <c r="B500" s="8">
        <v>312183290317</v>
      </c>
      <c r="C500" s="8" t="s">
        <v>474</v>
      </c>
      <c r="D500" s="7" t="s">
        <v>524</v>
      </c>
      <c r="E500" s="8" t="s">
        <v>14</v>
      </c>
      <c r="F500" s="10" t="s">
        <v>1908</v>
      </c>
      <c r="G500" s="9"/>
      <c r="H500" s="9" t="s">
        <v>1909</v>
      </c>
      <c r="I500" s="9" t="s">
        <v>1910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>
      <c r="A501" s="7" t="s">
        <v>533</v>
      </c>
      <c r="B501" s="8">
        <v>379176206354</v>
      </c>
      <c r="C501" s="8" t="s">
        <v>474</v>
      </c>
      <c r="D501" s="7" t="s">
        <v>534</v>
      </c>
      <c r="E501" s="8" t="s">
        <v>12</v>
      </c>
      <c r="F501" s="10" t="s">
        <v>1911</v>
      </c>
      <c r="G501" s="9"/>
      <c r="H501" s="9" t="s">
        <v>1912</v>
      </c>
      <c r="I501" s="9">
        <v>201001599199</v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>
      <c r="A502" s="7" t="s">
        <v>535</v>
      </c>
      <c r="B502" s="8">
        <v>415194597216</v>
      </c>
      <c r="C502" s="8" t="s">
        <v>474</v>
      </c>
      <c r="D502" s="7" t="s">
        <v>534</v>
      </c>
      <c r="E502" s="8" t="s">
        <v>14</v>
      </c>
      <c r="F502" s="10" t="s">
        <v>1913</v>
      </c>
      <c r="G502" s="9"/>
      <c r="H502" s="9" t="s">
        <v>1914</v>
      </c>
      <c r="I502" s="9" t="s">
        <v>1915</v>
      </c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>
      <c r="A503" s="7" t="s">
        <v>536</v>
      </c>
      <c r="B503" s="8">
        <v>595148942145</v>
      </c>
      <c r="C503" s="8" t="s">
        <v>474</v>
      </c>
      <c r="D503" s="7" t="s">
        <v>534</v>
      </c>
      <c r="E503" s="8" t="s">
        <v>12</v>
      </c>
      <c r="F503" s="10" t="s">
        <v>1916</v>
      </c>
      <c r="G503" s="9"/>
      <c r="H503" s="9" t="s">
        <v>1917</v>
      </c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>
      <c r="A504" s="7" t="s">
        <v>537</v>
      </c>
      <c r="B504" s="8">
        <v>357195672504</v>
      </c>
      <c r="C504" s="8" t="s">
        <v>474</v>
      </c>
      <c r="D504" s="7" t="s">
        <v>534</v>
      </c>
      <c r="E504" s="8" t="s">
        <v>12</v>
      </c>
      <c r="F504" s="10" t="s">
        <v>1918</v>
      </c>
      <c r="G504" s="9"/>
      <c r="H504" s="9" t="s">
        <v>1919</v>
      </c>
      <c r="I504" s="9" t="s">
        <v>1920</v>
      </c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>
      <c r="A505" s="7" t="s">
        <v>538</v>
      </c>
      <c r="B505" s="8">
        <v>176131232361</v>
      </c>
      <c r="C505" s="8" t="s">
        <v>474</v>
      </c>
      <c r="D505" s="7" t="s">
        <v>534</v>
      </c>
      <c r="E505" s="8" t="s">
        <v>12</v>
      </c>
      <c r="F505" s="10" t="s">
        <v>1921</v>
      </c>
      <c r="G505" s="9"/>
      <c r="H505" s="9" t="s">
        <v>1922</v>
      </c>
      <c r="I505" s="9" t="s">
        <v>1923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>
      <c r="A506" s="7" t="s">
        <v>539</v>
      </c>
      <c r="B506" s="8">
        <v>695159151032</v>
      </c>
      <c r="C506" s="8" t="s">
        <v>474</v>
      </c>
      <c r="D506" s="7" t="s">
        <v>534</v>
      </c>
      <c r="E506" s="8" t="s">
        <v>14</v>
      </c>
      <c r="F506" s="10" t="s">
        <v>1924</v>
      </c>
      <c r="G506" s="9"/>
      <c r="H506" s="9" t="s">
        <v>1925</v>
      </c>
      <c r="I506" s="9" t="s">
        <v>1926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>
      <c r="A507" s="7" t="s">
        <v>540</v>
      </c>
      <c r="B507" s="8">
        <v>148160160523</v>
      </c>
      <c r="C507" s="8" t="s">
        <v>474</v>
      </c>
      <c r="D507" s="7" t="s">
        <v>534</v>
      </c>
      <c r="E507" s="8" t="s">
        <v>12</v>
      </c>
      <c r="F507" s="9" t="s">
        <v>1927</v>
      </c>
      <c r="G507" s="9"/>
      <c r="H507" s="9" t="s">
        <v>1928</v>
      </c>
      <c r="I507" s="9">
        <v>1144697090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>
      <c r="A508" s="7" t="s">
        <v>541</v>
      </c>
      <c r="B508" s="8">
        <v>487134793715</v>
      </c>
      <c r="C508" s="8" t="s">
        <v>474</v>
      </c>
      <c r="D508" s="7" t="s">
        <v>534</v>
      </c>
      <c r="E508" s="8" t="s">
        <v>12</v>
      </c>
      <c r="F508" s="10" t="s">
        <v>1929</v>
      </c>
      <c r="G508" s="9"/>
      <c r="H508" s="9" t="s">
        <v>1930</v>
      </c>
      <c r="I508" s="9" t="s">
        <v>1931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>
      <c r="A509" s="7" t="s">
        <v>542</v>
      </c>
      <c r="B509" s="8">
        <v>138131034206</v>
      </c>
      <c r="C509" s="8" t="s">
        <v>474</v>
      </c>
      <c r="D509" s="7" t="s">
        <v>534</v>
      </c>
      <c r="E509" s="8" t="s">
        <v>14</v>
      </c>
      <c r="F509" s="10">
        <v>2231</v>
      </c>
      <c r="G509" s="9" t="s">
        <v>1786</v>
      </c>
      <c r="H509" s="9" t="s">
        <v>1932</v>
      </c>
      <c r="I509" s="9" t="s">
        <v>1933</v>
      </c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>
      <c r="A510" s="7" t="s">
        <v>543</v>
      </c>
      <c r="B510" s="8">
        <v>179169073012</v>
      </c>
      <c r="C510" s="8" t="s">
        <v>474</v>
      </c>
      <c r="D510" s="7" t="s">
        <v>63</v>
      </c>
      <c r="E510" s="8" t="s">
        <v>14</v>
      </c>
      <c r="F510" s="10" t="s">
        <v>1934</v>
      </c>
      <c r="G510" s="9"/>
      <c r="H510" s="9" t="s">
        <v>1935</v>
      </c>
      <c r="I510" s="9">
        <v>201156629949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>
      <c r="A511" s="7" t="s">
        <v>544</v>
      </c>
      <c r="B511" s="8">
        <v>940182090410</v>
      </c>
      <c r="C511" s="8" t="s">
        <v>474</v>
      </c>
      <c r="D511" s="7" t="s">
        <v>63</v>
      </c>
      <c r="E511" s="8" t="s">
        <v>12</v>
      </c>
      <c r="F511" s="10" t="s">
        <v>1936</v>
      </c>
      <c r="G511" s="9"/>
      <c r="H511" s="9" t="s">
        <v>1937</v>
      </c>
      <c r="I511" s="9">
        <v>201025475475</v>
      </c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>
      <c r="A512" s="7" t="s">
        <v>545</v>
      </c>
      <c r="B512" s="8">
        <v>308137598241</v>
      </c>
      <c r="C512" s="8" t="s">
        <v>474</v>
      </c>
      <c r="D512" s="7" t="s">
        <v>63</v>
      </c>
      <c r="E512" s="8" t="s">
        <v>14</v>
      </c>
      <c r="F512" s="10" t="s">
        <v>1938</v>
      </c>
      <c r="G512" s="9"/>
      <c r="H512" s="9" t="s">
        <v>1939</v>
      </c>
      <c r="I512" s="9">
        <v>201098614126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>
      <c r="A513" s="7" t="s">
        <v>546</v>
      </c>
      <c r="B513" s="8">
        <v>580165926053</v>
      </c>
      <c r="C513" s="8" t="s">
        <v>474</v>
      </c>
      <c r="D513" s="7" t="s">
        <v>63</v>
      </c>
      <c r="E513" s="8" t="s">
        <v>14</v>
      </c>
      <c r="F513" s="10" t="s">
        <v>1940</v>
      </c>
      <c r="G513" s="9"/>
      <c r="H513" s="9" t="s">
        <v>1941</v>
      </c>
      <c r="I513" s="9" t="s">
        <v>1942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>
      <c r="A514" s="7" t="s">
        <v>547</v>
      </c>
      <c r="B514" s="8">
        <v>503190357270</v>
      </c>
      <c r="C514" s="8" t="s">
        <v>474</v>
      </c>
      <c r="D514" s="7" t="s">
        <v>63</v>
      </c>
      <c r="E514" s="8" t="s">
        <v>12</v>
      </c>
      <c r="F514" s="10" t="s">
        <v>1943</v>
      </c>
      <c r="G514" s="9"/>
      <c r="H514" s="9" t="s">
        <v>1944</v>
      </c>
      <c r="I514" s="9" t="s">
        <v>1945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>
      <c r="A515" s="7" t="s">
        <v>548</v>
      </c>
      <c r="B515" s="8">
        <v>138121769423</v>
      </c>
      <c r="C515" s="8" t="s">
        <v>474</v>
      </c>
      <c r="D515" s="7" t="s">
        <v>63</v>
      </c>
      <c r="E515" s="8" t="s">
        <v>14</v>
      </c>
      <c r="F515" s="10" t="s">
        <v>1946</v>
      </c>
      <c r="G515" s="9"/>
      <c r="H515" s="9" t="s">
        <v>1947</v>
      </c>
      <c r="I515" s="9">
        <v>1020307471</v>
      </c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>
      <c r="A516" s="7" t="s">
        <v>549</v>
      </c>
      <c r="B516" s="8">
        <v>187120348783</v>
      </c>
      <c r="C516" s="8" t="s">
        <v>474</v>
      </c>
      <c r="D516" s="7" t="s">
        <v>63</v>
      </c>
      <c r="E516" s="8" t="s">
        <v>14</v>
      </c>
      <c r="F516" s="10" t="s">
        <v>1948</v>
      </c>
      <c r="G516" s="9"/>
      <c r="H516" s="9" t="s">
        <v>1949</v>
      </c>
      <c r="I516" s="9" t="s">
        <v>1950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>
      <c r="A517" s="7" t="s">
        <v>550</v>
      </c>
      <c r="B517" s="8">
        <v>512161969162</v>
      </c>
      <c r="C517" s="8" t="s">
        <v>474</v>
      </c>
      <c r="D517" s="7" t="s">
        <v>63</v>
      </c>
      <c r="E517" s="8" t="s">
        <v>14</v>
      </c>
      <c r="F517" s="9">
        <v>2053</v>
      </c>
      <c r="G517" s="9"/>
      <c r="H517" s="9" t="s">
        <v>1951</v>
      </c>
      <c r="I517" s="9" t="s">
        <v>1952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>
      <c r="A518" s="7" t="s">
        <v>551</v>
      </c>
      <c r="B518" s="8">
        <v>726184376073</v>
      </c>
      <c r="C518" s="8" t="s">
        <v>474</v>
      </c>
      <c r="D518" s="7" t="s">
        <v>63</v>
      </c>
      <c r="E518" s="8" t="s">
        <v>14</v>
      </c>
      <c r="F518" s="9">
        <v>2522</v>
      </c>
      <c r="G518" s="9" t="s">
        <v>1654</v>
      </c>
      <c r="H518" s="9" t="s">
        <v>1953</v>
      </c>
      <c r="I518" s="9" t="s">
        <v>1954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>
      <c r="A519" s="7" t="s">
        <v>552</v>
      </c>
      <c r="B519" s="8">
        <v>170181505929</v>
      </c>
      <c r="C519" s="8" t="s">
        <v>474</v>
      </c>
      <c r="D519" s="7" t="s">
        <v>553</v>
      </c>
      <c r="E519" s="8" t="s">
        <v>12</v>
      </c>
      <c r="F519" s="10" t="s">
        <v>1955</v>
      </c>
      <c r="G519" s="9"/>
      <c r="H519" s="9" t="s">
        <v>1956</v>
      </c>
      <c r="I519" s="9" t="s">
        <v>1957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>
      <c r="A520" s="7" t="s">
        <v>554</v>
      </c>
      <c r="B520" s="8">
        <v>680190738426</v>
      </c>
      <c r="C520" s="8" t="s">
        <v>474</v>
      </c>
      <c r="D520" s="7" t="s">
        <v>553</v>
      </c>
      <c r="E520" s="8" t="s">
        <v>14</v>
      </c>
      <c r="F520" s="10" t="s">
        <v>1958</v>
      </c>
      <c r="G520" s="9"/>
      <c r="H520" s="9" t="s">
        <v>1959</v>
      </c>
      <c r="I520" s="9" t="s">
        <v>1960</v>
      </c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>
      <c r="A521" s="7" t="s">
        <v>555</v>
      </c>
      <c r="B521" s="8">
        <v>352179823813</v>
      </c>
      <c r="C521" s="8" t="s">
        <v>474</v>
      </c>
      <c r="D521" s="7" t="s">
        <v>553</v>
      </c>
      <c r="E521" s="8" t="s">
        <v>14</v>
      </c>
      <c r="F521" s="10" t="s">
        <v>1961</v>
      </c>
      <c r="G521" s="9"/>
      <c r="H521" s="9" t="s">
        <v>1962</v>
      </c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>
      <c r="A522" s="7" t="s">
        <v>556</v>
      </c>
      <c r="B522" s="8">
        <v>983164352707</v>
      </c>
      <c r="C522" s="8" t="s">
        <v>474</v>
      </c>
      <c r="D522" s="7" t="s">
        <v>553</v>
      </c>
      <c r="E522" s="8" t="s">
        <v>12</v>
      </c>
      <c r="F522" s="10" t="s">
        <v>1963</v>
      </c>
      <c r="G522" s="9"/>
      <c r="H522" s="9" t="s">
        <v>1964</v>
      </c>
      <c r="I522" s="9" t="s">
        <v>1965</v>
      </c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>
      <c r="A523" s="7" t="s">
        <v>557</v>
      </c>
      <c r="B523" s="8">
        <v>694184180652</v>
      </c>
      <c r="C523" s="8" t="s">
        <v>474</v>
      </c>
      <c r="D523" s="7" t="s">
        <v>553</v>
      </c>
      <c r="E523" s="8" t="s">
        <v>12</v>
      </c>
      <c r="F523" s="10" t="s">
        <v>1966</v>
      </c>
      <c r="G523" s="9"/>
      <c r="H523" s="9" t="s">
        <v>1967</v>
      </c>
      <c r="I523" s="9" t="s">
        <v>1968</v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>
      <c r="A524" s="7" t="s">
        <v>558</v>
      </c>
      <c r="B524" s="8">
        <v>179134063021</v>
      </c>
      <c r="C524" s="8" t="s">
        <v>474</v>
      </c>
      <c r="D524" s="7" t="s">
        <v>553</v>
      </c>
      <c r="E524" s="8" t="s">
        <v>14</v>
      </c>
      <c r="F524" s="10" t="s">
        <v>1969</v>
      </c>
      <c r="G524" s="9"/>
      <c r="H524" s="9" t="s">
        <v>1970</v>
      </c>
      <c r="I524" s="9" t="s">
        <v>1971</v>
      </c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>
      <c r="A525" s="7" t="s">
        <v>559</v>
      </c>
      <c r="B525" s="8">
        <v>435127547073</v>
      </c>
      <c r="C525" s="8" t="s">
        <v>474</v>
      </c>
      <c r="D525" s="7" t="s">
        <v>553</v>
      </c>
      <c r="E525" s="8" t="s">
        <v>14</v>
      </c>
      <c r="F525" s="10" t="s">
        <v>1972</v>
      </c>
      <c r="G525" s="9"/>
      <c r="H525" s="9" t="s">
        <v>1973</v>
      </c>
      <c r="I525" s="9" t="s">
        <v>1974</v>
      </c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>
      <c r="A526" s="7" t="s">
        <v>560</v>
      </c>
      <c r="B526" s="8">
        <v>874140534821</v>
      </c>
      <c r="C526" s="8" t="s">
        <v>474</v>
      </c>
      <c r="D526" s="7" t="s">
        <v>553</v>
      </c>
      <c r="E526" s="8" t="s">
        <v>14</v>
      </c>
      <c r="F526" s="10" t="s">
        <v>1975</v>
      </c>
      <c r="G526" s="9" t="s">
        <v>1786</v>
      </c>
      <c r="H526" s="9" t="s">
        <v>1976</v>
      </c>
      <c r="I526" s="9" t="s">
        <v>1977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>
      <c r="A527" s="7" t="s">
        <v>561</v>
      </c>
      <c r="B527" s="8">
        <v>374175473593</v>
      </c>
      <c r="C527" s="8" t="s">
        <v>474</v>
      </c>
      <c r="D527" s="7" t="s">
        <v>553</v>
      </c>
      <c r="E527" s="8" t="s">
        <v>14</v>
      </c>
      <c r="F527" s="10" t="s">
        <v>1978</v>
      </c>
      <c r="G527" s="9" t="s">
        <v>1786</v>
      </c>
      <c r="H527" s="9" t="s">
        <v>1979</v>
      </c>
      <c r="I527" s="9" t="s">
        <v>1980</v>
      </c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>
      <c r="A528" s="7" t="s">
        <v>562</v>
      </c>
      <c r="B528" s="8">
        <v>560135012165</v>
      </c>
      <c r="C528" s="8" t="s">
        <v>474</v>
      </c>
      <c r="D528" s="7" t="s">
        <v>563</v>
      </c>
      <c r="E528" s="8" t="s">
        <v>14</v>
      </c>
      <c r="F528" s="10" t="s">
        <v>1981</v>
      </c>
      <c r="G528" s="9" t="s">
        <v>1786</v>
      </c>
      <c r="H528" s="9" t="s">
        <v>1982</v>
      </c>
      <c r="I528" s="9">
        <v>201069555347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>
      <c r="A529" s="7" t="s">
        <v>564</v>
      </c>
      <c r="B529" s="8">
        <v>513102701368</v>
      </c>
      <c r="C529" s="8" t="s">
        <v>474</v>
      </c>
      <c r="D529" s="7" t="s">
        <v>563</v>
      </c>
      <c r="E529" s="8" t="s">
        <v>14</v>
      </c>
      <c r="F529" s="10" t="s">
        <v>1983</v>
      </c>
      <c r="G529" s="9" t="s">
        <v>1815</v>
      </c>
      <c r="H529" s="9" t="s">
        <v>1984</v>
      </c>
      <c r="I529" s="9" t="s">
        <v>1985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>
      <c r="A530" s="7" t="s">
        <v>565</v>
      </c>
      <c r="B530" s="8">
        <v>970121862482</v>
      </c>
      <c r="C530" s="8" t="s">
        <v>474</v>
      </c>
      <c r="D530" s="7" t="s">
        <v>563</v>
      </c>
      <c r="E530" s="8" t="s">
        <v>12</v>
      </c>
      <c r="F530" s="9">
        <v>1908</v>
      </c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>
      <c r="A531" s="7" t="s">
        <v>566</v>
      </c>
      <c r="B531" s="8">
        <v>389173598098</v>
      </c>
      <c r="C531" s="8" t="s">
        <v>474</v>
      </c>
      <c r="D531" s="7" t="s">
        <v>563</v>
      </c>
      <c r="E531" s="8" t="s">
        <v>14</v>
      </c>
      <c r="F531" s="10" t="s">
        <v>1986</v>
      </c>
      <c r="G531" s="9" t="s">
        <v>1786</v>
      </c>
      <c r="H531" s="9" t="s">
        <v>1987</v>
      </c>
      <c r="I531" s="9" t="s">
        <v>1988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>
      <c r="A532" s="7" t="s">
        <v>567</v>
      </c>
      <c r="B532" s="8">
        <v>527193759458</v>
      </c>
      <c r="C532" s="8" t="s">
        <v>474</v>
      </c>
      <c r="D532" s="7" t="s">
        <v>563</v>
      </c>
      <c r="E532" s="8" t="s">
        <v>14</v>
      </c>
      <c r="F532" s="10" t="s">
        <v>1989</v>
      </c>
      <c r="G532" s="9" t="s">
        <v>1815</v>
      </c>
      <c r="H532" s="9" t="s">
        <v>1990</v>
      </c>
      <c r="I532" s="9" t="s">
        <v>1991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>
      <c r="A533" s="7" t="s">
        <v>568</v>
      </c>
      <c r="B533" s="8">
        <v>750108154243</v>
      </c>
      <c r="C533" s="8" t="s">
        <v>474</v>
      </c>
      <c r="D533" s="7" t="s">
        <v>563</v>
      </c>
      <c r="E533" s="8" t="s">
        <v>12</v>
      </c>
      <c r="F533" s="9">
        <v>2335</v>
      </c>
      <c r="G533" s="9" t="s">
        <v>1786</v>
      </c>
      <c r="H533" s="9" t="s">
        <v>1992</v>
      </c>
      <c r="I533" s="9" t="s">
        <v>1993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>
      <c r="A534" s="7" t="s">
        <v>569</v>
      </c>
      <c r="B534" s="8">
        <v>830132652879</v>
      </c>
      <c r="C534" s="8" t="s">
        <v>474</v>
      </c>
      <c r="D534" s="7" t="s">
        <v>563</v>
      </c>
      <c r="E534" s="8" t="s">
        <v>14</v>
      </c>
      <c r="F534" s="9">
        <v>2368</v>
      </c>
      <c r="G534" s="9" t="s">
        <v>1786</v>
      </c>
      <c r="H534" s="9" t="s">
        <v>1994</v>
      </c>
      <c r="I534" s="9" t="s">
        <v>1995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>
      <c r="A535" s="7" t="s">
        <v>570</v>
      </c>
      <c r="B535" s="8">
        <v>242109375309</v>
      </c>
      <c r="C535" s="8" t="s">
        <v>474</v>
      </c>
      <c r="D535" s="7" t="s">
        <v>571</v>
      </c>
      <c r="E535" s="8" t="s">
        <v>14</v>
      </c>
      <c r="F535" s="10" t="s">
        <v>1996</v>
      </c>
      <c r="G535" s="9" t="s">
        <v>1786</v>
      </c>
      <c r="H535" s="9" t="s">
        <v>1997</v>
      </c>
      <c r="I535" s="9">
        <v>1220508424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>
      <c r="A536" s="7" t="s">
        <v>572</v>
      </c>
      <c r="B536" s="8">
        <v>510198282648</v>
      </c>
      <c r="C536" s="8" t="s">
        <v>474</v>
      </c>
      <c r="D536" s="7" t="s">
        <v>571</v>
      </c>
      <c r="E536" s="8" t="s">
        <v>14</v>
      </c>
      <c r="F536" s="10" t="s">
        <v>1998</v>
      </c>
      <c r="G536" s="9" t="s">
        <v>1786</v>
      </c>
      <c r="H536" s="9" t="s">
        <v>1999</v>
      </c>
      <c r="I536" s="9" t="s">
        <v>2000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>
      <c r="A537" s="7" t="s">
        <v>573</v>
      </c>
      <c r="B537" s="8">
        <v>819130827826</v>
      </c>
      <c r="C537" s="8" t="s">
        <v>474</v>
      </c>
      <c r="D537" s="7" t="s">
        <v>571</v>
      </c>
      <c r="E537" s="8" t="s">
        <v>14</v>
      </c>
      <c r="F537" s="10" t="s">
        <v>2001</v>
      </c>
      <c r="G537" s="9" t="s">
        <v>1786</v>
      </c>
      <c r="H537" s="9" t="s">
        <v>2002</v>
      </c>
      <c r="I537" s="9" t="s">
        <v>2003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>
      <c r="A538" s="7" t="s">
        <v>574</v>
      </c>
      <c r="B538" s="8">
        <v>196184054323</v>
      </c>
      <c r="C538" s="8" t="s">
        <v>474</v>
      </c>
      <c r="D538" s="7" t="s">
        <v>69</v>
      </c>
      <c r="E538" s="8" t="s">
        <v>14</v>
      </c>
      <c r="F538" s="10" t="s">
        <v>2004</v>
      </c>
      <c r="G538" s="9" t="s">
        <v>1654</v>
      </c>
      <c r="H538" s="9" t="s">
        <v>2005</v>
      </c>
      <c r="I538" s="9" t="s">
        <v>2006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>
      <c r="A539" s="7" t="s">
        <v>575</v>
      </c>
      <c r="B539" s="8">
        <v>128156935718</v>
      </c>
      <c r="C539" s="8" t="s">
        <v>474</v>
      </c>
      <c r="D539" s="7" t="s">
        <v>69</v>
      </c>
      <c r="E539" s="8" t="s">
        <v>14</v>
      </c>
      <c r="F539" s="10" t="s">
        <v>2007</v>
      </c>
      <c r="G539" s="9" t="s">
        <v>1654</v>
      </c>
      <c r="H539" s="9" t="s">
        <v>2008</v>
      </c>
      <c r="I539" s="9" t="s">
        <v>2009</v>
      </c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>
      <c r="A540" s="7" t="s">
        <v>576</v>
      </c>
      <c r="B540" s="8">
        <v>897176765424</v>
      </c>
      <c r="C540" s="8" t="s">
        <v>474</v>
      </c>
      <c r="D540" s="7" t="s">
        <v>69</v>
      </c>
      <c r="E540" s="8" t="s">
        <v>14</v>
      </c>
      <c r="F540" s="10" t="s">
        <v>2010</v>
      </c>
      <c r="G540" s="9" t="s">
        <v>1730</v>
      </c>
      <c r="H540" s="9" t="s">
        <v>2011</v>
      </c>
      <c r="I540" s="9" t="s">
        <v>2012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>
      <c r="A541" s="7" t="s">
        <v>577</v>
      </c>
      <c r="B541" s="8">
        <v>695171650641</v>
      </c>
      <c r="C541" s="8" t="s">
        <v>474</v>
      </c>
      <c r="D541" s="7" t="s">
        <v>69</v>
      </c>
      <c r="E541" s="8" t="s">
        <v>14</v>
      </c>
      <c r="F541" s="10" t="s">
        <v>2013</v>
      </c>
      <c r="G541" s="9" t="s">
        <v>1654</v>
      </c>
      <c r="H541" s="9" t="s">
        <v>2014</v>
      </c>
      <c r="I541" s="9" t="s">
        <v>2015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>
      <c r="A542" s="7" t="s">
        <v>578</v>
      </c>
      <c r="B542" s="8">
        <v>530179690959</v>
      </c>
      <c r="C542" s="8" t="s">
        <v>474</v>
      </c>
      <c r="D542" s="7" t="s">
        <v>69</v>
      </c>
      <c r="E542" s="8" t="s">
        <v>12</v>
      </c>
      <c r="F542" s="9">
        <v>2168</v>
      </c>
      <c r="G542" s="9" t="s">
        <v>2016</v>
      </c>
      <c r="H542" s="9" t="s">
        <v>2017</v>
      </c>
      <c r="I542" s="9" t="s">
        <v>2018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>
      <c r="A543" s="7" t="s">
        <v>579</v>
      </c>
      <c r="B543" s="8">
        <v>943123080878</v>
      </c>
      <c r="C543" s="8" t="s">
        <v>474</v>
      </c>
      <c r="D543" s="7" t="s">
        <v>69</v>
      </c>
      <c r="E543" s="8" t="s">
        <v>14</v>
      </c>
      <c r="F543" s="9">
        <v>2408</v>
      </c>
      <c r="G543" s="9" t="s">
        <v>1654</v>
      </c>
      <c r="H543" s="9" t="s">
        <v>2019</v>
      </c>
      <c r="I543" s="9" t="s">
        <v>2020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>
      <c r="A544" s="7" t="s">
        <v>580</v>
      </c>
      <c r="B544" s="8">
        <v>342131504062</v>
      </c>
      <c r="C544" s="8" t="s">
        <v>474</v>
      </c>
      <c r="D544" s="7" t="s">
        <v>69</v>
      </c>
      <c r="E544" s="8" t="s">
        <v>12</v>
      </c>
      <c r="F544" s="9">
        <v>2414</v>
      </c>
      <c r="G544" s="9" t="s">
        <v>2016</v>
      </c>
      <c r="H544" s="9" t="s">
        <v>2021</v>
      </c>
      <c r="I544" s="9" t="s">
        <v>2022</v>
      </c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>
      <c r="A545" s="7" t="s">
        <v>581</v>
      </c>
      <c r="B545" s="8">
        <v>404145973415</v>
      </c>
      <c r="C545" s="8" t="s">
        <v>474</v>
      </c>
      <c r="D545" s="7" t="s">
        <v>69</v>
      </c>
      <c r="E545" s="8" t="s">
        <v>14</v>
      </c>
      <c r="F545" s="9">
        <v>2419</v>
      </c>
      <c r="G545" s="9" t="s">
        <v>1654</v>
      </c>
      <c r="H545" s="9" t="s">
        <v>2023</v>
      </c>
      <c r="I545" s="9" t="s">
        <v>2024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>
      <c r="A546" s="7" t="s">
        <v>582</v>
      </c>
      <c r="B546" s="8">
        <v>495158084197</v>
      </c>
      <c r="C546" s="8" t="s">
        <v>474</v>
      </c>
      <c r="D546" s="7" t="s">
        <v>69</v>
      </c>
      <c r="E546" s="8" t="s">
        <v>14</v>
      </c>
      <c r="F546" s="9">
        <v>2552</v>
      </c>
      <c r="G546" s="9" t="s">
        <v>1763</v>
      </c>
      <c r="H546" s="9" t="s">
        <v>2025</v>
      </c>
      <c r="I546" s="9" t="s">
        <v>2026</v>
      </c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>
      <c r="A547" s="7" t="s">
        <v>583</v>
      </c>
      <c r="B547" s="8">
        <v>204176435205</v>
      </c>
      <c r="C547" s="8" t="s">
        <v>474</v>
      </c>
      <c r="D547" s="7" t="s">
        <v>69</v>
      </c>
      <c r="E547" s="8" t="s">
        <v>12</v>
      </c>
      <c r="F547" s="9">
        <v>2651</v>
      </c>
      <c r="G547" s="9" t="s">
        <v>2016</v>
      </c>
      <c r="H547" s="9" t="s">
        <v>2027</v>
      </c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>
      <c r="A548" s="7" t="s">
        <v>584</v>
      </c>
      <c r="B548" s="8">
        <v>240145743263</v>
      </c>
      <c r="C548" s="8" t="s">
        <v>474</v>
      </c>
      <c r="D548" s="7" t="s">
        <v>69</v>
      </c>
      <c r="E548" s="8" t="s">
        <v>12</v>
      </c>
      <c r="F548" s="9">
        <v>2417</v>
      </c>
      <c r="G548" s="9" t="s">
        <v>2016</v>
      </c>
      <c r="H548" s="9" t="s">
        <v>2028</v>
      </c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>
      <c r="A549" s="7" t="s">
        <v>585</v>
      </c>
      <c r="B549" s="8">
        <v>730108091781</v>
      </c>
      <c r="C549" s="8" t="s">
        <v>474</v>
      </c>
      <c r="D549" s="7" t="s">
        <v>586</v>
      </c>
      <c r="E549" s="8" t="s">
        <v>14</v>
      </c>
      <c r="F549" s="10" t="s">
        <v>2029</v>
      </c>
      <c r="G549" s="9"/>
      <c r="H549" s="9" t="s">
        <v>2030</v>
      </c>
      <c r="I549" s="9">
        <v>1223356596</v>
      </c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>
      <c r="A550" s="7" t="s">
        <v>587</v>
      </c>
      <c r="B550" s="8">
        <v>578168047263</v>
      </c>
      <c r="C550" s="8" t="s">
        <v>474</v>
      </c>
      <c r="D550" s="7" t="s">
        <v>586</v>
      </c>
      <c r="E550" s="8" t="s">
        <v>12</v>
      </c>
      <c r="F550" s="10">
        <v>1906</v>
      </c>
      <c r="G550" s="9"/>
      <c r="H550" s="9" t="s">
        <v>2031</v>
      </c>
      <c r="I550" s="9" t="s">
        <v>2032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>
      <c r="A551" s="7" t="s">
        <v>588</v>
      </c>
      <c r="B551" s="8">
        <v>829179380761</v>
      </c>
      <c r="C551" s="8" t="s">
        <v>474</v>
      </c>
      <c r="D551" s="7" t="s">
        <v>586</v>
      </c>
      <c r="E551" s="8" t="s">
        <v>12</v>
      </c>
      <c r="F551" s="10">
        <v>1915</v>
      </c>
      <c r="G551" s="9"/>
      <c r="H551" s="9" t="s">
        <v>2033</v>
      </c>
      <c r="I551" s="9" t="s">
        <v>2034</v>
      </c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>
      <c r="A552" s="7" t="s">
        <v>589</v>
      </c>
      <c r="B552" s="8">
        <v>507191054317</v>
      </c>
      <c r="C552" s="8" t="s">
        <v>474</v>
      </c>
      <c r="D552" s="7" t="s">
        <v>586</v>
      </c>
      <c r="E552" s="8" t="s">
        <v>12</v>
      </c>
      <c r="F552" s="10" t="s">
        <v>2035</v>
      </c>
      <c r="G552" s="9"/>
      <c r="H552" s="9" t="s">
        <v>2036</v>
      </c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>
      <c r="A553" s="7" t="s">
        <v>590</v>
      </c>
      <c r="B553" s="8">
        <v>964127341684</v>
      </c>
      <c r="C553" s="8" t="s">
        <v>474</v>
      </c>
      <c r="D553" s="7" t="s">
        <v>586</v>
      </c>
      <c r="E553" s="8" t="s">
        <v>14</v>
      </c>
      <c r="F553" s="10" t="s">
        <v>2037</v>
      </c>
      <c r="G553" s="9"/>
      <c r="H553" s="9" t="s">
        <v>2038</v>
      </c>
      <c r="I553" s="9" t="s">
        <v>2039</v>
      </c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>
      <c r="A554" s="7" t="s">
        <v>591</v>
      </c>
      <c r="B554" s="8">
        <v>709139503259</v>
      </c>
      <c r="C554" s="8" t="s">
        <v>474</v>
      </c>
      <c r="D554" s="7" t="s">
        <v>563</v>
      </c>
      <c r="E554" s="8" t="s">
        <v>12</v>
      </c>
      <c r="F554" s="9">
        <v>2096</v>
      </c>
      <c r="G554" s="9" t="s">
        <v>1786</v>
      </c>
      <c r="H554" s="9" t="s">
        <v>2040</v>
      </c>
      <c r="I554" s="9" t="s">
        <v>2041</v>
      </c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>
      <c r="A555" s="7" t="s">
        <v>592</v>
      </c>
      <c r="B555" s="9" t="e">
        <v>#N/A</v>
      </c>
      <c r="C555" s="8" t="s">
        <v>474</v>
      </c>
      <c r="D555" s="7" t="s">
        <v>586</v>
      </c>
      <c r="E555" s="8" t="s">
        <v>182</v>
      </c>
      <c r="F555" s="9" t="e">
        <v>#N/A</v>
      </c>
      <c r="G555" s="9" t="e">
        <v>#N/A</v>
      </c>
      <c r="H555" s="9" t="e">
        <v>#N/A</v>
      </c>
      <c r="I555" s="9" t="e">
        <v>#N/A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>
      <c r="A556" s="7" t="s">
        <v>593</v>
      </c>
      <c r="B556" s="8">
        <v>893140536419</v>
      </c>
      <c r="C556" s="8" t="s">
        <v>474</v>
      </c>
      <c r="D556" s="7" t="s">
        <v>586</v>
      </c>
      <c r="E556" s="8" t="s">
        <v>12</v>
      </c>
      <c r="F556" s="10" t="s">
        <v>2042</v>
      </c>
      <c r="G556" s="9" t="s">
        <v>1786</v>
      </c>
      <c r="H556" s="9" t="s">
        <v>2043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>
      <c r="A557" s="7" t="s">
        <v>594</v>
      </c>
      <c r="B557" s="8">
        <v>942138286345</v>
      </c>
      <c r="C557" s="8" t="s">
        <v>474</v>
      </c>
      <c r="D557" s="7" t="s">
        <v>571</v>
      </c>
      <c r="E557" s="8" t="s">
        <v>35</v>
      </c>
      <c r="F557" s="10" t="s">
        <v>2044</v>
      </c>
      <c r="G557" s="9" t="s">
        <v>1786</v>
      </c>
      <c r="H557" s="9" t="s">
        <v>2045</v>
      </c>
      <c r="I557" s="9" t="s">
        <v>2046</v>
      </c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>
      <c r="A558" s="7" t="s">
        <v>595</v>
      </c>
      <c r="B558" s="8">
        <v>452123973904</v>
      </c>
      <c r="C558" s="8" t="s">
        <v>474</v>
      </c>
      <c r="D558" s="8" t="s">
        <v>486</v>
      </c>
      <c r="E558" s="8" t="s">
        <v>35</v>
      </c>
      <c r="F558" s="10" t="s">
        <v>2047</v>
      </c>
      <c r="G558" s="9"/>
      <c r="H558" s="9" t="s">
        <v>2048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>
      <c r="A559" s="7" t="s">
        <v>596</v>
      </c>
      <c r="B559" s="8">
        <v>424154524098</v>
      </c>
      <c r="C559" s="8" t="s">
        <v>474</v>
      </c>
      <c r="D559" s="8" t="s">
        <v>25</v>
      </c>
      <c r="E559" s="8" t="s">
        <v>35</v>
      </c>
      <c r="F559" s="10" t="s">
        <v>2049</v>
      </c>
      <c r="G559" s="9"/>
      <c r="H559" s="9" t="s">
        <v>2050</v>
      </c>
      <c r="I559" s="9" t="s">
        <v>2051</v>
      </c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>
      <c r="A560" s="7" t="s">
        <v>597</v>
      </c>
      <c r="B560" s="8">
        <v>636182508414</v>
      </c>
      <c r="C560" s="8" t="s">
        <v>301</v>
      </c>
      <c r="D560" s="7" t="s">
        <v>63</v>
      </c>
      <c r="E560" s="8" t="s">
        <v>182</v>
      </c>
      <c r="F560" s="10" t="s">
        <v>2052</v>
      </c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>
      <c r="A561" s="7" t="s">
        <v>598</v>
      </c>
      <c r="B561" s="8">
        <v>626126867906</v>
      </c>
      <c r="C561" s="8" t="s">
        <v>301</v>
      </c>
      <c r="D561" s="8" t="s">
        <v>25</v>
      </c>
      <c r="E561" s="8" t="s">
        <v>35</v>
      </c>
      <c r="F561" s="10" t="s">
        <v>2053</v>
      </c>
      <c r="G561" s="9"/>
      <c r="H561" s="9" t="s">
        <v>2054</v>
      </c>
      <c r="I561" s="9" t="s">
        <v>2055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>
      <c r="A562" s="7" t="s">
        <v>599</v>
      </c>
      <c r="B562" s="8">
        <v>675168783816</v>
      </c>
      <c r="C562" s="8" t="s">
        <v>474</v>
      </c>
      <c r="D562" s="8" t="s">
        <v>486</v>
      </c>
      <c r="E562" s="8" t="s">
        <v>35</v>
      </c>
      <c r="F562" s="10" t="s">
        <v>2056</v>
      </c>
      <c r="G562" s="9" t="s">
        <v>1786</v>
      </c>
      <c r="H562" s="9" t="s">
        <v>2057</v>
      </c>
      <c r="I562" s="9" t="s">
        <v>2058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>
      <c r="A563" s="7" t="s">
        <v>600</v>
      </c>
      <c r="B563" s="8">
        <v>198159430149</v>
      </c>
      <c r="C563" s="8" t="s">
        <v>474</v>
      </c>
      <c r="D563" s="7" t="s">
        <v>69</v>
      </c>
      <c r="E563" s="8" t="s">
        <v>35</v>
      </c>
      <c r="F563" s="10" t="s">
        <v>2059</v>
      </c>
      <c r="G563" s="9" t="s">
        <v>1654</v>
      </c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>
      <c r="A564" s="7" t="s">
        <v>601</v>
      </c>
      <c r="B564" s="8">
        <v>963158235375</v>
      </c>
      <c r="C564" s="8" t="s">
        <v>474</v>
      </c>
      <c r="D564" s="8" t="s">
        <v>602</v>
      </c>
      <c r="E564" s="8" t="s">
        <v>35</v>
      </c>
      <c r="F564" s="10" t="s">
        <v>2060</v>
      </c>
      <c r="G564" s="9"/>
      <c r="H564" s="9" t="s">
        <v>2061</v>
      </c>
      <c r="I564" s="9" t="s">
        <v>2062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>
      <c r="A565" s="7" t="s">
        <v>603</v>
      </c>
      <c r="B565" s="8">
        <v>194141237816</v>
      </c>
      <c r="C565" s="8" t="s">
        <v>474</v>
      </c>
      <c r="D565" s="8" t="s">
        <v>604</v>
      </c>
      <c r="E565" s="8" t="s">
        <v>35</v>
      </c>
      <c r="F565" s="10" t="s">
        <v>2063</v>
      </c>
      <c r="G565" s="9" t="s">
        <v>2064</v>
      </c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>
      <c r="A566" s="7" t="s">
        <v>605</v>
      </c>
      <c r="B566" s="8">
        <v>194194607634</v>
      </c>
      <c r="C566" s="8" t="s">
        <v>474</v>
      </c>
      <c r="D566" s="8" t="s">
        <v>606</v>
      </c>
      <c r="E566" s="8" t="s">
        <v>12</v>
      </c>
      <c r="F566" s="10" t="s">
        <v>2065</v>
      </c>
      <c r="G566" s="9"/>
      <c r="H566" s="9" t="s">
        <v>2066</v>
      </c>
      <c r="I566" s="9" t="s">
        <v>2067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>
      <c r="A567" s="7" t="s">
        <v>607</v>
      </c>
      <c r="B567" s="8">
        <v>973132386263</v>
      </c>
      <c r="C567" s="8" t="s">
        <v>474</v>
      </c>
      <c r="D567" s="8" t="s">
        <v>602</v>
      </c>
      <c r="E567" s="8" t="s">
        <v>12</v>
      </c>
      <c r="F567" s="10" t="s">
        <v>2068</v>
      </c>
      <c r="G567" s="9"/>
      <c r="H567" s="9" t="s">
        <v>2069</v>
      </c>
      <c r="I567" s="9" t="s">
        <v>2070</v>
      </c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>
      <c r="A568" s="7" t="s">
        <v>608</v>
      </c>
      <c r="B568" s="8">
        <v>524103078030</v>
      </c>
      <c r="C568" s="8" t="s">
        <v>474</v>
      </c>
      <c r="D568" s="8" t="s">
        <v>604</v>
      </c>
      <c r="E568" s="8" t="s">
        <v>182</v>
      </c>
      <c r="F568" s="10" t="s">
        <v>2071</v>
      </c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>
      <c r="A569" s="7" t="s">
        <v>609</v>
      </c>
      <c r="B569" s="8">
        <v>492152627064</v>
      </c>
      <c r="C569" s="8" t="s">
        <v>474</v>
      </c>
      <c r="D569" s="8" t="s">
        <v>606</v>
      </c>
      <c r="E569" s="8" t="s">
        <v>12</v>
      </c>
      <c r="F569" s="10" t="s">
        <v>2072</v>
      </c>
      <c r="G569" s="9"/>
      <c r="H569" s="9" t="s">
        <v>2073</v>
      </c>
      <c r="I569" s="9" t="s">
        <v>2074</v>
      </c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>
      <c r="A570" s="7" t="s">
        <v>610</v>
      </c>
      <c r="B570" s="8">
        <v>872163032543</v>
      </c>
      <c r="C570" s="8" t="s">
        <v>474</v>
      </c>
      <c r="D570" s="8" t="s">
        <v>611</v>
      </c>
      <c r="E570" s="8" t="s">
        <v>12</v>
      </c>
      <c r="F570" s="10" t="s">
        <v>2075</v>
      </c>
      <c r="G570" s="9"/>
      <c r="H570" s="9" t="s">
        <v>2076</v>
      </c>
      <c r="I570" s="9">
        <v>1115125755</v>
      </c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>
      <c r="A571" s="7" t="s">
        <v>612</v>
      </c>
      <c r="B571" s="8">
        <v>794135291842</v>
      </c>
      <c r="C571" s="8" t="s">
        <v>301</v>
      </c>
      <c r="D571" s="8" t="s">
        <v>611</v>
      </c>
      <c r="E571" s="8" t="s">
        <v>12</v>
      </c>
      <c r="F571" s="10" t="s">
        <v>2077</v>
      </c>
      <c r="G571" s="9"/>
      <c r="H571" s="9" t="s">
        <v>2078</v>
      </c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>
      <c r="A572" s="7" t="s">
        <v>613</v>
      </c>
      <c r="B572" s="8">
        <v>232180108363</v>
      </c>
      <c r="C572" s="8" t="s">
        <v>474</v>
      </c>
      <c r="D572" s="8" t="s">
        <v>47</v>
      </c>
      <c r="E572" s="8" t="s">
        <v>35</v>
      </c>
      <c r="F572" s="10" t="s">
        <v>2079</v>
      </c>
      <c r="G572" s="9"/>
      <c r="H572" s="9" t="s">
        <v>2080</v>
      </c>
      <c r="I572" s="9" t="s">
        <v>2081</v>
      </c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>
      <c r="A573" s="7" t="s">
        <v>614</v>
      </c>
      <c r="B573" s="8">
        <v>517143909782</v>
      </c>
      <c r="C573" s="8" t="s">
        <v>474</v>
      </c>
      <c r="D573" s="8" t="s">
        <v>475</v>
      </c>
      <c r="E573" s="8" t="s">
        <v>35</v>
      </c>
      <c r="F573" s="10" t="s">
        <v>2082</v>
      </c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>
      <c r="A574" s="7" t="s">
        <v>615</v>
      </c>
      <c r="B574" s="8">
        <v>287167641716</v>
      </c>
      <c r="C574" s="8" t="s">
        <v>474</v>
      </c>
      <c r="D574" s="7" t="s">
        <v>571</v>
      </c>
      <c r="E574" s="8" t="s">
        <v>35</v>
      </c>
      <c r="F574" s="10" t="s">
        <v>2083</v>
      </c>
      <c r="G574" s="9" t="s">
        <v>1786</v>
      </c>
      <c r="H574" s="9" t="s">
        <v>2084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>
      <c r="A575" s="7" t="s">
        <v>616</v>
      </c>
      <c r="B575" s="8">
        <v>128175285060</v>
      </c>
      <c r="C575" s="8" t="s">
        <v>474</v>
      </c>
      <c r="D575" s="8" t="s">
        <v>602</v>
      </c>
      <c r="E575" s="8" t="s">
        <v>12</v>
      </c>
      <c r="F575" s="10" t="s">
        <v>2085</v>
      </c>
      <c r="G575" s="9"/>
      <c r="H575" s="9" t="s">
        <v>2086</v>
      </c>
      <c r="I575" s="9" t="s">
        <v>2087</v>
      </c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>
      <c r="A576" s="7" t="s">
        <v>617</v>
      </c>
      <c r="B576" s="8">
        <v>292171703567</v>
      </c>
      <c r="C576" s="8" t="s">
        <v>474</v>
      </c>
      <c r="D576" s="8" t="s">
        <v>611</v>
      </c>
      <c r="E576" s="8" t="s">
        <v>182</v>
      </c>
      <c r="F576" s="10" t="s">
        <v>2088</v>
      </c>
      <c r="G576" s="9" t="s">
        <v>2089</v>
      </c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>
      <c r="A577" s="7" t="s">
        <v>618</v>
      </c>
      <c r="B577" s="8">
        <v>928120793742</v>
      </c>
      <c r="C577" s="8" t="s">
        <v>301</v>
      </c>
      <c r="D577" s="8" t="s">
        <v>25</v>
      </c>
      <c r="E577" s="8" t="s">
        <v>35</v>
      </c>
      <c r="F577" s="10" t="s">
        <v>2090</v>
      </c>
      <c r="G577" s="9"/>
      <c r="H577" s="9" t="s">
        <v>2091</v>
      </c>
      <c r="I577" s="9" t="s">
        <v>2092</v>
      </c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>
      <c r="A578" s="7" t="s">
        <v>619</v>
      </c>
      <c r="B578" s="8">
        <v>870102132510</v>
      </c>
      <c r="C578" s="8" t="s">
        <v>301</v>
      </c>
      <c r="D578" s="7" t="s">
        <v>201</v>
      </c>
      <c r="E578" s="8" t="s">
        <v>35</v>
      </c>
      <c r="F578" s="10" t="s">
        <v>2093</v>
      </c>
      <c r="G578" s="9"/>
      <c r="H578" s="9" t="s">
        <v>2094</v>
      </c>
      <c r="I578" s="9" t="s">
        <v>2095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>
      <c r="A579" s="7" t="s">
        <v>620</v>
      </c>
      <c r="B579" s="8">
        <v>142159241646</v>
      </c>
      <c r="C579" s="8" t="s">
        <v>301</v>
      </c>
      <c r="D579" s="8" t="s">
        <v>47</v>
      </c>
      <c r="E579" s="8" t="s">
        <v>35</v>
      </c>
      <c r="F579" s="10" t="s">
        <v>2096</v>
      </c>
      <c r="G579" s="9"/>
      <c r="H579" s="9" t="s">
        <v>2097</v>
      </c>
      <c r="I579" s="9">
        <v>201113618461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>
      <c r="A580" s="7" t="s">
        <v>621</v>
      </c>
      <c r="B580" s="8">
        <v>123132196047</v>
      </c>
      <c r="C580" s="8" t="s">
        <v>301</v>
      </c>
      <c r="D580" s="8" t="s">
        <v>25</v>
      </c>
      <c r="E580" s="8" t="s">
        <v>35</v>
      </c>
      <c r="F580" s="10" t="s">
        <v>2098</v>
      </c>
      <c r="G580" s="9"/>
      <c r="H580" s="9" t="s">
        <v>2099</v>
      </c>
      <c r="I580" s="9" t="s">
        <v>2100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>
      <c r="A581" s="7" t="s">
        <v>622</v>
      </c>
      <c r="B581" s="8">
        <v>179171592097</v>
      </c>
      <c r="C581" s="8" t="s">
        <v>474</v>
      </c>
      <c r="D581" s="8" t="s">
        <v>602</v>
      </c>
      <c r="E581" s="8" t="s">
        <v>35</v>
      </c>
      <c r="F581" s="10" t="s">
        <v>2101</v>
      </c>
      <c r="G581" s="9"/>
      <c r="H581" s="9" t="s">
        <v>2102</v>
      </c>
      <c r="I581" s="9" t="s">
        <v>2103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>
      <c r="A582" s="7" t="s">
        <v>623</v>
      </c>
      <c r="B582" s="8">
        <v>308176953497</v>
      </c>
      <c r="C582" s="8" t="s">
        <v>474</v>
      </c>
      <c r="D582" s="8" t="s">
        <v>604</v>
      </c>
      <c r="E582" s="8" t="s">
        <v>12</v>
      </c>
      <c r="F582" s="10" t="s">
        <v>2104</v>
      </c>
      <c r="G582" s="9"/>
      <c r="H582" s="9" t="s">
        <v>2105</v>
      </c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>
      <c r="A583" s="7" t="s">
        <v>624</v>
      </c>
      <c r="B583" s="8">
        <v>695180376491</v>
      </c>
      <c r="C583" s="8" t="s">
        <v>474</v>
      </c>
      <c r="D583" s="8" t="s">
        <v>606</v>
      </c>
      <c r="E583" s="8" t="s">
        <v>35</v>
      </c>
      <c r="F583" s="10" t="s">
        <v>2106</v>
      </c>
      <c r="G583" s="9"/>
      <c r="H583" s="9" t="s">
        <v>2107</v>
      </c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>
      <c r="A584" s="7" t="s">
        <v>625</v>
      </c>
      <c r="B584" s="8">
        <v>419198614751</v>
      </c>
      <c r="C584" s="8" t="s">
        <v>85</v>
      </c>
      <c r="D584" s="8" t="s">
        <v>125</v>
      </c>
      <c r="E584" s="8" t="s">
        <v>35</v>
      </c>
      <c r="F584" s="10" t="s">
        <v>2108</v>
      </c>
      <c r="G584" s="9"/>
      <c r="H584" s="9" t="s">
        <v>2109</v>
      </c>
      <c r="I584" s="9" t="s">
        <v>2110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>
      <c r="A585" s="7" t="s">
        <v>626</v>
      </c>
      <c r="B585" s="8">
        <v>435164906319</v>
      </c>
      <c r="C585" s="8" t="s">
        <v>474</v>
      </c>
      <c r="D585" s="8" t="s">
        <v>611</v>
      </c>
      <c r="E585" s="8" t="s">
        <v>35</v>
      </c>
      <c r="F585" s="10" t="s">
        <v>2111</v>
      </c>
      <c r="G585" s="9" t="s">
        <v>2112</v>
      </c>
      <c r="H585" s="9" t="s">
        <v>2113</v>
      </c>
      <c r="I585" s="9" t="s">
        <v>2114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>
      <c r="A586" s="7" t="s">
        <v>627</v>
      </c>
      <c r="B586" s="8">
        <v>862194859079</v>
      </c>
      <c r="C586" s="8" t="s">
        <v>10</v>
      </c>
      <c r="D586" s="8" t="s">
        <v>25</v>
      </c>
      <c r="E586" s="8" t="s">
        <v>35</v>
      </c>
      <c r="F586" s="10" t="s">
        <v>2115</v>
      </c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>
      <c r="A587" s="7" t="s">
        <v>628</v>
      </c>
      <c r="B587" s="8">
        <v>478141716532</v>
      </c>
      <c r="C587" s="8" t="s">
        <v>474</v>
      </c>
      <c r="D587" s="8" t="s">
        <v>602</v>
      </c>
      <c r="E587" s="8" t="s">
        <v>12</v>
      </c>
      <c r="F587" s="10" t="s">
        <v>2116</v>
      </c>
      <c r="G587" s="9"/>
      <c r="H587" s="9" t="s">
        <v>2117</v>
      </c>
      <c r="I587" s="9" t="s">
        <v>2118</v>
      </c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>
      <c r="A588" s="7" t="s">
        <v>629</v>
      </c>
      <c r="B588" s="8">
        <v>459127286142</v>
      </c>
      <c r="C588" s="8" t="s">
        <v>474</v>
      </c>
      <c r="D588" s="8" t="s">
        <v>606</v>
      </c>
      <c r="E588" s="8" t="s">
        <v>35</v>
      </c>
      <c r="F588" s="10" t="s">
        <v>2119</v>
      </c>
      <c r="G588" s="9"/>
      <c r="H588" s="9" t="s">
        <v>2120</v>
      </c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>
      <c r="A589" s="7" t="s">
        <v>630</v>
      </c>
      <c r="B589" s="8">
        <v>854101526124</v>
      </c>
      <c r="C589" s="8" t="s">
        <v>301</v>
      </c>
      <c r="D589" s="7" t="s">
        <v>69</v>
      </c>
      <c r="E589" s="8" t="s">
        <v>35</v>
      </c>
      <c r="F589" s="10" t="s">
        <v>2121</v>
      </c>
      <c r="G589" s="9" t="s">
        <v>1433</v>
      </c>
      <c r="H589" s="9" t="s">
        <v>2122</v>
      </c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>
      <c r="A590" s="7" t="s">
        <v>631</v>
      </c>
      <c r="B590" s="8">
        <v>913169734907</v>
      </c>
      <c r="C590" s="8" t="s">
        <v>474</v>
      </c>
      <c r="D590" s="8" t="s">
        <v>486</v>
      </c>
      <c r="E590" s="8" t="s">
        <v>35</v>
      </c>
      <c r="F590" s="10" t="s">
        <v>2123</v>
      </c>
      <c r="G590" s="9" t="s">
        <v>1786</v>
      </c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>
      <c r="A591" s="7" t="s">
        <v>632</v>
      </c>
      <c r="B591" s="8">
        <v>708179253837</v>
      </c>
      <c r="C591" s="8" t="s">
        <v>474</v>
      </c>
      <c r="D591" s="8" t="s">
        <v>611</v>
      </c>
      <c r="E591" s="8" t="s">
        <v>12</v>
      </c>
      <c r="F591" s="10" t="s">
        <v>2124</v>
      </c>
      <c r="G591" s="9"/>
      <c r="H591" s="9" t="s">
        <v>2125</v>
      </c>
      <c r="I591" s="9" t="s">
        <v>2126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>
      <c r="A592" s="7" t="s">
        <v>633</v>
      </c>
      <c r="B592" s="8">
        <v>103196870689</v>
      </c>
      <c r="C592" s="8" t="s">
        <v>474</v>
      </c>
      <c r="D592" s="8" t="s">
        <v>611</v>
      </c>
      <c r="E592" s="8" t="s">
        <v>12</v>
      </c>
      <c r="F592" s="10" t="s">
        <v>2127</v>
      </c>
      <c r="G592" s="9"/>
      <c r="H592" s="9" t="s">
        <v>2128</v>
      </c>
      <c r="I592" s="9" t="s">
        <v>2129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>
      <c r="A593" s="7" t="s">
        <v>634</v>
      </c>
      <c r="B593" s="8">
        <v>568186930704</v>
      </c>
      <c r="C593" s="8" t="s">
        <v>474</v>
      </c>
      <c r="D593" s="8" t="s">
        <v>604</v>
      </c>
      <c r="E593" s="8" t="s">
        <v>182</v>
      </c>
      <c r="F593" s="10" t="s">
        <v>2130</v>
      </c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>
      <c r="A594" s="7" t="s">
        <v>635</v>
      </c>
      <c r="B594" s="8">
        <v>492145757573</v>
      </c>
      <c r="C594" s="8" t="s">
        <v>474</v>
      </c>
      <c r="D594" s="7" t="s">
        <v>69</v>
      </c>
      <c r="E594" s="8" t="s">
        <v>182</v>
      </c>
      <c r="F594" s="10" t="s">
        <v>2131</v>
      </c>
      <c r="G594" s="9" t="s">
        <v>2132</v>
      </c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>
      <c r="A595" s="7" t="s">
        <v>636</v>
      </c>
      <c r="B595" s="8">
        <v>893170457017</v>
      </c>
      <c r="C595" s="8" t="s">
        <v>474</v>
      </c>
      <c r="D595" s="7" t="s">
        <v>534</v>
      </c>
      <c r="E595" s="8" t="s">
        <v>182</v>
      </c>
      <c r="F595" s="10" t="s">
        <v>2133</v>
      </c>
      <c r="G595" s="9"/>
      <c r="H595" s="9" t="s">
        <v>2134</v>
      </c>
      <c r="I595" s="9">
        <v>201090406534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>
      <c r="A596" s="7" t="s">
        <v>637</v>
      </c>
      <c r="B596" s="8">
        <v>347126195768</v>
      </c>
      <c r="C596" s="8" t="s">
        <v>474</v>
      </c>
      <c r="D596" s="8" t="s">
        <v>507</v>
      </c>
      <c r="E596" s="8" t="s">
        <v>35</v>
      </c>
      <c r="F596" s="10" t="s">
        <v>2135</v>
      </c>
      <c r="G596" s="9" t="s">
        <v>2136</v>
      </c>
      <c r="H596" s="9" t="s">
        <v>2137</v>
      </c>
      <c r="I596" s="9" t="s">
        <v>2138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>
      <c r="A597" s="7" t="s">
        <v>638</v>
      </c>
      <c r="B597" s="8">
        <v>458157430479</v>
      </c>
      <c r="C597" s="8" t="s">
        <v>301</v>
      </c>
      <c r="D597" s="8" t="s">
        <v>611</v>
      </c>
      <c r="E597" s="8" t="s">
        <v>35</v>
      </c>
      <c r="F597" s="10" t="s">
        <v>2139</v>
      </c>
      <c r="G597" s="9" t="s">
        <v>2112</v>
      </c>
      <c r="H597" s="9" t="s">
        <v>2140</v>
      </c>
      <c r="I597" s="9" t="s">
        <v>2141</v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>
      <c r="A598" s="7" t="s">
        <v>639</v>
      </c>
      <c r="B598" s="8">
        <v>837194029802</v>
      </c>
      <c r="C598" s="8" t="s">
        <v>474</v>
      </c>
      <c r="D598" s="7" t="s">
        <v>516</v>
      </c>
      <c r="E598" s="8" t="s">
        <v>35</v>
      </c>
      <c r="F598" s="10" t="s">
        <v>2142</v>
      </c>
      <c r="G598" s="9" t="s">
        <v>1815</v>
      </c>
      <c r="H598" s="9" t="s">
        <v>2143</v>
      </c>
      <c r="I598" s="9" t="s">
        <v>2144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>
      <c r="A599" s="7" t="s">
        <v>640</v>
      </c>
      <c r="B599" s="8">
        <v>486174535434</v>
      </c>
      <c r="C599" s="8" t="s">
        <v>474</v>
      </c>
      <c r="D599" s="7" t="s">
        <v>524</v>
      </c>
      <c r="E599" s="8" t="s">
        <v>182</v>
      </c>
      <c r="F599" s="10" t="s">
        <v>2145</v>
      </c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>
      <c r="A600" s="7" t="s">
        <v>641</v>
      </c>
      <c r="B600" s="8">
        <v>239130462525</v>
      </c>
      <c r="C600" s="8" t="s">
        <v>85</v>
      </c>
      <c r="D600" s="8" t="s">
        <v>47</v>
      </c>
      <c r="E600" s="8" t="s">
        <v>35</v>
      </c>
      <c r="F600" s="10" t="s">
        <v>2146</v>
      </c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>
      <c r="A601" s="7" t="s">
        <v>642</v>
      </c>
      <c r="B601" s="8">
        <v>307134532301</v>
      </c>
      <c r="C601" s="8" t="s">
        <v>474</v>
      </c>
      <c r="D601" s="8" t="s">
        <v>486</v>
      </c>
      <c r="E601" s="8" t="s">
        <v>182</v>
      </c>
      <c r="F601" s="10" t="s">
        <v>2147</v>
      </c>
      <c r="G601" s="9" t="s">
        <v>2148</v>
      </c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>
      <c r="A602" s="7" t="s">
        <v>643</v>
      </c>
      <c r="B602" s="8">
        <v>658171357514</v>
      </c>
      <c r="C602" s="8" t="s">
        <v>301</v>
      </c>
      <c r="D602" s="7" t="s">
        <v>69</v>
      </c>
      <c r="E602" s="8" t="s">
        <v>12</v>
      </c>
      <c r="F602" s="10" t="s">
        <v>2149</v>
      </c>
      <c r="G602" s="9" t="s">
        <v>1248</v>
      </c>
      <c r="H602" s="9" t="s">
        <v>2150</v>
      </c>
      <c r="I602" s="9" t="s">
        <v>2151</v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>
      <c r="A603" s="7" t="s">
        <v>644</v>
      </c>
      <c r="B603" s="8">
        <v>403103787010</v>
      </c>
      <c r="C603" s="8" t="s">
        <v>301</v>
      </c>
      <c r="D603" s="7" t="s">
        <v>69</v>
      </c>
      <c r="E603" s="8" t="s">
        <v>182</v>
      </c>
      <c r="F603" s="10" t="s">
        <v>2152</v>
      </c>
      <c r="G603" s="9" t="s">
        <v>2153</v>
      </c>
      <c r="H603" s="9" t="s">
        <v>2154</v>
      </c>
      <c r="I603" s="9" t="s">
        <v>2155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>
      <c r="A604" s="7" t="s">
        <v>645</v>
      </c>
      <c r="B604" s="8">
        <v>418196047464</v>
      </c>
      <c r="C604" s="8" t="s">
        <v>474</v>
      </c>
      <c r="D604" s="8" t="s">
        <v>611</v>
      </c>
      <c r="E604" s="8" t="s">
        <v>35</v>
      </c>
      <c r="F604" s="10" t="s">
        <v>2156</v>
      </c>
      <c r="G604" s="9"/>
      <c r="H604" s="9" t="s">
        <v>2157</v>
      </c>
      <c r="I604" s="9" t="s">
        <v>2158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>
      <c r="A605" s="7" t="s">
        <v>646</v>
      </c>
      <c r="B605" s="8">
        <v>284105320408</v>
      </c>
      <c r="C605" s="8" t="s">
        <v>474</v>
      </c>
      <c r="D605" s="8" t="s">
        <v>606</v>
      </c>
      <c r="E605" s="8" t="s">
        <v>182</v>
      </c>
      <c r="F605" s="10" t="s">
        <v>2159</v>
      </c>
      <c r="G605" s="9" t="s">
        <v>2153</v>
      </c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>
      <c r="A606" s="7" t="s">
        <v>647</v>
      </c>
      <c r="B606" s="8">
        <v>415159138915</v>
      </c>
      <c r="C606" s="8" t="s">
        <v>474</v>
      </c>
      <c r="D606" s="8" t="s">
        <v>606</v>
      </c>
      <c r="E606" s="8" t="s">
        <v>182</v>
      </c>
      <c r="F606" s="10" t="s">
        <v>2160</v>
      </c>
      <c r="G606" s="9" t="s">
        <v>2161</v>
      </c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>
      <c r="A607" s="7" t="s">
        <v>648</v>
      </c>
      <c r="B607" s="8">
        <v>812195754050</v>
      </c>
      <c r="C607" s="8" t="s">
        <v>85</v>
      </c>
      <c r="D607" s="8" t="s">
        <v>47</v>
      </c>
      <c r="E607" s="8" t="s">
        <v>182</v>
      </c>
      <c r="F607" s="10" t="s">
        <v>2162</v>
      </c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>
      <c r="A608" s="7" t="s">
        <v>649</v>
      </c>
      <c r="B608" s="8">
        <v>159150394389</v>
      </c>
      <c r="C608" s="8" t="s">
        <v>85</v>
      </c>
      <c r="D608" s="8" t="s">
        <v>47</v>
      </c>
      <c r="E608" s="8" t="s">
        <v>182</v>
      </c>
      <c r="F608" s="10" t="s">
        <v>2163</v>
      </c>
      <c r="G608" s="9"/>
      <c r="H608" s="9" t="s">
        <v>2164</v>
      </c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>
      <c r="A609" s="7" t="s">
        <v>650</v>
      </c>
      <c r="B609" s="8">
        <v>408124082075</v>
      </c>
      <c r="C609" s="8" t="s">
        <v>85</v>
      </c>
      <c r="D609" s="7" t="s">
        <v>63</v>
      </c>
      <c r="E609" s="8" t="s">
        <v>35</v>
      </c>
      <c r="F609" s="10">
        <v>1363</v>
      </c>
      <c r="G609" s="9"/>
      <c r="H609" s="9" t="s">
        <v>2165</v>
      </c>
      <c r="I609" s="9">
        <v>201112094005</v>
      </c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>
      <c r="A610" s="7" t="s">
        <v>651</v>
      </c>
      <c r="B610" s="8">
        <v>974193190698</v>
      </c>
      <c r="C610" s="8" t="s">
        <v>301</v>
      </c>
      <c r="D610" s="8" t="s">
        <v>47</v>
      </c>
      <c r="E610" s="8" t="s">
        <v>35</v>
      </c>
      <c r="F610" s="10">
        <v>2038</v>
      </c>
      <c r="G610" s="9"/>
      <c r="H610" s="9" t="s">
        <v>2166</v>
      </c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>
      <c r="A611" s="7" t="s">
        <v>652</v>
      </c>
      <c r="B611" s="8">
        <v>343102940549</v>
      </c>
      <c r="C611" s="8" t="s">
        <v>10</v>
      </c>
      <c r="D611" s="8" t="s">
        <v>25</v>
      </c>
      <c r="E611" s="8" t="s">
        <v>182</v>
      </c>
      <c r="F611" s="10">
        <v>2312</v>
      </c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>
      <c r="A612" s="7" t="s">
        <v>653</v>
      </c>
      <c r="B612" s="8">
        <v>957149214309</v>
      </c>
      <c r="C612" s="8" t="s">
        <v>474</v>
      </c>
      <c r="D612" s="8" t="s">
        <v>604</v>
      </c>
      <c r="E612" s="8" t="s">
        <v>182</v>
      </c>
      <c r="F612" s="10">
        <v>1995</v>
      </c>
      <c r="G612" s="9"/>
      <c r="H612" s="9" t="s">
        <v>2167</v>
      </c>
      <c r="I612" s="9" t="s">
        <v>2168</v>
      </c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>
      <c r="A613" s="7" t="s">
        <v>654</v>
      </c>
      <c r="B613" s="8">
        <v>295194323854</v>
      </c>
      <c r="C613" s="8" t="s">
        <v>474</v>
      </c>
      <c r="D613" s="8" t="s">
        <v>602</v>
      </c>
      <c r="E613" s="8" t="s">
        <v>182</v>
      </c>
      <c r="F613" s="10">
        <v>2167</v>
      </c>
      <c r="G613" s="9"/>
      <c r="H613" s="9" t="s">
        <v>2169</v>
      </c>
      <c r="I613" s="9" t="s">
        <v>2170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>
      <c r="A614" s="7" t="s">
        <v>655</v>
      </c>
      <c r="B614" s="8">
        <v>926164261364</v>
      </c>
      <c r="C614" s="8" t="s">
        <v>474</v>
      </c>
      <c r="D614" s="7" t="s">
        <v>553</v>
      </c>
      <c r="E614" s="8" t="s">
        <v>35</v>
      </c>
      <c r="F614" s="10">
        <v>2217</v>
      </c>
      <c r="G614" s="9" t="s">
        <v>2171</v>
      </c>
      <c r="H614" s="9" t="s">
        <v>2172</v>
      </c>
      <c r="I614" s="9" t="s">
        <v>2173</v>
      </c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>
      <c r="A615" s="7" t="s">
        <v>656</v>
      </c>
      <c r="B615" s="8">
        <v>198137454262</v>
      </c>
      <c r="C615" s="8" t="s">
        <v>474</v>
      </c>
      <c r="D615" s="7" t="s">
        <v>586</v>
      </c>
      <c r="E615" s="8" t="s">
        <v>12</v>
      </c>
      <c r="F615" s="10" t="s">
        <v>2174</v>
      </c>
      <c r="G615" s="9" t="s">
        <v>1815</v>
      </c>
      <c r="H615" s="9" t="s">
        <v>2175</v>
      </c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>
      <c r="A616" s="7" t="s">
        <v>657</v>
      </c>
      <c r="B616" s="8">
        <v>395193419294</v>
      </c>
      <c r="C616" s="8" t="s">
        <v>474</v>
      </c>
      <c r="D616" s="7" t="s">
        <v>553</v>
      </c>
      <c r="E616" s="8" t="s">
        <v>182</v>
      </c>
      <c r="F616" s="10" t="s">
        <v>2176</v>
      </c>
      <c r="G616" s="9"/>
      <c r="H616" s="9" t="s">
        <v>2177</v>
      </c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>
      <c r="A617" s="7" t="s">
        <v>658</v>
      </c>
      <c r="B617" s="8">
        <v>615158327698</v>
      </c>
      <c r="C617" s="8" t="s">
        <v>85</v>
      </c>
      <c r="D617" s="7" t="s">
        <v>248</v>
      </c>
      <c r="E617" s="8" t="s">
        <v>35</v>
      </c>
      <c r="F617" s="9" t="s">
        <v>2178</v>
      </c>
      <c r="G617" s="9" t="s">
        <v>982</v>
      </c>
      <c r="H617" s="9" t="s">
        <v>2179</v>
      </c>
      <c r="I617" s="9">
        <v>201063570903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>
      <c r="A618" s="7" t="s">
        <v>659</v>
      </c>
      <c r="B618" s="8">
        <v>518185761828</v>
      </c>
      <c r="C618" s="8" t="s">
        <v>301</v>
      </c>
      <c r="D618" s="8" t="s">
        <v>170</v>
      </c>
      <c r="E618" s="8" t="s">
        <v>182</v>
      </c>
      <c r="F618" s="9">
        <v>1850</v>
      </c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>
      <c r="A619" s="7" t="s">
        <v>660</v>
      </c>
      <c r="B619" s="8">
        <v>928179812341</v>
      </c>
      <c r="C619" s="8" t="s">
        <v>474</v>
      </c>
      <c r="D619" s="8" t="s">
        <v>507</v>
      </c>
      <c r="E619" s="8" t="s">
        <v>182</v>
      </c>
      <c r="F619" s="9">
        <v>1945</v>
      </c>
      <c r="G619" s="9"/>
      <c r="H619" s="9" t="s">
        <v>2180</v>
      </c>
      <c r="I619" s="9" t="s">
        <v>2181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>
      <c r="A620" s="7" t="s">
        <v>661</v>
      </c>
      <c r="B620" s="8">
        <v>602141491647</v>
      </c>
      <c r="C620" s="8" t="s">
        <v>474</v>
      </c>
      <c r="D620" s="7" t="s">
        <v>516</v>
      </c>
      <c r="E620" s="8" t="s">
        <v>35</v>
      </c>
      <c r="F620" s="9">
        <v>2237</v>
      </c>
      <c r="G620" s="9" t="s">
        <v>1786</v>
      </c>
      <c r="H620" s="9" t="s">
        <v>2182</v>
      </c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>
      <c r="A621" s="7" t="s">
        <v>662</v>
      </c>
      <c r="B621" s="8">
        <v>860125604984</v>
      </c>
      <c r="C621" s="8" t="s">
        <v>301</v>
      </c>
      <c r="D621" s="8" t="s">
        <v>611</v>
      </c>
      <c r="E621" s="8" t="s">
        <v>35</v>
      </c>
      <c r="F621" s="9">
        <v>1961</v>
      </c>
      <c r="G621" s="9"/>
      <c r="H621" s="9" t="s">
        <v>2183</v>
      </c>
      <c r="I621" s="9" t="s">
        <v>2184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>
      <c r="A622" s="7" t="s">
        <v>663</v>
      </c>
      <c r="B622" s="8">
        <v>702160894872</v>
      </c>
      <c r="C622" s="8" t="s">
        <v>301</v>
      </c>
      <c r="D622" s="8" t="s">
        <v>606</v>
      </c>
      <c r="E622" s="8" t="s">
        <v>182</v>
      </c>
      <c r="F622" s="9">
        <v>2028</v>
      </c>
      <c r="G622" s="9" t="s">
        <v>2185</v>
      </c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>
      <c r="A623" s="7" t="s">
        <v>664</v>
      </c>
      <c r="B623" s="8">
        <v>424149471034</v>
      </c>
      <c r="C623" s="8" t="s">
        <v>301</v>
      </c>
      <c r="D623" s="8" t="s">
        <v>25</v>
      </c>
      <c r="E623" s="8" t="s">
        <v>182</v>
      </c>
      <c r="F623" s="9">
        <v>1989</v>
      </c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>
      <c r="A624" s="7" t="s">
        <v>665</v>
      </c>
      <c r="B624" s="8">
        <v>895196457504</v>
      </c>
      <c r="C624" s="8" t="s">
        <v>85</v>
      </c>
      <c r="D624" s="8" t="s">
        <v>25</v>
      </c>
      <c r="E624" s="8" t="s">
        <v>182</v>
      </c>
      <c r="F624" s="9">
        <v>1886</v>
      </c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>
      <c r="A625" s="7" t="s">
        <v>666</v>
      </c>
      <c r="B625" s="8">
        <v>945182868176</v>
      </c>
      <c r="C625" s="8" t="s">
        <v>85</v>
      </c>
      <c r="D625" s="8" t="s">
        <v>47</v>
      </c>
      <c r="E625" s="8" t="s">
        <v>182</v>
      </c>
      <c r="F625" s="9">
        <v>2074</v>
      </c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>
      <c r="A626" s="7" t="s">
        <v>667</v>
      </c>
      <c r="B626" s="9" t="e">
        <v>#N/A</v>
      </c>
      <c r="C626" s="8" t="s">
        <v>474</v>
      </c>
      <c r="D626" s="7" t="s">
        <v>563</v>
      </c>
      <c r="E626" s="8" t="s">
        <v>668</v>
      </c>
      <c r="F626" s="9" t="e">
        <v>#N/A</v>
      </c>
      <c r="G626" s="9" t="e">
        <v>#N/A</v>
      </c>
      <c r="H626" s="9" t="e">
        <v>#N/A</v>
      </c>
      <c r="I626" s="9" t="e">
        <v>#N/A</v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>
      <c r="A627" s="7" t="s">
        <v>669</v>
      </c>
      <c r="B627" s="8">
        <v>137159402437</v>
      </c>
      <c r="C627" s="8" t="s">
        <v>474</v>
      </c>
      <c r="D627" s="7" t="s">
        <v>563</v>
      </c>
      <c r="E627" s="8" t="s">
        <v>182</v>
      </c>
      <c r="F627" s="9">
        <v>2336</v>
      </c>
      <c r="G627" s="9" t="s">
        <v>1815</v>
      </c>
      <c r="H627" s="9" t="s">
        <v>2186</v>
      </c>
      <c r="I627" s="9" t="s">
        <v>2187</v>
      </c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>
      <c r="A628" s="7" t="s">
        <v>670</v>
      </c>
      <c r="B628" s="8">
        <v>454134237907</v>
      </c>
      <c r="C628" s="8" t="s">
        <v>474</v>
      </c>
      <c r="D628" s="8" t="s">
        <v>611</v>
      </c>
      <c r="E628" s="8" t="s">
        <v>12</v>
      </c>
      <c r="F628" s="9">
        <v>2341</v>
      </c>
      <c r="G628" s="9"/>
      <c r="H628" s="9" t="s">
        <v>2188</v>
      </c>
      <c r="I628" s="9" t="s">
        <v>2189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>
      <c r="A629" s="7" t="s">
        <v>671</v>
      </c>
      <c r="B629" s="8">
        <v>937186279710</v>
      </c>
      <c r="C629" s="8" t="s">
        <v>474</v>
      </c>
      <c r="D629" s="8" t="s">
        <v>611</v>
      </c>
      <c r="E629" s="8" t="s">
        <v>12</v>
      </c>
      <c r="F629" s="9">
        <v>2338</v>
      </c>
      <c r="G629" s="9"/>
      <c r="H629" s="9" t="s">
        <v>2190</v>
      </c>
      <c r="I629" s="9" t="s">
        <v>2191</v>
      </c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>
      <c r="A630" s="7" t="s">
        <v>672</v>
      </c>
      <c r="B630" s="8">
        <v>857181851641</v>
      </c>
      <c r="C630" s="8" t="s">
        <v>474</v>
      </c>
      <c r="D630" s="7" t="s">
        <v>69</v>
      </c>
      <c r="E630" s="8" t="s">
        <v>182</v>
      </c>
      <c r="F630" s="9">
        <v>2263</v>
      </c>
      <c r="G630" s="9" t="s">
        <v>1730</v>
      </c>
      <c r="H630" s="9" t="s">
        <v>2192</v>
      </c>
      <c r="I630" s="9" t="s">
        <v>2193</v>
      </c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>
      <c r="A631" s="7" t="s">
        <v>673</v>
      </c>
      <c r="B631" s="9" t="s">
        <v>2194</v>
      </c>
      <c r="C631" s="8" t="s">
        <v>10</v>
      </c>
      <c r="D631" s="8" t="s">
        <v>25</v>
      </c>
      <c r="E631" s="8" t="s">
        <v>182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>
      <c r="A632" s="7" t="s">
        <v>674</v>
      </c>
      <c r="B632" s="8">
        <v>716141713108</v>
      </c>
      <c r="C632" s="8" t="s">
        <v>301</v>
      </c>
      <c r="D632" s="8" t="s">
        <v>170</v>
      </c>
      <c r="E632" s="8" t="s">
        <v>35</v>
      </c>
      <c r="F632" s="9">
        <v>2355</v>
      </c>
      <c r="G632" s="9" t="s">
        <v>1248</v>
      </c>
      <c r="H632" s="9" t="s">
        <v>2195</v>
      </c>
      <c r="I632" s="9" t="s">
        <v>2196</v>
      </c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>
      <c r="A633" s="7" t="s">
        <v>675</v>
      </c>
      <c r="B633" s="8">
        <v>905158654524</v>
      </c>
      <c r="C633" s="8" t="s">
        <v>85</v>
      </c>
      <c r="D633" s="7" t="s">
        <v>201</v>
      </c>
      <c r="E633" s="8" t="s">
        <v>668</v>
      </c>
      <c r="F633" s="9"/>
      <c r="G633" s="9"/>
      <c r="H633" s="9" t="s">
        <v>2197</v>
      </c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>
      <c r="A634" s="7" t="s">
        <v>676</v>
      </c>
      <c r="B634" s="8">
        <v>783123583101</v>
      </c>
      <c r="C634" s="8" t="s">
        <v>474</v>
      </c>
      <c r="D634" s="8" t="s">
        <v>25</v>
      </c>
      <c r="E634" s="8" t="s">
        <v>35</v>
      </c>
      <c r="F634" s="9">
        <v>2376</v>
      </c>
      <c r="G634" s="9" t="s">
        <v>1763</v>
      </c>
      <c r="H634" s="9" t="s">
        <v>2198</v>
      </c>
      <c r="I634" s="9">
        <v>91111734555</v>
      </c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>
      <c r="A635" s="7" t="s">
        <v>677</v>
      </c>
      <c r="B635" s="8">
        <v>529183826745</v>
      </c>
      <c r="C635" s="8" t="s">
        <v>474</v>
      </c>
      <c r="D635" s="8" t="s">
        <v>611</v>
      </c>
      <c r="E635" s="8" t="s">
        <v>12</v>
      </c>
      <c r="F635" s="9">
        <v>2379</v>
      </c>
      <c r="G635" s="9"/>
      <c r="H635" s="9" t="s">
        <v>2199</v>
      </c>
      <c r="I635" s="9" t="s">
        <v>2200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>
      <c r="A636" s="7" t="s">
        <v>678</v>
      </c>
      <c r="B636" s="8">
        <v>794175742320</v>
      </c>
      <c r="C636" s="8" t="s">
        <v>85</v>
      </c>
      <c r="D636" s="7" t="s">
        <v>69</v>
      </c>
      <c r="E636" s="8" t="s">
        <v>182</v>
      </c>
      <c r="F636" s="9">
        <v>2370</v>
      </c>
      <c r="G636" s="9" t="s">
        <v>2201</v>
      </c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>
      <c r="A637" s="7" t="s">
        <v>679</v>
      </c>
      <c r="B637" s="8">
        <v>587173545189</v>
      </c>
      <c r="C637" s="8" t="s">
        <v>474</v>
      </c>
      <c r="D637" s="7" t="s">
        <v>69</v>
      </c>
      <c r="E637" s="8" t="s">
        <v>35</v>
      </c>
      <c r="F637" s="9">
        <v>2371</v>
      </c>
      <c r="G637" s="9" t="s">
        <v>1730</v>
      </c>
      <c r="H637" s="9" t="s">
        <v>2202</v>
      </c>
      <c r="I637" s="9" t="s">
        <v>2203</v>
      </c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>
      <c r="A638" s="7" t="s">
        <v>680</v>
      </c>
      <c r="B638" s="8">
        <v>140157603065</v>
      </c>
      <c r="C638" s="8" t="s">
        <v>85</v>
      </c>
      <c r="D638" s="8" t="s">
        <v>47</v>
      </c>
      <c r="E638" s="8" t="s">
        <v>182</v>
      </c>
      <c r="F638" s="9">
        <v>2380</v>
      </c>
      <c r="G638" s="9" t="s">
        <v>2204</v>
      </c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>
      <c r="A639" s="7" t="s">
        <v>681</v>
      </c>
      <c r="B639" s="8">
        <v>839185648325</v>
      </c>
      <c r="C639" s="8" t="s">
        <v>85</v>
      </c>
      <c r="D639" s="7" t="s">
        <v>201</v>
      </c>
      <c r="E639" s="8" t="s">
        <v>35</v>
      </c>
      <c r="F639" s="9">
        <v>2399</v>
      </c>
      <c r="G639" s="9" t="s">
        <v>2205</v>
      </c>
      <c r="H639" s="9" t="s">
        <v>2206</v>
      </c>
      <c r="I639" s="9" t="s">
        <v>2207</v>
      </c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>
      <c r="A640" s="7" t="s">
        <v>682</v>
      </c>
      <c r="B640" s="8">
        <v>975141754312</v>
      </c>
      <c r="C640" s="8" t="s">
        <v>474</v>
      </c>
      <c r="D640" s="8" t="s">
        <v>475</v>
      </c>
      <c r="E640" s="8" t="s">
        <v>668</v>
      </c>
      <c r="F640" s="9">
        <v>1999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>
      <c r="A641" s="7" t="s">
        <v>683</v>
      </c>
      <c r="B641" s="8">
        <v>846101762818</v>
      </c>
      <c r="C641" s="8" t="s">
        <v>474</v>
      </c>
      <c r="D641" s="8" t="s">
        <v>486</v>
      </c>
      <c r="E641" s="8" t="s">
        <v>182</v>
      </c>
      <c r="F641" s="9">
        <v>1781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>
      <c r="A642" s="7" t="s">
        <v>684</v>
      </c>
      <c r="B642" s="9" t="s">
        <v>2194</v>
      </c>
      <c r="C642" s="8" t="s">
        <v>474</v>
      </c>
      <c r="D642" s="7" t="s">
        <v>685</v>
      </c>
      <c r="E642" s="8" t="s">
        <v>668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>
      <c r="A643" s="7" t="s">
        <v>686</v>
      </c>
      <c r="B643" s="9" t="s">
        <v>2194</v>
      </c>
      <c r="C643" s="9"/>
      <c r="D643" s="8" t="s">
        <v>47</v>
      </c>
      <c r="E643" s="8" t="s">
        <v>687</v>
      </c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>
      <c r="A644" s="7" t="s">
        <v>688</v>
      </c>
      <c r="B644" s="8">
        <v>876163930275</v>
      </c>
      <c r="C644" s="8" t="s">
        <v>301</v>
      </c>
      <c r="D644" s="8" t="s">
        <v>47</v>
      </c>
      <c r="E644" s="8" t="s">
        <v>35</v>
      </c>
      <c r="F644" s="9">
        <v>1374</v>
      </c>
      <c r="G644" s="9"/>
      <c r="H644" s="9" t="s">
        <v>2208</v>
      </c>
      <c r="I644" s="9" t="s">
        <v>2209</v>
      </c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>
      <c r="A645" s="7" t="s">
        <v>689</v>
      </c>
      <c r="B645" s="8">
        <v>962104368108</v>
      </c>
      <c r="C645" s="8" t="s">
        <v>85</v>
      </c>
      <c r="D645" s="8" t="s">
        <v>47</v>
      </c>
      <c r="E645" s="8" t="s">
        <v>35</v>
      </c>
      <c r="F645" s="9">
        <v>1928</v>
      </c>
      <c r="G645" s="9" t="s">
        <v>982</v>
      </c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>
      <c r="A646" s="7" t="s">
        <v>690</v>
      </c>
      <c r="B646" s="9" t="s">
        <v>2194</v>
      </c>
      <c r="C646" s="8" t="s">
        <v>301</v>
      </c>
      <c r="D646" s="7" t="s">
        <v>69</v>
      </c>
      <c r="E646" s="8" t="s">
        <v>35</v>
      </c>
      <c r="F646" s="9"/>
      <c r="G646" s="9" t="s">
        <v>1436</v>
      </c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>
      <c r="A647" s="7" t="s">
        <v>691</v>
      </c>
      <c r="B647" s="9" t="s">
        <v>2194</v>
      </c>
      <c r="C647" s="8" t="s">
        <v>301</v>
      </c>
      <c r="D647" s="8" t="s">
        <v>170</v>
      </c>
      <c r="E647" s="8" t="s">
        <v>182</v>
      </c>
      <c r="F647" s="9"/>
      <c r="G647" s="9" t="s">
        <v>1248</v>
      </c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>
      <c r="A648" s="7" t="s">
        <v>692</v>
      </c>
      <c r="B648" s="8">
        <v>194168206386</v>
      </c>
      <c r="C648" s="8" t="s">
        <v>474</v>
      </c>
      <c r="D648" s="7" t="s">
        <v>69</v>
      </c>
      <c r="E648" s="8" t="s">
        <v>35</v>
      </c>
      <c r="F648" s="9">
        <v>2412</v>
      </c>
      <c r="G648" s="9" t="s">
        <v>1654</v>
      </c>
      <c r="H648" s="9" t="s">
        <v>2210</v>
      </c>
      <c r="I648" s="9" t="s">
        <v>2211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>
      <c r="A649" s="7" t="s">
        <v>693</v>
      </c>
      <c r="B649" s="8">
        <v>904157297454</v>
      </c>
      <c r="C649" s="8" t="s">
        <v>10</v>
      </c>
      <c r="D649" s="8" t="s">
        <v>25</v>
      </c>
      <c r="E649" s="8" t="s">
        <v>182</v>
      </c>
      <c r="F649" s="9">
        <v>2425</v>
      </c>
      <c r="G649" s="9" t="s">
        <v>831</v>
      </c>
      <c r="H649" s="9" t="s">
        <v>2212</v>
      </c>
      <c r="I649" s="9" t="s">
        <v>2213</v>
      </c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>
      <c r="A650" s="7" t="s">
        <v>694</v>
      </c>
      <c r="B650" s="8">
        <v>139146351896</v>
      </c>
      <c r="C650" s="8" t="s">
        <v>85</v>
      </c>
      <c r="D650" s="7" t="s">
        <v>201</v>
      </c>
      <c r="E650" s="8" t="s">
        <v>35</v>
      </c>
      <c r="F650" s="9">
        <v>2435</v>
      </c>
      <c r="G650" s="9" t="s">
        <v>1253</v>
      </c>
      <c r="H650" s="9" t="s">
        <v>2214</v>
      </c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>
      <c r="A651" s="7" t="s">
        <v>695</v>
      </c>
      <c r="B651" s="8">
        <v>969151976052</v>
      </c>
      <c r="C651" s="8" t="s">
        <v>85</v>
      </c>
      <c r="D651" s="8" t="s">
        <v>47</v>
      </c>
      <c r="E651" s="8" t="s">
        <v>182</v>
      </c>
      <c r="F651" s="9">
        <v>2468</v>
      </c>
      <c r="G651" s="9" t="s">
        <v>827</v>
      </c>
      <c r="H651" s="9" t="s">
        <v>2215</v>
      </c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>
      <c r="A652" s="7" t="s">
        <v>696</v>
      </c>
      <c r="B652" s="8">
        <v>458171934281</v>
      </c>
      <c r="C652" s="8" t="s">
        <v>85</v>
      </c>
      <c r="D652" s="8" t="s">
        <v>25</v>
      </c>
      <c r="E652" s="8" t="s">
        <v>182</v>
      </c>
      <c r="F652" s="9">
        <v>2472</v>
      </c>
      <c r="G652" s="9" t="s">
        <v>982</v>
      </c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>
      <c r="A653" s="7" t="s">
        <v>697</v>
      </c>
      <c r="B653" s="8">
        <v>925193924973</v>
      </c>
      <c r="C653" s="8" t="s">
        <v>10</v>
      </c>
      <c r="D653" s="8" t="s">
        <v>25</v>
      </c>
      <c r="E653" s="8" t="s">
        <v>35</v>
      </c>
      <c r="F653" s="9">
        <v>2487</v>
      </c>
      <c r="G653" s="9" t="s">
        <v>831</v>
      </c>
      <c r="H653" s="9" t="s">
        <v>2216</v>
      </c>
      <c r="I653" s="9" t="s">
        <v>2217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>
      <c r="A654" s="7" t="s">
        <v>698</v>
      </c>
      <c r="B654" s="8">
        <v>675158027827</v>
      </c>
      <c r="C654" s="8" t="s">
        <v>301</v>
      </c>
      <c r="D654" s="7" t="s">
        <v>201</v>
      </c>
      <c r="E654" s="8" t="s">
        <v>35</v>
      </c>
      <c r="F654" s="9">
        <v>2492</v>
      </c>
      <c r="G654" s="9" t="s">
        <v>1248</v>
      </c>
      <c r="H654" s="9" t="s">
        <v>2218</v>
      </c>
      <c r="I654" s="9" t="s">
        <v>2219</v>
      </c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>
      <c r="A655" s="7" t="s">
        <v>699</v>
      </c>
      <c r="B655" s="8">
        <v>803173848636</v>
      </c>
      <c r="C655" s="8" t="s">
        <v>85</v>
      </c>
      <c r="D655" s="8" t="s">
        <v>125</v>
      </c>
      <c r="E655" s="8" t="s">
        <v>182</v>
      </c>
      <c r="F655" s="9">
        <v>2498</v>
      </c>
      <c r="G655" s="9" t="s">
        <v>827</v>
      </c>
      <c r="H655" s="9" t="s">
        <v>2220</v>
      </c>
      <c r="I655" s="9" t="s">
        <v>2221</v>
      </c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>
      <c r="A656" s="7" t="s">
        <v>700</v>
      </c>
      <c r="B656" s="8">
        <v>827159763903</v>
      </c>
      <c r="C656" s="8" t="s">
        <v>85</v>
      </c>
      <c r="D656" s="7" t="s">
        <v>248</v>
      </c>
      <c r="E656" s="8" t="s">
        <v>182</v>
      </c>
      <c r="F656" s="9">
        <v>2488</v>
      </c>
      <c r="G656" s="9" t="s">
        <v>992</v>
      </c>
      <c r="H656" s="9" t="s">
        <v>2222</v>
      </c>
      <c r="I656" s="9" t="s">
        <v>2223</v>
      </c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>
      <c r="A657" s="7" t="s">
        <v>701</v>
      </c>
      <c r="B657" s="9" t="s">
        <v>2194</v>
      </c>
      <c r="C657" s="8" t="s">
        <v>10</v>
      </c>
      <c r="D657" s="7" t="s">
        <v>63</v>
      </c>
      <c r="E657" s="8" t="s">
        <v>182</v>
      </c>
      <c r="F657" s="9"/>
      <c r="G657" s="9" t="s">
        <v>852</v>
      </c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>
      <c r="A658" s="7" t="s">
        <v>702</v>
      </c>
      <c r="B658" s="8">
        <v>795161084548</v>
      </c>
      <c r="C658" s="8" t="s">
        <v>474</v>
      </c>
      <c r="D658" s="8" t="s">
        <v>604</v>
      </c>
      <c r="E658" s="8" t="s">
        <v>12</v>
      </c>
      <c r="F658" s="9">
        <v>2532</v>
      </c>
      <c r="G658" s="9"/>
      <c r="H658" s="9" t="s">
        <v>2224</v>
      </c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>
      <c r="A659" s="7" t="s">
        <v>703</v>
      </c>
      <c r="B659" s="9" t="s">
        <v>2194</v>
      </c>
      <c r="C659" s="8" t="s">
        <v>474</v>
      </c>
      <c r="D659" s="8" t="s">
        <v>25</v>
      </c>
      <c r="E659" s="8" t="s">
        <v>182</v>
      </c>
      <c r="F659" s="9"/>
      <c r="G659" s="9" t="s">
        <v>1763</v>
      </c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>
      <c r="A660" s="7" t="s">
        <v>704</v>
      </c>
      <c r="B660" s="9" t="s">
        <v>2194</v>
      </c>
      <c r="C660" s="8" t="s">
        <v>10</v>
      </c>
      <c r="D660" s="7" t="s">
        <v>63</v>
      </c>
      <c r="E660" s="8" t="s">
        <v>12</v>
      </c>
      <c r="F660" s="9"/>
      <c r="G660" s="9" t="s">
        <v>849</v>
      </c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>
      <c r="A661" s="7" t="s">
        <v>705</v>
      </c>
      <c r="B661" s="8">
        <v>638195271502</v>
      </c>
      <c r="C661" s="8" t="s">
        <v>301</v>
      </c>
      <c r="D661" s="7" t="s">
        <v>201</v>
      </c>
      <c r="E661" s="8" t="s">
        <v>12</v>
      </c>
      <c r="F661" s="9">
        <v>2559</v>
      </c>
      <c r="G661" s="9" t="s">
        <v>1248</v>
      </c>
      <c r="H661" s="9" t="s">
        <v>2225</v>
      </c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>
      <c r="A662" s="7" t="s">
        <v>706</v>
      </c>
      <c r="B662" s="9" t="s">
        <v>2194</v>
      </c>
      <c r="C662" s="8" t="s">
        <v>301</v>
      </c>
      <c r="D662" s="8" t="s">
        <v>25</v>
      </c>
      <c r="E662" s="8" t="s">
        <v>12</v>
      </c>
      <c r="F662" s="9"/>
      <c r="G662" s="9" t="s">
        <v>1433</v>
      </c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>
      <c r="A663" s="7" t="s">
        <v>707</v>
      </c>
      <c r="B663" s="8">
        <v>367106989606</v>
      </c>
      <c r="C663" s="8" t="s">
        <v>301</v>
      </c>
      <c r="D663" s="8" t="s">
        <v>25</v>
      </c>
      <c r="E663" s="8" t="s">
        <v>182</v>
      </c>
      <c r="F663" s="9">
        <v>2585</v>
      </c>
      <c r="G663" s="9" t="s">
        <v>1433</v>
      </c>
      <c r="H663" s="9" t="s">
        <v>2226</v>
      </c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>
      <c r="A664" s="7" t="s">
        <v>708</v>
      </c>
      <c r="B664" s="8">
        <v>746149714625</v>
      </c>
      <c r="C664" s="8" t="s">
        <v>85</v>
      </c>
      <c r="D664" s="8" t="s">
        <v>25</v>
      </c>
      <c r="E664" s="8" t="s">
        <v>182</v>
      </c>
      <c r="F664" s="9">
        <v>2591</v>
      </c>
      <c r="G664" s="9" t="s">
        <v>827</v>
      </c>
      <c r="H664" s="9" t="s">
        <v>2227</v>
      </c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>
      <c r="A665" s="7" t="s">
        <v>709</v>
      </c>
      <c r="B665" s="8">
        <v>235192420945</v>
      </c>
      <c r="C665" s="8" t="s">
        <v>301</v>
      </c>
      <c r="D665" s="8" t="s">
        <v>25</v>
      </c>
      <c r="E665" s="8" t="s">
        <v>35</v>
      </c>
      <c r="F665" s="9">
        <v>2606</v>
      </c>
      <c r="G665" s="9" t="s">
        <v>1433</v>
      </c>
      <c r="H665" s="9" t="s">
        <v>2228</v>
      </c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>
      <c r="A666" s="7" t="s">
        <v>710</v>
      </c>
      <c r="B666" s="8">
        <v>175142750434</v>
      </c>
      <c r="C666" s="8" t="s">
        <v>10</v>
      </c>
      <c r="D666" s="7" t="s">
        <v>69</v>
      </c>
      <c r="E666" s="8" t="s">
        <v>182</v>
      </c>
      <c r="F666" s="9">
        <v>2600</v>
      </c>
      <c r="G666" s="9" t="s">
        <v>831</v>
      </c>
      <c r="H666" s="9" t="s">
        <v>2229</v>
      </c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>
      <c r="A667" s="7" t="s">
        <v>711</v>
      </c>
      <c r="B667" s="8">
        <v>156165436060</v>
      </c>
      <c r="C667" s="8" t="s">
        <v>301</v>
      </c>
      <c r="D667" s="7" t="s">
        <v>69</v>
      </c>
      <c r="E667" s="8" t="s">
        <v>182</v>
      </c>
      <c r="F667" s="9">
        <v>2599</v>
      </c>
      <c r="G667" s="9" t="s">
        <v>1750</v>
      </c>
      <c r="H667" s="9" t="s">
        <v>2230</v>
      </c>
      <c r="I667" s="9" t="s">
        <v>2231</v>
      </c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>
      <c r="A668" s="7" t="s">
        <v>712</v>
      </c>
      <c r="B668" s="8">
        <v>696138691285</v>
      </c>
      <c r="C668" s="8" t="s">
        <v>85</v>
      </c>
      <c r="D668" s="8" t="s">
        <v>47</v>
      </c>
      <c r="E668" s="8" t="s">
        <v>35</v>
      </c>
      <c r="F668" s="9">
        <v>2258</v>
      </c>
      <c r="G668" s="9" t="s">
        <v>827</v>
      </c>
      <c r="H668" s="9" t="s">
        <v>2232</v>
      </c>
      <c r="I668" s="9" t="s">
        <v>2233</v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>
      <c r="A669" s="7" t="s">
        <v>713</v>
      </c>
      <c r="B669" s="8">
        <v>596160630240</v>
      </c>
      <c r="C669" s="8" t="s">
        <v>85</v>
      </c>
      <c r="D669" s="8" t="s">
        <v>47</v>
      </c>
      <c r="E669" s="8" t="s">
        <v>12</v>
      </c>
      <c r="F669" s="9">
        <v>2622</v>
      </c>
      <c r="G669" s="9" t="s">
        <v>827</v>
      </c>
      <c r="H669" s="9" t="s">
        <v>2234</v>
      </c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>
      <c r="A670" s="7" t="s">
        <v>714</v>
      </c>
      <c r="B670" s="9" t="s">
        <v>2194</v>
      </c>
      <c r="C670" s="8" t="s">
        <v>85</v>
      </c>
      <c r="D670" s="7" t="s">
        <v>69</v>
      </c>
      <c r="E670" s="8" t="s">
        <v>35</v>
      </c>
      <c r="F670" s="9"/>
      <c r="G670" s="9" t="s">
        <v>827</v>
      </c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>
      <c r="A671" s="7" t="s">
        <v>715</v>
      </c>
      <c r="B671" s="8">
        <v>828156185164</v>
      </c>
      <c r="C671" s="8" t="s">
        <v>85</v>
      </c>
      <c r="D671" s="8" t="s">
        <v>25</v>
      </c>
      <c r="E671" s="8" t="s">
        <v>35</v>
      </c>
      <c r="F671" s="9">
        <v>2646</v>
      </c>
      <c r="G671" s="9" t="s">
        <v>827</v>
      </c>
      <c r="H671" s="9" t="s">
        <v>2235</v>
      </c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>
      <c r="A672" s="7" t="s">
        <v>716</v>
      </c>
      <c r="B672" s="8">
        <v>305106396548</v>
      </c>
      <c r="C672" s="8" t="s">
        <v>301</v>
      </c>
      <c r="D672" s="8" t="s">
        <v>25</v>
      </c>
      <c r="E672" s="8" t="s">
        <v>35</v>
      </c>
      <c r="F672" s="9">
        <v>2641</v>
      </c>
      <c r="G672" s="9" t="s">
        <v>1248</v>
      </c>
      <c r="H672" s="9" t="s">
        <v>2236</v>
      </c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>
      <c r="A673" s="7" t="s">
        <v>717</v>
      </c>
      <c r="B673" s="8">
        <v>630141786235</v>
      </c>
      <c r="C673" s="8" t="s">
        <v>85</v>
      </c>
      <c r="D673" s="7" t="s">
        <v>69</v>
      </c>
      <c r="E673" s="8" t="s">
        <v>35</v>
      </c>
      <c r="F673" s="9">
        <v>2662</v>
      </c>
      <c r="G673" s="9" t="s">
        <v>827</v>
      </c>
      <c r="H673" s="9" t="s">
        <v>2237</v>
      </c>
      <c r="I673" s="9" t="s">
        <v>2238</v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>
      <c r="A674" s="7" t="s">
        <v>718</v>
      </c>
      <c r="B674" s="8">
        <v>868143149757</v>
      </c>
      <c r="C674" s="8" t="s">
        <v>301</v>
      </c>
      <c r="D674" s="7" t="s">
        <v>63</v>
      </c>
      <c r="E674" s="8" t="s">
        <v>35</v>
      </c>
      <c r="F674" s="9">
        <v>2672</v>
      </c>
      <c r="G674" s="9" t="s">
        <v>1248</v>
      </c>
      <c r="H674" s="9" t="s">
        <v>2239</v>
      </c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>
      <c r="A675" s="7" t="s">
        <v>719</v>
      </c>
      <c r="B675" s="9" t="s">
        <v>2194</v>
      </c>
      <c r="C675" s="8" t="s">
        <v>301</v>
      </c>
      <c r="D675" s="8" t="s">
        <v>47</v>
      </c>
      <c r="E675" s="8" t="s">
        <v>12</v>
      </c>
      <c r="F675" s="9"/>
      <c r="G675" s="9" t="s">
        <v>1248</v>
      </c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>
      <c r="A676" s="7" t="s">
        <v>720</v>
      </c>
      <c r="B676" s="8">
        <v>643165236429</v>
      </c>
      <c r="C676" s="8" t="s">
        <v>301</v>
      </c>
      <c r="D676" s="8" t="s">
        <v>170</v>
      </c>
      <c r="E676" s="8" t="s">
        <v>35</v>
      </c>
      <c r="F676" s="9">
        <v>2655</v>
      </c>
      <c r="G676" s="9" t="s">
        <v>1248</v>
      </c>
      <c r="H676" s="9" t="s">
        <v>2240</v>
      </c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>
      <c r="A677" s="7" t="s">
        <v>721</v>
      </c>
      <c r="B677" s="8">
        <v>689156982321</v>
      </c>
      <c r="C677" s="8" t="s">
        <v>85</v>
      </c>
      <c r="D677" s="8" t="s">
        <v>170</v>
      </c>
      <c r="E677" s="8" t="s">
        <v>35</v>
      </c>
      <c r="F677" s="9">
        <v>2690</v>
      </c>
      <c r="G677" s="9" t="s">
        <v>827</v>
      </c>
      <c r="H677" s="9" t="s">
        <v>2241</v>
      </c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>
      <c r="A678" s="7" t="s">
        <v>722</v>
      </c>
      <c r="B678" s="9" t="s">
        <v>2194</v>
      </c>
      <c r="C678" s="8" t="s">
        <v>10</v>
      </c>
      <c r="D678" s="7" t="s">
        <v>69</v>
      </c>
      <c r="E678" s="8" t="s">
        <v>12</v>
      </c>
      <c r="F678" s="9"/>
      <c r="G678" s="9" t="s">
        <v>852</v>
      </c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>
      <c r="A679" s="7" t="s">
        <v>723</v>
      </c>
      <c r="B679" s="8">
        <v>767182953239</v>
      </c>
      <c r="C679" s="8" t="s">
        <v>10</v>
      </c>
      <c r="D679" s="7" t="s">
        <v>69</v>
      </c>
      <c r="E679" s="8" t="s">
        <v>12</v>
      </c>
      <c r="F679" s="9">
        <v>2688</v>
      </c>
      <c r="G679" s="9" t="s">
        <v>849</v>
      </c>
      <c r="H679" s="9" t="s">
        <v>2242</v>
      </c>
      <c r="I679" s="9" t="s">
        <v>2243</v>
      </c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>
      <c r="A680" s="7" t="s">
        <v>724</v>
      </c>
      <c r="B680" s="9" t="s">
        <v>2194</v>
      </c>
      <c r="C680" s="8" t="s">
        <v>10</v>
      </c>
      <c r="D680" s="7" t="s">
        <v>63</v>
      </c>
      <c r="E680" s="8" t="s">
        <v>12</v>
      </c>
      <c r="F680" s="9"/>
      <c r="G680" s="9" t="s">
        <v>849</v>
      </c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>
      <c r="A681" s="7" t="s">
        <v>725</v>
      </c>
      <c r="B681" s="8">
        <v>678163084015</v>
      </c>
      <c r="C681" s="8" t="s">
        <v>85</v>
      </c>
      <c r="D681" s="8" t="s">
        <v>170</v>
      </c>
      <c r="E681" s="8" t="s">
        <v>182</v>
      </c>
      <c r="F681" s="9">
        <v>2719</v>
      </c>
      <c r="G681" s="9" t="s">
        <v>827</v>
      </c>
      <c r="H681" s="9" t="s">
        <v>2244</v>
      </c>
      <c r="I681" s="9" t="s">
        <v>2245</v>
      </c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>
      <c r="A682" s="7" t="s">
        <v>726</v>
      </c>
      <c r="B682" s="8">
        <v>938102694209</v>
      </c>
      <c r="C682" s="8" t="s">
        <v>85</v>
      </c>
      <c r="D682" s="8" t="s">
        <v>47</v>
      </c>
      <c r="E682" s="8" t="s">
        <v>35</v>
      </c>
      <c r="F682" s="9">
        <v>2728</v>
      </c>
      <c r="G682" s="9" t="s">
        <v>2246</v>
      </c>
      <c r="H682" s="9" t="s">
        <v>2247</v>
      </c>
      <c r="I682" s="9" t="s">
        <v>2248</v>
      </c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>
      <c r="A683" s="7" t="s">
        <v>727</v>
      </c>
      <c r="B683" s="8">
        <v>913159713718</v>
      </c>
      <c r="C683" s="8" t="s">
        <v>474</v>
      </c>
      <c r="D683" s="7" t="s">
        <v>63</v>
      </c>
      <c r="E683" s="8" t="s">
        <v>35</v>
      </c>
      <c r="F683" s="9">
        <v>2738</v>
      </c>
      <c r="G683" s="9" t="s">
        <v>1763</v>
      </c>
      <c r="H683" s="9" t="s">
        <v>2249</v>
      </c>
      <c r="I683" s="9" t="s">
        <v>2250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>
      <c r="A684" s="7" t="s">
        <v>728</v>
      </c>
      <c r="B684" s="8">
        <v>487176043708</v>
      </c>
      <c r="C684" s="8" t="s">
        <v>85</v>
      </c>
      <c r="D684" s="8" t="s">
        <v>170</v>
      </c>
      <c r="E684" s="8" t="s">
        <v>182</v>
      </c>
      <c r="F684" s="9">
        <v>2744</v>
      </c>
      <c r="G684" s="9" t="s">
        <v>827</v>
      </c>
      <c r="H684" s="9" t="s">
        <v>2251</v>
      </c>
      <c r="I684" s="9" t="s">
        <v>2252</v>
      </c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>
      <c r="A685" s="7" t="s">
        <v>729</v>
      </c>
      <c r="B685" s="9" t="s">
        <v>2194</v>
      </c>
      <c r="C685" s="8" t="s">
        <v>10</v>
      </c>
      <c r="D685" s="7" t="s">
        <v>69</v>
      </c>
      <c r="E685" s="8" t="s">
        <v>12</v>
      </c>
      <c r="F685" s="9"/>
      <c r="G685" s="9" t="s">
        <v>831</v>
      </c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>
      <c r="A686" s="7" t="s">
        <v>730</v>
      </c>
      <c r="B686" s="9" t="s">
        <v>2194</v>
      </c>
      <c r="C686" s="8" t="s">
        <v>301</v>
      </c>
      <c r="D686" s="8" t="s">
        <v>170</v>
      </c>
      <c r="E686" s="8" t="s">
        <v>12</v>
      </c>
      <c r="F686" s="9"/>
      <c r="G686" s="9" t="s">
        <v>982</v>
      </c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>
      <c r="A687" s="7" t="s">
        <v>731</v>
      </c>
      <c r="B687" s="9" t="s">
        <v>2194</v>
      </c>
      <c r="C687" s="8" t="s">
        <v>301</v>
      </c>
      <c r="D687" s="8" t="s">
        <v>170</v>
      </c>
      <c r="E687" s="8" t="s">
        <v>12</v>
      </c>
      <c r="F687" s="9"/>
      <c r="G687" s="9" t="s">
        <v>982</v>
      </c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>
      <c r="A688" s="7" t="s">
        <v>732</v>
      </c>
      <c r="B688" s="8">
        <v>597190609069</v>
      </c>
      <c r="C688" s="8" t="s">
        <v>85</v>
      </c>
      <c r="D688" s="8" t="s">
        <v>25</v>
      </c>
      <c r="E688" s="8" t="s">
        <v>182</v>
      </c>
      <c r="F688" s="9">
        <v>2769</v>
      </c>
      <c r="G688" s="9" t="s">
        <v>992</v>
      </c>
      <c r="H688" s="9" t="s">
        <v>2253</v>
      </c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>
      <c r="A689" s="7" t="s">
        <v>733</v>
      </c>
      <c r="B689" s="9" t="s">
        <v>2194</v>
      </c>
      <c r="C689" s="8" t="s">
        <v>85</v>
      </c>
      <c r="D689" s="8" t="s">
        <v>125</v>
      </c>
      <c r="E689" s="8" t="s">
        <v>12</v>
      </c>
      <c r="F689" s="9"/>
      <c r="G689" s="9" t="s">
        <v>827</v>
      </c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>
      <c r="A690" s="7" t="s">
        <v>734</v>
      </c>
      <c r="B690" s="9" t="s">
        <v>2194</v>
      </c>
      <c r="C690" s="8" t="s">
        <v>301</v>
      </c>
      <c r="D690" s="7" t="s">
        <v>69</v>
      </c>
      <c r="E690" s="8" t="s">
        <v>12</v>
      </c>
      <c r="F690" s="9"/>
      <c r="G690" s="9" t="s">
        <v>1433</v>
      </c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>
      <c r="A691" s="7" t="s">
        <v>735</v>
      </c>
      <c r="B691" s="8">
        <v>837150415794</v>
      </c>
      <c r="C691" s="8" t="s">
        <v>10</v>
      </c>
      <c r="D691" s="8" t="s">
        <v>47</v>
      </c>
      <c r="E691" s="8" t="s">
        <v>35</v>
      </c>
      <c r="F691" s="9">
        <v>2776</v>
      </c>
      <c r="G691" s="9" t="s">
        <v>849</v>
      </c>
      <c r="H691" s="9" t="s">
        <v>2254</v>
      </c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>
      <c r="A692" s="7" t="s">
        <v>736</v>
      </c>
      <c r="B692" s="8">
        <v>540154691675</v>
      </c>
      <c r="C692" s="8" t="s">
        <v>85</v>
      </c>
      <c r="D692" s="8" t="s">
        <v>170</v>
      </c>
      <c r="E692" s="8" t="s">
        <v>182</v>
      </c>
      <c r="F692" s="9">
        <v>2788</v>
      </c>
      <c r="G692" s="9" t="s">
        <v>997</v>
      </c>
      <c r="H692" s="9" t="s">
        <v>2255</v>
      </c>
      <c r="I692" s="9" t="s">
        <v>2256</v>
      </c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>
      <c r="A693" s="7" t="s">
        <v>737</v>
      </c>
      <c r="B693" s="8">
        <v>782124541790</v>
      </c>
      <c r="C693" s="8" t="s">
        <v>10</v>
      </c>
      <c r="D693" s="8" t="s">
        <v>25</v>
      </c>
      <c r="E693" s="8" t="s">
        <v>182</v>
      </c>
      <c r="F693" s="9">
        <v>2789</v>
      </c>
      <c r="G693" s="9" t="s">
        <v>838</v>
      </c>
      <c r="H693" s="9" t="s">
        <v>2257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>
      <c r="A694" s="7" t="s">
        <v>738</v>
      </c>
      <c r="B694" s="9" t="s">
        <v>2194</v>
      </c>
      <c r="C694" s="8" t="s">
        <v>10</v>
      </c>
      <c r="D694" s="8" t="s">
        <v>25</v>
      </c>
      <c r="E694" s="8" t="s">
        <v>12</v>
      </c>
      <c r="F694" s="9"/>
      <c r="G694" s="9" t="s">
        <v>849</v>
      </c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>
      <c r="A695" s="7" t="s">
        <v>739</v>
      </c>
      <c r="B695" s="9" t="s">
        <v>2194</v>
      </c>
      <c r="C695" s="8" t="s">
        <v>85</v>
      </c>
      <c r="D695" s="7" t="s">
        <v>63</v>
      </c>
      <c r="E695" s="8" t="s">
        <v>12</v>
      </c>
      <c r="F695" s="9"/>
      <c r="G695" s="9" t="s">
        <v>997</v>
      </c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>
      <c r="A696" s="7" t="s">
        <v>740</v>
      </c>
      <c r="B696" s="9" t="s">
        <v>2194</v>
      </c>
      <c r="C696" s="8" t="s">
        <v>301</v>
      </c>
      <c r="D696" s="7" t="s">
        <v>63</v>
      </c>
      <c r="E696" s="8" t="s">
        <v>12</v>
      </c>
      <c r="F696" s="9"/>
      <c r="G696" s="9" t="s">
        <v>1248</v>
      </c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>
      <c r="A697" s="7" t="s">
        <v>741</v>
      </c>
      <c r="B697" s="8">
        <v>960189502368</v>
      </c>
      <c r="C697" s="8" t="s">
        <v>10</v>
      </c>
      <c r="D697" s="8" t="s">
        <v>25</v>
      </c>
      <c r="E697" s="8" t="s">
        <v>182</v>
      </c>
      <c r="F697" s="9">
        <v>2786</v>
      </c>
      <c r="G697" s="9" t="s">
        <v>831</v>
      </c>
      <c r="H697" s="9" t="s">
        <v>2258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>
      <c r="A698" s="7" t="s">
        <v>742</v>
      </c>
      <c r="B698" s="9" t="s">
        <v>2194</v>
      </c>
      <c r="C698" s="8" t="s">
        <v>10</v>
      </c>
      <c r="D698" s="7" t="s">
        <v>60</v>
      </c>
      <c r="E698" s="8" t="s">
        <v>12</v>
      </c>
      <c r="F698" s="9"/>
      <c r="G698" s="9" t="s">
        <v>831</v>
      </c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>
      <c r="A699" s="7" t="s">
        <v>743</v>
      </c>
      <c r="B699" s="9" t="s">
        <v>2194</v>
      </c>
      <c r="C699" s="8" t="s">
        <v>10</v>
      </c>
      <c r="D699" s="8" t="s">
        <v>11</v>
      </c>
      <c r="E699" s="8" t="s">
        <v>12</v>
      </c>
      <c r="F699" s="9"/>
      <c r="G699" s="9" t="s">
        <v>831</v>
      </c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>
      <c r="A700" s="7" t="s">
        <v>744</v>
      </c>
      <c r="B700" s="9" t="s">
        <v>2194</v>
      </c>
      <c r="C700" s="8" t="s">
        <v>85</v>
      </c>
      <c r="D700" s="8" t="s">
        <v>125</v>
      </c>
      <c r="E700" s="8" t="s">
        <v>12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>
      <c r="A701" s="7" t="s">
        <v>745</v>
      </c>
      <c r="B701" s="9">
        <v>407151345617</v>
      </c>
      <c r="C701" s="8" t="s">
        <v>10</v>
      </c>
      <c r="D701" s="8" t="s">
        <v>47</v>
      </c>
      <c r="E701" s="8" t="s">
        <v>12</v>
      </c>
      <c r="F701" s="9"/>
      <c r="G701" s="9" t="s">
        <v>831</v>
      </c>
      <c r="H701" s="9" t="s">
        <v>2259</v>
      </c>
      <c r="I701" s="9" t="s">
        <v>2260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>
      <c r="A702" s="7" t="s">
        <v>746</v>
      </c>
      <c r="B702" s="9" t="s">
        <v>2194</v>
      </c>
      <c r="C702" s="8" t="s">
        <v>85</v>
      </c>
      <c r="D702" s="8" t="s">
        <v>25</v>
      </c>
      <c r="E702" s="8" t="s">
        <v>12</v>
      </c>
      <c r="F702" s="9"/>
      <c r="G702" s="9" t="s">
        <v>982</v>
      </c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>
      <c r="A703" s="7" t="s">
        <v>747</v>
      </c>
      <c r="B703" s="9">
        <v>405140392850</v>
      </c>
      <c r="C703" s="8" t="s">
        <v>85</v>
      </c>
      <c r="D703" s="7" t="s">
        <v>201</v>
      </c>
      <c r="E703" s="8" t="s">
        <v>12</v>
      </c>
      <c r="F703" s="9"/>
      <c r="G703" s="9" t="s">
        <v>997</v>
      </c>
      <c r="H703" s="9" t="s">
        <v>2261</v>
      </c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>
      <c r="A704" s="7" t="s">
        <v>748</v>
      </c>
      <c r="B704" s="9">
        <v>464168323849</v>
      </c>
      <c r="C704" s="8" t="s">
        <v>10</v>
      </c>
      <c r="D704" s="8" t="s">
        <v>11</v>
      </c>
      <c r="E704" s="8" t="s">
        <v>12</v>
      </c>
      <c r="F704" s="9"/>
      <c r="G704" s="9" t="s">
        <v>831</v>
      </c>
      <c r="H704" s="9" t="s">
        <v>2262</v>
      </c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>
      <c r="A705" s="7" t="s">
        <v>749</v>
      </c>
      <c r="B705" s="9" t="s">
        <v>2194</v>
      </c>
      <c r="C705" s="8" t="s">
        <v>85</v>
      </c>
      <c r="D705" s="7" t="s">
        <v>201</v>
      </c>
      <c r="E705" s="8" t="s">
        <v>12</v>
      </c>
      <c r="F705" s="9"/>
      <c r="G705" s="9" t="s">
        <v>997</v>
      </c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>
      <c r="A706" s="7" t="s">
        <v>750</v>
      </c>
      <c r="B706" s="8">
        <v>609181324791</v>
      </c>
      <c r="C706" s="8" t="s">
        <v>10</v>
      </c>
      <c r="D706" s="8" t="s">
        <v>25</v>
      </c>
      <c r="E706" s="8" t="s">
        <v>182</v>
      </c>
      <c r="F706" s="9">
        <v>2512</v>
      </c>
      <c r="G706" s="9" t="s">
        <v>831</v>
      </c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>
      <c r="A707" s="7" t="s">
        <v>751</v>
      </c>
      <c r="B707" s="8">
        <v>189136923623</v>
      </c>
      <c r="C707" s="8" t="s">
        <v>85</v>
      </c>
      <c r="D707" s="7" t="s">
        <v>248</v>
      </c>
      <c r="E707" s="8" t="s">
        <v>12</v>
      </c>
      <c r="F707" s="9">
        <v>2542</v>
      </c>
      <c r="G707" s="9" t="s">
        <v>827</v>
      </c>
      <c r="H707" s="9" t="s">
        <v>2263</v>
      </c>
      <c r="I707" s="9" t="s">
        <v>2264</v>
      </c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>
      <c r="A708" s="7" t="s">
        <v>752</v>
      </c>
      <c r="B708" s="8">
        <v>878128791902</v>
      </c>
      <c r="C708" s="8" t="s">
        <v>301</v>
      </c>
      <c r="D708" s="7" t="s">
        <v>69</v>
      </c>
      <c r="E708" s="8" t="s">
        <v>12</v>
      </c>
      <c r="F708" s="9">
        <v>2638</v>
      </c>
      <c r="G708" s="9" t="s">
        <v>982</v>
      </c>
      <c r="H708" s="9" t="s">
        <v>2265</v>
      </c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>
      <c r="A709" s="7" t="s">
        <v>753</v>
      </c>
      <c r="B709" s="8">
        <v>516103937369</v>
      </c>
      <c r="C709" s="9"/>
      <c r="D709" s="9"/>
      <c r="E709" s="8" t="s">
        <v>35</v>
      </c>
      <c r="F709" s="9" t="e">
        <v>#N/A</v>
      </c>
      <c r="G709" s="9"/>
      <c r="H709" s="9" t="s">
        <v>2266</v>
      </c>
      <c r="I709" s="9" t="s">
        <v>2267</v>
      </c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>
      <c r="A710" s="7" t="s">
        <v>754</v>
      </c>
      <c r="B710" s="8">
        <v>516123085380</v>
      </c>
      <c r="C710" s="9"/>
      <c r="D710" s="9"/>
      <c r="E710" s="8" t="s">
        <v>35</v>
      </c>
      <c r="F710" s="9" t="e">
        <v>#N/A</v>
      </c>
      <c r="G710" s="9"/>
      <c r="H710" s="9" t="s">
        <v>2268</v>
      </c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>
      <c r="A711" s="7" t="s">
        <v>755</v>
      </c>
      <c r="B711" s="8">
        <v>324151012329</v>
      </c>
      <c r="C711" s="9"/>
      <c r="D711" s="9"/>
      <c r="E711" s="8" t="s">
        <v>35</v>
      </c>
      <c r="F711" s="9" t="e">
        <v>#N/A</v>
      </c>
      <c r="G711" s="9"/>
      <c r="H711" s="9" t="s">
        <v>2269</v>
      </c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>
      <c r="A712" s="7" t="s">
        <v>756</v>
      </c>
      <c r="B712" s="8">
        <v>416167232707</v>
      </c>
      <c r="C712" s="9"/>
      <c r="D712" s="9"/>
      <c r="E712" s="8" t="s">
        <v>14</v>
      </c>
      <c r="F712" s="10" t="s">
        <v>2270</v>
      </c>
      <c r="G712" s="9"/>
      <c r="H712" s="9" t="s">
        <v>2271</v>
      </c>
      <c r="I712" s="9" t="s">
        <v>2272</v>
      </c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>
      <c r="A713" s="7" t="s">
        <v>757</v>
      </c>
      <c r="B713" s="8">
        <v>873160320409</v>
      </c>
      <c r="C713" s="9"/>
      <c r="D713" s="9"/>
      <c r="E713" s="8" t="s">
        <v>182</v>
      </c>
      <c r="F713" s="9" t="e">
        <v>#N/A</v>
      </c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>
      <c r="A714" s="7" t="s">
        <v>758</v>
      </c>
      <c r="B714" s="8">
        <v>482158476754</v>
      </c>
      <c r="C714" s="9"/>
      <c r="D714" s="9"/>
      <c r="E714" s="8" t="s">
        <v>182</v>
      </c>
      <c r="F714" s="9" t="e">
        <v>#N/A</v>
      </c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>
      <c r="A715" s="7" t="s">
        <v>759</v>
      </c>
      <c r="B715" s="8">
        <v>785160848368</v>
      </c>
      <c r="C715" s="9"/>
      <c r="D715" s="9"/>
      <c r="E715" s="8" t="s">
        <v>182</v>
      </c>
      <c r="F715" s="9" t="e">
        <v>#N/A</v>
      </c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>
      <c r="A716" s="7" t="s">
        <v>760</v>
      </c>
      <c r="B716" s="8">
        <v>956195390908</v>
      </c>
      <c r="C716" s="9"/>
      <c r="D716" s="9"/>
      <c r="E716" s="8" t="s">
        <v>182</v>
      </c>
      <c r="F716" s="9" t="e">
        <v>#N/A</v>
      </c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>
      <c r="A717" s="7" t="s">
        <v>761</v>
      </c>
      <c r="B717" s="8">
        <v>802195734191</v>
      </c>
      <c r="C717" s="9"/>
      <c r="D717" s="9"/>
      <c r="E717" s="8" t="s">
        <v>182</v>
      </c>
      <c r="F717" s="9" t="e">
        <v>#N/A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>
      <c r="A718" s="7" t="s">
        <v>762</v>
      </c>
      <c r="B718" s="8">
        <v>542163764786</v>
      </c>
      <c r="C718" s="9"/>
      <c r="D718" s="9"/>
      <c r="E718" s="8" t="s">
        <v>182</v>
      </c>
      <c r="F718" s="9" t="e">
        <v>#N/A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>
      <c r="A719" s="7" t="s">
        <v>763</v>
      </c>
      <c r="B719" s="8">
        <v>943182573596</v>
      </c>
      <c r="C719" s="9"/>
      <c r="D719" s="9"/>
      <c r="E719" s="9"/>
      <c r="F719" s="9" t="e">
        <v>#N/A</v>
      </c>
      <c r="G719" s="9"/>
      <c r="H719" s="9" t="s">
        <v>2273</v>
      </c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>
      <c r="A720" s="7" t="s">
        <v>764</v>
      </c>
      <c r="B720" s="8">
        <v>963108518023</v>
      </c>
      <c r="C720" s="9"/>
      <c r="D720" s="9"/>
      <c r="E720" s="9"/>
      <c r="F720" s="9" t="e">
        <v>#N/A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>
      <c r="A721" s="7" t="s">
        <v>765</v>
      </c>
      <c r="B721" s="8">
        <v>197153280125</v>
      </c>
      <c r="C721" s="9"/>
      <c r="D721" s="9"/>
      <c r="E721" s="8" t="s">
        <v>766</v>
      </c>
      <c r="F721" s="9" t="e">
        <v>#N/A</v>
      </c>
      <c r="G721" s="9"/>
      <c r="H721" s="9" t="s">
        <v>2274</v>
      </c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>
      <c r="A722" s="7" t="s">
        <v>767</v>
      </c>
      <c r="B722" s="8">
        <v>869135808760</v>
      </c>
      <c r="C722" s="9"/>
      <c r="D722" s="9"/>
      <c r="E722" s="8" t="s">
        <v>768</v>
      </c>
      <c r="F722" s="9" t="e">
        <v>#N/A</v>
      </c>
      <c r="G722" s="9"/>
      <c r="H722" s="9" t="s">
        <v>2275</v>
      </c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>
      <c r="A723" s="7" t="s">
        <v>769</v>
      </c>
      <c r="B723" s="8">
        <v>910137201294</v>
      </c>
      <c r="C723" s="9"/>
      <c r="D723" s="9"/>
      <c r="E723" s="8" t="s">
        <v>768</v>
      </c>
      <c r="F723" s="9" t="e">
        <v>#N/A</v>
      </c>
      <c r="G723" s="9"/>
      <c r="H723" s="9" t="s">
        <v>2276</v>
      </c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>
      <c r="A724" s="7" t="s">
        <v>770</v>
      </c>
      <c r="B724" s="8">
        <v>514126712393</v>
      </c>
      <c r="C724" s="9"/>
      <c r="D724" s="9"/>
      <c r="E724" s="8" t="s">
        <v>771</v>
      </c>
      <c r="F724" s="9">
        <v>2827</v>
      </c>
      <c r="G724" s="9" t="s">
        <v>2277</v>
      </c>
      <c r="H724" s="9" t="s">
        <v>2278</v>
      </c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>
      <c r="A725" s="7" t="s">
        <v>772</v>
      </c>
      <c r="B725" s="8">
        <v>352134305787</v>
      </c>
      <c r="C725" s="9"/>
      <c r="D725" s="9"/>
      <c r="E725" s="8" t="s">
        <v>687</v>
      </c>
      <c r="F725" s="10" t="s">
        <v>2279</v>
      </c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>
      <c r="A726" s="7" t="s">
        <v>773</v>
      </c>
      <c r="B726" s="8">
        <v>437189298603</v>
      </c>
      <c r="C726" s="9"/>
      <c r="D726" s="9"/>
      <c r="E726" s="8" t="s">
        <v>687</v>
      </c>
      <c r="F726" s="10" t="s">
        <v>2280</v>
      </c>
      <c r="G726" s="9" t="s">
        <v>1815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>
      <c r="A727" s="7" t="s">
        <v>774</v>
      </c>
      <c r="B727" s="8">
        <v>594131489651</v>
      </c>
      <c r="C727" s="9"/>
      <c r="D727" s="9"/>
      <c r="E727" s="8" t="s">
        <v>687</v>
      </c>
      <c r="F727" s="9">
        <v>1926</v>
      </c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>
      <c r="A728" s="7" t="s">
        <v>775</v>
      </c>
      <c r="B728" s="8">
        <v>848146561605</v>
      </c>
      <c r="C728" s="9"/>
      <c r="D728" s="9"/>
      <c r="E728" s="8" t="s">
        <v>687</v>
      </c>
      <c r="F728" s="10" t="s">
        <v>2281</v>
      </c>
      <c r="G728" s="9" t="s">
        <v>2282</v>
      </c>
      <c r="H728" s="9" t="s">
        <v>2283</v>
      </c>
      <c r="I728" s="9" t="s">
        <v>2284</v>
      </c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>
      <c r="A729" s="7" t="s">
        <v>776</v>
      </c>
      <c r="B729" s="8">
        <v>258141760167</v>
      </c>
      <c r="C729" s="9"/>
      <c r="D729" s="9"/>
      <c r="E729" s="8" t="s">
        <v>687</v>
      </c>
      <c r="F729" s="10" t="s">
        <v>2285</v>
      </c>
      <c r="G729" s="9" t="s">
        <v>1786</v>
      </c>
      <c r="H729" s="9" t="s">
        <v>2286</v>
      </c>
      <c r="I729" s="9" t="s">
        <v>2287</v>
      </c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>
      <c r="A730" s="7" t="s">
        <v>777</v>
      </c>
      <c r="B730" s="8">
        <v>535169286572</v>
      </c>
      <c r="C730" s="9"/>
      <c r="D730" s="9"/>
      <c r="E730" s="8" t="s">
        <v>687</v>
      </c>
      <c r="F730" s="10">
        <v>1980</v>
      </c>
      <c r="G730" s="9"/>
      <c r="H730" s="9" t="s">
        <v>2288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>
      <c r="A731" s="7" t="s">
        <v>778</v>
      </c>
      <c r="B731" s="8">
        <v>285163691768</v>
      </c>
      <c r="C731" s="9"/>
      <c r="D731" s="9"/>
      <c r="E731" s="8" t="s">
        <v>687</v>
      </c>
      <c r="F731" s="10" t="s">
        <v>2289</v>
      </c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>
      <c r="A732" s="7" t="s">
        <v>779</v>
      </c>
      <c r="B732" s="8">
        <v>102179305430</v>
      </c>
      <c r="C732" s="9"/>
      <c r="D732" s="9"/>
      <c r="E732" s="8" t="s">
        <v>687</v>
      </c>
      <c r="F732" s="9">
        <v>2022</v>
      </c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>
      <c r="A733" s="7" t="s">
        <v>780</v>
      </c>
      <c r="B733" s="8">
        <v>797194713202</v>
      </c>
      <c r="C733" s="9"/>
      <c r="D733" s="9"/>
      <c r="E733" s="8" t="s">
        <v>687</v>
      </c>
      <c r="F733" s="10" t="s">
        <v>2290</v>
      </c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>
      <c r="A734" s="7" t="s">
        <v>781</v>
      </c>
      <c r="B734" s="8">
        <v>107149593948</v>
      </c>
      <c r="C734" s="9"/>
      <c r="D734" s="9"/>
      <c r="E734" s="8" t="s">
        <v>687</v>
      </c>
      <c r="F734" s="9">
        <v>2095</v>
      </c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>
      <c r="A735" s="7" t="s">
        <v>782</v>
      </c>
      <c r="B735" s="8">
        <v>435147575802</v>
      </c>
      <c r="C735" s="9"/>
      <c r="D735" s="9"/>
      <c r="E735" s="8" t="s">
        <v>687</v>
      </c>
      <c r="F735" s="10" t="s">
        <v>2291</v>
      </c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>
      <c r="A736" s="7" t="s">
        <v>783</v>
      </c>
      <c r="B736" s="8">
        <v>472109857194</v>
      </c>
      <c r="C736" s="9"/>
      <c r="D736" s="9"/>
      <c r="E736" s="8" t="s">
        <v>687</v>
      </c>
      <c r="F736" s="10" t="s">
        <v>2292</v>
      </c>
      <c r="G736" s="9" t="s">
        <v>1786</v>
      </c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>
      <c r="A737" s="7" t="s">
        <v>784</v>
      </c>
      <c r="B737" s="8">
        <v>480107524608</v>
      </c>
      <c r="C737" s="9"/>
      <c r="D737" s="9"/>
      <c r="E737" s="8" t="s">
        <v>687</v>
      </c>
      <c r="F737" s="10" t="s">
        <v>2293</v>
      </c>
      <c r="G737" s="9" t="s">
        <v>992</v>
      </c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>
      <c r="A738" s="7" t="s">
        <v>785</v>
      </c>
      <c r="B738" s="8">
        <v>279185808176</v>
      </c>
      <c r="C738" s="9"/>
      <c r="D738" s="9"/>
      <c r="E738" s="8" t="s">
        <v>687</v>
      </c>
      <c r="F738" s="10" t="s">
        <v>2294</v>
      </c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>
      <c r="A739" s="7" t="s">
        <v>786</v>
      </c>
      <c r="B739" s="8">
        <v>238140327279</v>
      </c>
      <c r="C739" s="9"/>
      <c r="D739" s="9"/>
      <c r="E739" s="8" t="s">
        <v>687</v>
      </c>
      <c r="F739" s="9">
        <v>2350</v>
      </c>
      <c r="G739" s="9" t="s">
        <v>1248</v>
      </c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>
      <c r="A740" s="7" t="s">
        <v>787</v>
      </c>
      <c r="B740" s="8">
        <v>804162065074</v>
      </c>
      <c r="C740" s="9"/>
      <c r="D740" s="9"/>
      <c r="E740" s="8" t="s">
        <v>687</v>
      </c>
      <c r="F740" s="9">
        <v>2453</v>
      </c>
      <c r="G740" s="9" t="s">
        <v>1248</v>
      </c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>
      <c r="A741" s="7" t="s">
        <v>788</v>
      </c>
      <c r="B741" s="8">
        <v>742164906960</v>
      </c>
      <c r="C741" s="9"/>
      <c r="D741" s="9"/>
      <c r="E741" s="8" t="s">
        <v>687</v>
      </c>
      <c r="F741" s="9">
        <v>2051</v>
      </c>
      <c r="G741" s="9"/>
      <c r="H741" s="9" t="s">
        <v>2295</v>
      </c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>
      <c r="A742" s="7" t="s">
        <v>789</v>
      </c>
      <c r="B742" s="8">
        <v>960186095390</v>
      </c>
      <c r="C742" s="9"/>
      <c r="D742" s="9"/>
      <c r="E742" s="8" t="s">
        <v>687</v>
      </c>
      <c r="F742" s="9">
        <v>2587</v>
      </c>
      <c r="G742" s="9" t="s">
        <v>831</v>
      </c>
      <c r="H742" s="9" t="s">
        <v>2296</v>
      </c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>
      <c r="A743" s="7" t="s">
        <v>790</v>
      </c>
      <c r="B743" s="9">
        <v>389136139475</v>
      </c>
      <c r="C743" s="8" t="s">
        <v>10</v>
      </c>
      <c r="D743" s="8" t="s">
        <v>47</v>
      </c>
      <c r="E743" s="8" t="s">
        <v>12</v>
      </c>
      <c r="F743" s="9">
        <v>2834</v>
      </c>
      <c r="G743" s="9" t="s">
        <v>831</v>
      </c>
      <c r="H743" s="9" t="s">
        <v>2297</v>
      </c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>
      <c r="A744" s="7" t="s">
        <v>791</v>
      </c>
      <c r="B744" s="9" t="e">
        <v>#N/A</v>
      </c>
      <c r="C744" s="8" t="s">
        <v>85</v>
      </c>
      <c r="D744" s="8" t="s">
        <v>25</v>
      </c>
      <c r="E744" s="8" t="s">
        <v>12</v>
      </c>
      <c r="F744" s="9" t="e">
        <v>#N/A</v>
      </c>
      <c r="G744" s="9" t="e">
        <v>#N/A</v>
      </c>
      <c r="H744" s="9" t="e">
        <v>#N/A</v>
      </c>
      <c r="I744" s="9" t="e">
        <v>#N/A</v>
      </c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>
      <c r="A745" s="7" t="s">
        <v>792</v>
      </c>
      <c r="B745" s="9">
        <v>418150453208</v>
      </c>
      <c r="C745" s="8" t="s">
        <v>10</v>
      </c>
      <c r="D745" s="8" t="s">
        <v>25</v>
      </c>
      <c r="E745" s="8" t="s">
        <v>12</v>
      </c>
      <c r="F745" s="9">
        <v>2840</v>
      </c>
      <c r="G745" s="9" t="s">
        <v>831</v>
      </c>
      <c r="H745" s="9" t="s">
        <v>2298</v>
      </c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>
      <c r="A746" s="7" t="s">
        <v>793</v>
      </c>
      <c r="B746" s="9">
        <v>592102843710</v>
      </c>
      <c r="C746" s="9"/>
      <c r="D746" s="7" t="s">
        <v>63</v>
      </c>
      <c r="E746" s="8" t="s">
        <v>12</v>
      </c>
      <c r="F746" s="9">
        <v>2841</v>
      </c>
      <c r="G746" s="9" t="s">
        <v>1248</v>
      </c>
      <c r="H746" s="9" t="s">
        <v>2299</v>
      </c>
      <c r="I746" s="9">
        <v>1003571622</v>
      </c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>
      <c r="A747" s="7" t="s">
        <v>794</v>
      </c>
      <c r="B747" s="9">
        <v>653130960231</v>
      </c>
      <c r="C747" s="9"/>
      <c r="D747" s="7" t="s">
        <v>63</v>
      </c>
      <c r="E747" s="8" t="s">
        <v>12</v>
      </c>
      <c r="F747" s="9" t="e">
        <v>#N/A</v>
      </c>
      <c r="G747" s="9"/>
      <c r="H747" s="9" t="s">
        <v>2300</v>
      </c>
      <c r="I747" s="9" t="s">
        <v>2301</v>
      </c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>
      <c r="A748" s="7" t="s">
        <v>795</v>
      </c>
      <c r="B748" s="9">
        <v>127152579046</v>
      </c>
      <c r="C748" s="8" t="s">
        <v>85</v>
      </c>
      <c r="D748" s="8" t="s">
        <v>25</v>
      </c>
      <c r="E748" s="8" t="s">
        <v>12</v>
      </c>
      <c r="F748" s="9">
        <v>2842</v>
      </c>
      <c r="G748" s="9" t="s">
        <v>997</v>
      </c>
      <c r="H748" s="9" t="s">
        <v>2302</v>
      </c>
      <c r="I748" s="9" t="s">
        <v>2303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>
      <c r="A749" s="7" t="s">
        <v>796</v>
      </c>
      <c r="B749" s="9" t="e">
        <v>#N/A</v>
      </c>
      <c r="C749" s="9"/>
      <c r="D749" s="7" t="s">
        <v>63</v>
      </c>
      <c r="E749" s="8" t="s">
        <v>12</v>
      </c>
      <c r="F749" s="9" t="e">
        <v>#N/A</v>
      </c>
      <c r="G749" s="9" t="e">
        <v>#N/A</v>
      </c>
      <c r="H749" s="9" t="e">
        <v>#N/A</v>
      </c>
      <c r="I749" s="9" t="e">
        <v>#N/A</v>
      </c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>
      <c r="A750" s="7" t="s">
        <v>797</v>
      </c>
      <c r="B750" s="9" t="e">
        <v>#N/A</v>
      </c>
      <c r="C750" s="8" t="s">
        <v>301</v>
      </c>
      <c r="D750" s="8" t="s">
        <v>25</v>
      </c>
      <c r="E750" s="8" t="s">
        <v>12</v>
      </c>
      <c r="F750" s="9" t="e">
        <v>#N/A</v>
      </c>
      <c r="G750" s="9" t="e">
        <v>#N/A</v>
      </c>
      <c r="H750" s="9" t="e">
        <v>#N/A</v>
      </c>
      <c r="I750" s="9" t="e">
        <v>#N/A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>
      <c r="A751" s="7" t="s">
        <v>798</v>
      </c>
      <c r="B751" s="9" t="e">
        <v>#N/A</v>
      </c>
      <c r="C751" s="8" t="s">
        <v>301</v>
      </c>
      <c r="D751" s="8" t="s">
        <v>25</v>
      </c>
      <c r="E751" s="8" t="s">
        <v>12</v>
      </c>
      <c r="F751" s="9" t="e">
        <v>#N/A</v>
      </c>
      <c r="G751" s="9" t="e">
        <v>#N/A</v>
      </c>
      <c r="H751" s="9" t="e">
        <v>#N/A</v>
      </c>
      <c r="I751" s="9" t="e">
        <v>#N/A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>
      <c r="A752" s="7" t="s">
        <v>799</v>
      </c>
      <c r="B752" s="9" t="e">
        <v>#N/A</v>
      </c>
      <c r="C752" s="8" t="s">
        <v>301</v>
      </c>
      <c r="D752" s="8" t="s">
        <v>25</v>
      </c>
      <c r="E752" s="8" t="s">
        <v>12</v>
      </c>
      <c r="F752" s="9" t="e">
        <v>#N/A</v>
      </c>
      <c r="G752" s="9" t="e">
        <v>#N/A</v>
      </c>
      <c r="H752" s="9" t="e">
        <v>#N/A</v>
      </c>
      <c r="I752" s="9" t="e">
        <v>#N/A</v>
      </c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>
      <c r="A753" s="7" t="s">
        <v>800</v>
      </c>
      <c r="B753" s="9">
        <v>458108584108</v>
      </c>
      <c r="C753" s="8" t="s">
        <v>474</v>
      </c>
      <c r="D753" s="7" t="s">
        <v>801</v>
      </c>
      <c r="E753" s="8" t="s">
        <v>12</v>
      </c>
      <c r="F753" s="9">
        <v>2851</v>
      </c>
      <c r="G753" s="9" t="s">
        <v>2304</v>
      </c>
      <c r="H753" s="9" t="s">
        <v>2305</v>
      </c>
      <c r="I753" s="9" t="s">
        <v>2306</v>
      </c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>
      <c r="A754" s="7" t="s">
        <v>802</v>
      </c>
      <c r="B754" s="9" t="e">
        <v>#N/A</v>
      </c>
      <c r="C754" s="9"/>
      <c r="D754" s="8" t="s">
        <v>475</v>
      </c>
      <c r="E754" s="8" t="s">
        <v>182</v>
      </c>
      <c r="F754" s="9" t="e">
        <v>#N/A</v>
      </c>
      <c r="G754" s="9" t="e">
        <v>#N/A</v>
      </c>
      <c r="H754" s="9" t="e">
        <v>#N/A</v>
      </c>
      <c r="I754" s="9" t="e">
        <v>#N/A</v>
      </c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>
      <c r="A755" s="7" t="s">
        <v>803</v>
      </c>
      <c r="B755" s="9" t="e">
        <v>#N/A</v>
      </c>
      <c r="C755" s="8" t="s">
        <v>301</v>
      </c>
      <c r="D755" s="7" t="s">
        <v>201</v>
      </c>
      <c r="E755" s="8" t="s">
        <v>12</v>
      </c>
      <c r="F755" s="9" t="e">
        <v>#N/A</v>
      </c>
      <c r="G755" s="9" t="e">
        <v>#N/A</v>
      </c>
      <c r="H755" s="9" t="e">
        <v>#N/A</v>
      </c>
      <c r="I755" s="9" t="e">
        <v>#N/A</v>
      </c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>
      <c r="A756" s="7" t="s">
        <v>804</v>
      </c>
      <c r="B756" s="9">
        <v>362130914353</v>
      </c>
      <c r="C756" s="8" t="s">
        <v>85</v>
      </c>
      <c r="D756" s="8" t="s">
        <v>25</v>
      </c>
      <c r="E756" s="8" t="s">
        <v>12</v>
      </c>
      <c r="F756" s="9">
        <v>2852</v>
      </c>
      <c r="G756" s="9" t="s">
        <v>2307</v>
      </c>
      <c r="H756" s="9" t="s">
        <v>2308</v>
      </c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>
      <c r="A757" s="7" t="s">
        <v>805</v>
      </c>
      <c r="B757" s="9">
        <v>825149219294</v>
      </c>
      <c r="C757" s="8" t="s">
        <v>301</v>
      </c>
      <c r="D757" s="8" t="s">
        <v>170</v>
      </c>
      <c r="E757" s="8" t="s">
        <v>12</v>
      </c>
      <c r="F757" s="9">
        <v>2832</v>
      </c>
      <c r="G757" s="9" t="s">
        <v>1248</v>
      </c>
      <c r="H757" s="9" t="s">
        <v>2309</v>
      </c>
      <c r="I757" s="9" t="s">
        <v>2310</v>
      </c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>
      <c r="A758" s="7" t="s">
        <v>806</v>
      </c>
      <c r="B758" s="9" t="e">
        <v>#N/A</v>
      </c>
      <c r="C758" s="8" t="s">
        <v>301</v>
      </c>
      <c r="D758" s="7" t="s">
        <v>201</v>
      </c>
      <c r="E758" s="8" t="s">
        <v>12</v>
      </c>
      <c r="F758" s="9" t="e">
        <v>#N/A</v>
      </c>
      <c r="G758" s="9" t="e">
        <v>#N/A</v>
      </c>
      <c r="H758" s="9" t="e">
        <v>#N/A</v>
      </c>
      <c r="I758" s="9" t="e">
        <v>#N/A</v>
      </c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>
      <c r="A759" s="7" t="s">
        <v>807</v>
      </c>
      <c r="B759" s="9">
        <v>518178303713</v>
      </c>
      <c r="C759" s="8" t="s">
        <v>301</v>
      </c>
      <c r="D759" s="7" t="s">
        <v>69</v>
      </c>
      <c r="E759" s="8" t="s">
        <v>12</v>
      </c>
      <c r="F759" s="9">
        <v>2855</v>
      </c>
      <c r="G759" s="9" t="s">
        <v>1248</v>
      </c>
      <c r="H759" s="9" t="s">
        <v>2311</v>
      </c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>
      <c r="A760" s="7" t="s">
        <v>808</v>
      </c>
      <c r="B760" s="9" t="e">
        <v>#N/A</v>
      </c>
      <c r="C760" s="8" t="s">
        <v>85</v>
      </c>
      <c r="D760" s="7" t="s">
        <v>69</v>
      </c>
      <c r="E760" s="8" t="s">
        <v>12</v>
      </c>
      <c r="F760" s="9" t="e">
        <v>#N/A</v>
      </c>
      <c r="G760" s="9" t="e">
        <v>#N/A</v>
      </c>
      <c r="H760" s="9" t="e">
        <v>#N/A</v>
      </c>
      <c r="I760" s="9" t="e">
        <v>#N/A</v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>
      <c r="A761" s="7" t="s">
        <v>809</v>
      </c>
      <c r="B761" s="9" t="e">
        <v>#N/A</v>
      </c>
      <c r="C761" s="8" t="s">
        <v>301</v>
      </c>
      <c r="D761" s="8" t="s">
        <v>170</v>
      </c>
      <c r="E761" s="8" t="s">
        <v>12</v>
      </c>
      <c r="F761" s="9" t="e">
        <v>#N/A</v>
      </c>
      <c r="G761" s="9" t="e">
        <v>#N/A</v>
      </c>
      <c r="H761" s="9" t="e">
        <v>#N/A</v>
      </c>
      <c r="I761" s="9" t="e">
        <v>#N/A</v>
      </c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>
      <c r="A762" s="7" t="s">
        <v>810</v>
      </c>
      <c r="B762" s="9" t="e">
        <v>#N/A</v>
      </c>
      <c r="C762" s="8" t="s">
        <v>85</v>
      </c>
      <c r="D762" s="7" t="s">
        <v>201</v>
      </c>
      <c r="E762" s="8" t="s">
        <v>12</v>
      </c>
      <c r="F762" s="9" t="e">
        <v>#N/A</v>
      </c>
      <c r="G762" s="9" t="e">
        <v>#N/A</v>
      </c>
      <c r="H762" s="9" t="e">
        <v>#N/A</v>
      </c>
      <c r="I762" s="9" t="e">
        <v>#N/A</v>
      </c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>
      <c r="A763" s="7" t="s">
        <v>811</v>
      </c>
      <c r="B763" s="9">
        <v>123132713791</v>
      </c>
      <c r="C763" s="8" t="s">
        <v>85</v>
      </c>
      <c r="D763" s="7" t="s">
        <v>201</v>
      </c>
      <c r="E763" s="8" t="s">
        <v>12</v>
      </c>
      <c r="F763" s="9">
        <v>2853</v>
      </c>
      <c r="G763" s="9" t="s">
        <v>997</v>
      </c>
      <c r="H763" s="9" t="s">
        <v>2312</v>
      </c>
      <c r="I763" s="9">
        <v>1117321211</v>
      </c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>
      <c r="A764" s="7" t="s">
        <v>812</v>
      </c>
      <c r="B764" s="9">
        <v>375183747813</v>
      </c>
      <c r="C764" s="8" t="s">
        <v>10</v>
      </c>
      <c r="D764" s="7" t="s">
        <v>69</v>
      </c>
      <c r="E764" s="8" t="s">
        <v>12</v>
      </c>
      <c r="F764" s="9">
        <v>2857</v>
      </c>
      <c r="G764" s="9" t="s">
        <v>831</v>
      </c>
      <c r="H764" s="9" t="s">
        <v>2313</v>
      </c>
      <c r="I764" s="9" t="s">
        <v>2314</v>
      </c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>
      <c r="A765" s="7" t="s">
        <v>813</v>
      </c>
      <c r="B765" s="9" t="e">
        <v>#N/A</v>
      </c>
      <c r="C765" s="8" t="s">
        <v>85</v>
      </c>
      <c r="D765" s="8" t="s">
        <v>25</v>
      </c>
      <c r="E765" s="8" t="s">
        <v>12</v>
      </c>
      <c r="F765" s="9" t="e">
        <v>#N/A</v>
      </c>
      <c r="G765" s="9" t="e">
        <v>#N/A</v>
      </c>
      <c r="H765" s="9" t="e">
        <v>#N/A</v>
      </c>
      <c r="I765" s="9" t="e">
        <v>#N/A</v>
      </c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>
      <c r="A766" s="7" t="s">
        <v>814</v>
      </c>
      <c r="B766" s="9">
        <v>979127456161</v>
      </c>
      <c r="C766" s="8" t="s">
        <v>85</v>
      </c>
      <c r="D766" s="8" t="s">
        <v>170</v>
      </c>
      <c r="E766" s="8" t="s">
        <v>12</v>
      </c>
      <c r="F766" s="9">
        <v>2874</v>
      </c>
      <c r="G766" s="9" t="s">
        <v>827</v>
      </c>
      <c r="H766" s="9" t="s">
        <v>2315</v>
      </c>
      <c r="I766" s="9" t="s">
        <v>2316</v>
      </c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>
      <c r="A767" s="7" t="s">
        <v>815</v>
      </c>
      <c r="B767" s="9">
        <v>857187871618</v>
      </c>
      <c r="C767" s="8" t="s">
        <v>85</v>
      </c>
      <c r="D767" s="7" t="s">
        <v>63</v>
      </c>
      <c r="E767" s="8" t="s">
        <v>12</v>
      </c>
      <c r="F767" s="9">
        <v>2870</v>
      </c>
      <c r="G767" s="9" t="s">
        <v>997</v>
      </c>
      <c r="H767" s="9" t="s">
        <v>2317</v>
      </c>
      <c r="I767" s="9" t="s">
        <v>2318</v>
      </c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>
      <c r="A768" s="7" t="s">
        <v>816</v>
      </c>
      <c r="B768" s="9">
        <v>892131842437</v>
      </c>
      <c r="C768" s="8" t="s">
        <v>10</v>
      </c>
      <c r="D768" s="8" t="s">
        <v>47</v>
      </c>
      <c r="E768" s="8" t="s">
        <v>12</v>
      </c>
      <c r="F768" s="9">
        <v>2845</v>
      </c>
      <c r="G768" s="9" t="s">
        <v>831</v>
      </c>
      <c r="H768" s="9" t="s">
        <v>2319</v>
      </c>
      <c r="I768" s="9" t="s">
        <v>2320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>
      <c r="A769" s="7" t="s">
        <v>817</v>
      </c>
      <c r="B769" s="9" t="e">
        <v>#N/A</v>
      </c>
      <c r="C769" s="8" t="s">
        <v>10</v>
      </c>
      <c r="D769" s="7" t="s">
        <v>69</v>
      </c>
      <c r="E769" s="8" t="s">
        <v>12</v>
      </c>
      <c r="F769" s="9" t="e">
        <v>#N/A</v>
      </c>
      <c r="G769" s="9" t="e">
        <v>#N/A</v>
      </c>
      <c r="H769" s="9" t="e">
        <v>#N/A</v>
      </c>
      <c r="I769" s="9" t="e">
        <v>#N/A</v>
      </c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>
      <c r="A770" s="7" t="s">
        <v>818</v>
      </c>
      <c r="B770" s="9" t="e">
        <v>#N/A</v>
      </c>
      <c r="C770" s="8" t="s">
        <v>10</v>
      </c>
      <c r="D770" s="7" t="s">
        <v>69</v>
      </c>
      <c r="E770" s="8" t="s">
        <v>12</v>
      </c>
      <c r="F770" s="9" t="e">
        <v>#N/A</v>
      </c>
      <c r="G770" s="9" t="e">
        <v>#N/A</v>
      </c>
      <c r="H770" s="9" t="e">
        <v>#N/A</v>
      </c>
      <c r="I770" s="9" t="e">
        <v>#N/A</v>
      </c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>
      <c r="A771" s="7" t="s">
        <v>819</v>
      </c>
      <c r="B771" s="9" t="e">
        <v>#N/A</v>
      </c>
      <c r="C771" s="8" t="s">
        <v>474</v>
      </c>
      <c r="D771" s="8" t="s">
        <v>499</v>
      </c>
      <c r="E771" s="8" t="s">
        <v>668</v>
      </c>
      <c r="F771" s="9" t="e">
        <v>#N/A</v>
      </c>
      <c r="G771" s="9" t="e">
        <v>#N/A</v>
      </c>
      <c r="H771" s="9" t="e">
        <v>#N/A</v>
      </c>
      <c r="I771" s="9" t="e">
        <v>#N/A</v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>
      <c r="A772" s="7" t="s">
        <v>820</v>
      </c>
      <c r="B772" s="9" t="e">
        <v>#N/A</v>
      </c>
      <c r="C772" s="8" t="s">
        <v>85</v>
      </c>
      <c r="D772" s="7" t="s">
        <v>63</v>
      </c>
      <c r="E772" s="8" t="s">
        <v>668</v>
      </c>
      <c r="F772" s="9" t="e">
        <v>#N/A</v>
      </c>
      <c r="G772" s="9" t="e">
        <v>#N/A</v>
      </c>
      <c r="H772" s="9" t="e">
        <v>#N/A</v>
      </c>
      <c r="I772" s="9" t="e">
        <v>#N/A</v>
      </c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>
      <c r="A773" s="7" t="s">
        <v>821</v>
      </c>
      <c r="B773" s="9" t="e">
        <v>#N/A</v>
      </c>
      <c r="C773" s="8" t="s">
        <v>301</v>
      </c>
      <c r="D773" s="7" t="s">
        <v>69</v>
      </c>
      <c r="E773" s="8" t="s">
        <v>668</v>
      </c>
      <c r="F773" s="9" t="e">
        <v>#N/A</v>
      </c>
      <c r="G773" s="9" t="e">
        <v>#N/A</v>
      </c>
      <c r="H773" s="9" t="e">
        <v>#N/A</v>
      </c>
      <c r="I773" s="9" t="e">
        <v>#N/A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>
      <c r="A774" s="7" t="s">
        <v>822</v>
      </c>
      <c r="B774" s="9" t="e">
        <v>#N/A</v>
      </c>
      <c r="C774" s="8" t="s">
        <v>10</v>
      </c>
      <c r="D774" s="8" t="s">
        <v>25</v>
      </c>
      <c r="E774" s="8" t="s">
        <v>668</v>
      </c>
      <c r="F774" s="9" t="e">
        <v>#N/A</v>
      </c>
      <c r="G774" s="9" t="e">
        <v>#N/A</v>
      </c>
      <c r="H774" s="9" t="e">
        <v>#N/A</v>
      </c>
      <c r="I774" s="9" t="e">
        <v>#N/A</v>
      </c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>
      <c r="A775" s="7" t="s">
        <v>823</v>
      </c>
      <c r="B775" s="9" t="e">
        <v>#N/A</v>
      </c>
      <c r="C775" s="8" t="s">
        <v>301</v>
      </c>
      <c r="D775" s="7" t="s">
        <v>201</v>
      </c>
      <c r="E775" s="8" t="s">
        <v>668</v>
      </c>
      <c r="F775" s="9" t="e">
        <v>#N/A</v>
      </c>
      <c r="G775" s="9" t="e">
        <v>#N/A</v>
      </c>
      <c r="H775" s="9" t="e">
        <v>#N/A</v>
      </c>
      <c r="I775" s="9" t="e">
        <v>#N/A</v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>
      <c r="A776" s="7" t="s">
        <v>824</v>
      </c>
      <c r="B776" s="9" t="e">
        <v>#N/A</v>
      </c>
      <c r="C776" s="8" t="s">
        <v>85</v>
      </c>
      <c r="D776" s="7" t="s">
        <v>69</v>
      </c>
      <c r="E776" s="8" t="s">
        <v>668</v>
      </c>
      <c r="F776" s="9" t="e">
        <v>#N/A</v>
      </c>
      <c r="G776" s="9" t="e">
        <v>#N/A</v>
      </c>
      <c r="H776" s="9" t="e">
        <v>#N/A</v>
      </c>
      <c r="I776" s="9" t="e">
        <v>#N/A</v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>
      <c r="A777" s="7" t="s">
        <v>825</v>
      </c>
      <c r="B777" s="9" t="e">
        <v>#N/A</v>
      </c>
      <c r="C777" s="8" t="s">
        <v>301</v>
      </c>
      <c r="D777" s="7" t="s">
        <v>201</v>
      </c>
      <c r="E777" s="8" t="s">
        <v>668</v>
      </c>
      <c r="F777" s="9" t="e">
        <v>#N/A</v>
      </c>
      <c r="G777" s="9" t="e">
        <v>#N/A</v>
      </c>
      <c r="H777" s="9" t="e">
        <v>#N/A</v>
      </c>
      <c r="I777" s="9" t="e">
        <v>#N/A</v>
      </c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>
      <c r="A778" s="7" t="s">
        <v>826</v>
      </c>
      <c r="B778" s="9" t="e">
        <v>#N/A</v>
      </c>
      <c r="C778" s="8" t="s">
        <v>301</v>
      </c>
      <c r="D778" s="7" t="s">
        <v>69</v>
      </c>
      <c r="E778" s="8" t="s">
        <v>668</v>
      </c>
      <c r="F778" s="9" t="e">
        <v>#N/A</v>
      </c>
      <c r="G778" s="9" t="e">
        <v>#N/A</v>
      </c>
      <c r="H778" s="9" t="e">
        <v>#N/A</v>
      </c>
      <c r="I778" s="9" t="e">
        <v>#N/A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spans="1:26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spans="1:26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spans="1:26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spans="1:26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spans="1:26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spans="1:26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spans="1:26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spans="1:26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spans="1:26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spans="1:2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spans="1:26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spans="1:26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spans="1:26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spans="1:26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spans="1:26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spans="1:26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spans="1:26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spans="1:26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spans="1:26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spans="1: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spans="1:26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spans="1:26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spans="1:26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spans="1:26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spans="1:26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spans="1:26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spans="1:26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spans="1:26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spans="1:26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spans="1:2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spans="1:26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spans="1:26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spans="1:26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spans="1:26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spans="1:26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spans="1:26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spans="1:26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spans="1:26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spans="1:26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spans="1:2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spans="1:26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spans="1:26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spans="1:26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spans="1:26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spans="1:26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spans="1:26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spans="1:26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spans="1:26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spans="1:26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spans="1:2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spans="1:26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spans="1:26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spans="1:26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spans="1:26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spans="1:26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spans="1:26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spans="1:26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spans="1:26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spans="1:26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spans="1:2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spans="1:26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spans="1:26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spans="1:26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spans="1:26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spans="1:26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spans="1:26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spans="1:26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spans="1:26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spans="1:26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spans="1:2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spans="1:26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spans="1:26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spans="1:26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spans="1:26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spans="1:26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spans="1:26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spans="1:26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spans="1:26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spans="1:26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spans="1:2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spans="1:26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spans="1:26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spans="1:26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spans="1:26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spans="1:26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spans="1:26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spans="1:26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spans="1:26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spans="1:26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spans="1:26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spans="1:26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spans="1:26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spans="1:26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spans="1:26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spans="1:26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spans="1:26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spans="1:26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spans="1:26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spans="1:26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spans="1:26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spans="1:26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spans="1:26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spans="1:26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spans="1:26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spans="1:26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spans="1:26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spans="1:26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spans="1:26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spans="1:26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spans="1:26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spans="1:26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spans="1:26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spans="1:26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spans="1:26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spans="1:26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spans="1:26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spans="1:26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spans="1:26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spans="1:26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spans="1:26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spans="1:26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spans="1:26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spans="1:26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spans="1:26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spans="1:26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spans="1:26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spans="1:26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spans="1:26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spans="1:26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spans="1:26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spans="1:26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spans="1:26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spans="1:26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spans="1:26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spans="1:26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spans="1:26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spans="1:26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spans="1:26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spans="1:26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spans="1:26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spans="1:26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spans="1:26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spans="1:26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spans="1:26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spans="1:26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spans="1:26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spans="1:26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spans="1:26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spans="1:26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spans="1:26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spans="1:26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spans="1:26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spans="1:26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spans="1:26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spans="1:26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spans="1:26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spans="1:26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spans="1:26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spans="1:26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spans="1:26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spans="1:26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spans="1:26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spans="1:26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spans="1:26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spans="1:26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spans="1:26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spans="1:26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spans="1:26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spans="1:26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spans="1:26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spans="1:26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spans="1:26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spans="1:26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spans="1:26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spans="1:26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spans="1:26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spans="1:26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spans="1:26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spans="1:26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spans="1:26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spans="1:26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spans="1:26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spans="1:26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spans="1:26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spans="1:26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spans="1:26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spans="1:26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spans="1:26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spans="1:26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spans="1:26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spans="1:26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spans="1:26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spans="1:26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spans="1:26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spans="1:26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spans="1:26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spans="1:26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spans="1:26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spans="1:26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spans="1:26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spans="1:26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spans="1:26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spans="1:26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spans="1:26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spans="1:26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spans="1:26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spans="1:26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spans="1:26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spans="1:26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spans="1:26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spans="1:26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spans="1:26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spans="1:26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spans="1:26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spans="1:26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spans="1:26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spans="1:26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spans="1:26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spans="1:26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spans="1:26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spans="1:26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spans="1:26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spans="1:26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spans="1:26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spans="1:26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spans="1:26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spans="1:26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spans="1:26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spans="1:26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spans="1:26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spans="1:26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spans="1:26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spans="1:26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spans="1:26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spans="1:26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spans="1:26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spans="1:26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spans="1:26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spans="1:26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spans="1:26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spans="1:26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spans="1:26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spans="1:26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spans="1:26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spans="1:26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spans="1:26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spans="1:26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spans="1:26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spans="1:26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spans="1:26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spans="1:26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spans="1:26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spans="1:26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spans="1:26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spans="1:26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spans="1:26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spans="1:26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spans="1:26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spans="1:26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spans="1:26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spans="1:26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spans="1:26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spans="1:26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spans="1:26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spans="1:26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spans="1:26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spans="1:26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spans="1:26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spans="1:26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spans="1:26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spans="1:26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spans="1:26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spans="1:26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spans="1:26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spans="1:26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spans="1:26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spans="1:26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spans="1:26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spans="1:26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spans="1:26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spans="1:26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spans="1:26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spans="1:26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spans="1:26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spans="1:26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spans="1:26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spans="1:26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spans="1:26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spans="1:26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spans="1:26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spans="1:26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spans="1:26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spans="1:26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spans="1:26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spans="1:26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spans="1:26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spans="1:26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spans="1:26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spans="1:26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spans="1:26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spans="1:26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spans="1:26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spans="1:26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spans="1:26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spans="1:26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spans="1:26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spans="1:26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spans="1:26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spans="1:26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spans="1:26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spans="1:26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spans="1:26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spans="1:26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spans="1:26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spans="1:26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spans="1:26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spans="1:26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spans="1:26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spans="1:26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spans="1:26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spans="1:26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spans="1:26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spans="1:26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spans="1:26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spans="1:26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spans="1:26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spans="1:26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spans="1:26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spans="1:26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spans="1:26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spans="1:26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spans="1:26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spans="1:26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spans="1:26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spans="1:26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spans="1:26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spans="1:26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spans="1:26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spans="1:26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spans="1:26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spans="1:26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spans="1:26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spans="1:26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spans="1:26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spans="1:26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spans="1:26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spans="1:26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spans="1:26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spans="1:26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spans="1:26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spans="1:26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spans="1:26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spans="1:26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spans="1:26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spans="1:26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spans="1:26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spans="1:26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spans="1:26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spans="1:26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spans="1:26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spans="1:26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spans="1:26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spans="1:26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spans="1:26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spans="1:26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spans="1:26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spans="1:26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spans="1:26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spans="1:26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spans="1:26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spans="1:26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spans="1:26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spans="1:26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spans="1:26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spans="1:26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spans="1:26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spans="1:26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spans="1:26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spans="1:26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spans="1:26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spans="1:26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spans="1:26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spans="1:26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spans="1:26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spans="1:26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spans="1:26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spans="1:26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spans="1:26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spans="1:26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spans="1:26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spans="1:26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spans="1:26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spans="1:26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spans="1:26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spans="1:26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spans="1:26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spans="1:26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 spans="1:26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 spans="1:26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 spans="1:26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 spans="1:26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 spans="1:26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 spans="1:26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 spans="1:26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 spans="1:26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 spans="1:26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 spans="1:26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 spans="1:26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 spans="1:26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 spans="1:26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 spans="1:26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 spans="1:26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 spans="1:26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 spans="1:26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 spans="1:26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 spans="1:26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 spans="1:26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 spans="1:26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 spans="1:26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 spans="1:26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 spans="1:26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 spans="1:26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 spans="1:26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 spans="1:26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 spans="1:26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 spans="1:26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 spans="1:26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 spans="1:26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 spans="1:26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 spans="1:26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 spans="1:26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 spans="1:26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 spans="1:26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 spans="1:26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 spans="1:26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 spans="1:26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 spans="1:26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 spans="1:26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 spans="1:26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 spans="1:26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 spans="1:26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 spans="1:26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 spans="1:26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 spans="1:26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 spans="1:26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 spans="1:26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 spans="1:26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 spans="1:26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 spans="1:26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 spans="1:26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 spans="1:26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 spans="1:26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 spans="1:26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 spans="1:26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 spans="1:26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 spans="1:26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 spans="1:26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 spans="1:26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 spans="1:26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 spans="1:26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 spans="1:26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 spans="1:26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 spans="1:26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 spans="1:26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 spans="1:26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 spans="1:26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 spans="1:26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 spans="1:26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 spans="1:26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 spans="1:26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 spans="1:26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 spans="1:26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 spans="1:26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 spans="1:26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 spans="1:26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 spans="1:26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 spans="1:26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 spans="1:26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 spans="1:26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 spans="1:26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 spans="1:26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 spans="1:26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 spans="1:26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 spans="1:26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 spans="1:26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 spans="1:26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 spans="1:26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 spans="1:26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 spans="1:26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 spans="1:26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 spans="1:26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 spans="1:26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 spans="1:26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 spans="1:26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 spans="1:26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 spans="1:26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 spans="1:26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 spans="1:26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 spans="1:26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 spans="1:26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 spans="1:26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 spans="1:26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 spans="1:26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 spans="1:26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 spans="1:26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 spans="1:26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 spans="1:26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 spans="1:26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 spans="1:26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 spans="1:26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 spans="1:26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 spans="1:26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 spans="1:26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 spans="1:26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 spans="1:26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 spans="1:26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 spans="1:26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 spans="1:26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 spans="1:26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 spans="1:26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 spans="1:26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 spans="1:26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 spans="1:26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 spans="1:26">
      <c r="A1530" s="9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 spans="1:26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 spans="1:26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 spans="1:26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 spans="1:26">
      <c r="A1534" s="9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 spans="1:26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 spans="1:26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 spans="1:26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 spans="1:26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 spans="1:26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 spans="1:26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 spans="1:26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 spans="1:26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 spans="1:26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 spans="1:26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 spans="1:26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 spans="1:26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 spans="1:26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 spans="1:26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 spans="1:26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 spans="1:26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 spans="1:26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 spans="1:26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 spans="1:26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 spans="1:26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 spans="1:26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 spans="1:26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 spans="1:26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 spans="1:26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 spans="1:26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 spans="1:26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 spans="1:26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 spans="1:26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 spans="1:26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 spans="1:26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 spans="1:26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 spans="1:26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 spans="1:26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 spans="1:26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 spans="1:26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 spans="1:26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 spans="1:26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 spans="1:26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 spans="1:26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 spans="1:26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 spans="1:26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 spans="1:26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 spans="1:26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 spans="1:26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 spans="1:26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 spans="1:26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 spans="1:26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 spans="1:26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 spans="1:26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 spans="1:26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 spans="1:26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 spans="1:26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 spans="1:26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 spans="1:26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 spans="1:26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 spans="1:26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 spans="1:26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 spans="1:26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 spans="1:26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 spans="1:26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 spans="1:26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 spans="1:26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 spans="1:26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 spans="1:26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 spans="1:26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 spans="1:26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 spans="1:26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 spans="1:26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 spans="1:26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5" max="5" width="34.85546875" customWidth="1"/>
    <col min="6" max="6" width="26.28515625" customWidth="1"/>
  </cols>
  <sheetData>
    <row r="1" spans="1:26">
      <c r="A1" s="11" t="str">
        <f ca="1">IFERROR(__xludf.DUMMYFUNCTION("IMPORTRANGE(""https://docs.google.com/spreadsheets/d/196Silsrf5-pGVgMAh12IsxqLLk10J-5WvEmb-v-qEgc/edit?pli=1&amp;gid=91105518#gid=91105518"", ""Tutors Data!B:B"")"),"Tutor Name")</f>
        <v>Tutor Name</v>
      </c>
      <c r="B1" s="11" t="str">
        <f ca="1">IFERROR(__xludf.DUMMYFUNCTION("IMPORTRANGE(""https://docs.google.com/spreadsheets/d/196Silsrf5-pGVgMAh12IsxqLLk10J-5WvEmb-v-qEgc/edit?pli=1&amp;gid=91105518#gid=91105518"", ""Tutors Data!a:a"")"),"Tutor ID")</f>
        <v>Tutor ID</v>
      </c>
      <c r="C1" s="11" t="str">
        <f ca="1">IFERROR(__xludf.DUMMYFUNCTION("IMPORTRANGE(""https://docs.google.com/spreadsheets/d/196Silsrf5-pGVgMAh12IsxqLLk10J-5WvEmb-v-qEgc/edit?pli=1&amp;gid=91105518#gid=91105518"", ""Tutors Data!B:B"")"),"Tutor Name")</f>
        <v>Tutor Name</v>
      </c>
      <c r="D1" s="11" t="str">
        <f ca="1">IFERROR(__xludf.DUMMYFUNCTION("IMPORTRANGE(""https://docs.google.com/spreadsheets/d/196Silsrf5-pGVgMAh12IsxqLLk10J-5WvEmb-v-qEgc/edit?pli=1&amp;gid=91105518#gid=91105518"", ""Tutors Data!d:d"")"),"HR ID")</f>
        <v>HR ID</v>
      </c>
      <c r="E1" s="2" t="str">
        <f ca="1">IFERROR(__xludf.DUMMYFUNCTION("IMPORTRANGE(""https://docs.google.com/spreadsheets/d/196Silsrf5-pGVgMAh12IsxqLLk10J-5WvEmb-v-qEgc/edit?pli=1&amp;gid=91105518#gid=91105518"", ""Tutors Data!g:g"")"),"Stage")</f>
        <v>Stage</v>
      </c>
      <c r="F1" s="2" t="str">
        <f ca="1">IFERROR(__xludf.DUMMYFUNCTION("IMPORTRANGE(""https://docs.google.com/spreadsheets/d/196Silsrf5-pGVgMAh12IsxqLLk10J-5WvEmb-v-qEgc/edit?pli=1&amp;gid=91105518#gid=91105518"", ""Tutors Data!h:i"")"),"email")</f>
        <v>email</v>
      </c>
      <c r="G1" s="2" t="str">
        <f ca="1">IFERROR(__xludf.DUMMYFUNCTION("""COMPUTED_VALUE"""),"Mobile Number")</f>
        <v>Mobile Number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tr">
        <f ca="1">IFERROR(__xludf.DUMMYFUNCTION("""COMPUTED_VALUE"""),"أحمد حاتم")</f>
        <v>أحمد حاتم</v>
      </c>
      <c r="B2" s="2">
        <f ca="1">IFERROR(__xludf.DUMMYFUNCTION("""COMPUTED_VALUE"""),179169073012)</f>
        <v>179169073012</v>
      </c>
      <c r="C2" s="2" t="str">
        <f ca="1">IFERROR(__xludf.DUMMYFUNCTION("""COMPUTED_VALUE"""),"أحمد حاتم")</f>
        <v>أحمد حاتم</v>
      </c>
      <c r="D2" s="4" t="str">
        <f ca="1">IFERROR(__xludf.DUMMYFUNCTION("""COMPUTED_VALUE"""),"888")</f>
        <v>888</v>
      </c>
      <c r="E2" s="2"/>
      <c r="F2" s="2" t="str">
        <f ca="1">IFERROR(__xludf.DUMMYFUNCTION("""COMPUTED_VALUE"""),"ahmed.hatem@nagwa.com")</f>
        <v>ahmed.hatem@nagwa.com</v>
      </c>
      <c r="G2" s="2">
        <f ca="1">IFERROR(__xludf.DUMMYFUNCTION("""COMPUTED_VALUE"""),201156629949)</f>
        <v>201156629949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tr">
        <f ca="1">IFERROR(__xludf.DUMMYFUNCTION("""COMPUTED_VALUE"""),"مازن جاد")</f>
        <v>مازن جاد</v>
      </c>
      <c r="B3" s="2">
        <f ca="1">IFERROR(__xludf.DUMMYFUNCTION("""COMPUTED_VALUE"""),452123973904)</f>
        <v>452123973904</v>
      </c>
      <c r="C3" s="2" t="str">
        <f ca="1">IFERROR(__xludf.DUMMYFUNCTION("""COMPUTED_VALUE"""),"مازن جاد")</f>
        <v>مازن جاد</v>
      </c>
      <c r="D3" s="4" t="str">
        <f ca="1">IFERROR(__xludf.DUMMYFUNCTION("""COMPUTED_VALUE"""),"1330")</f>
        <v>1330</v>
      </c>
      <c r="E3" s="2"/>
      <c r="F3" s="2" t="str">
        <f ca="1">IFERROR(__xludf.DUMMYFUNCTION("""COMPUTED_VALUE"""),"s-mazenhafez@zewailcity.edu.eg")</f>
        <v>s-mazenhafez@zewailcity.edu.eg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tr">
        <f ca="1">IFERROR(__xludf.DUMMYFUNCTION("""COMPUTED_VALUE"""),"ربيع الدوحة")</f>
        <v>ربيع الدوحة</v>
      </c>
      <c r="B4" s="2">
        <f ca="1">IFERROR(__xludf.DUMMYFUNCTION("""COMPUTED_VALUE"""),656179636850)</f>
        <v>656179636850</v>
      </c>
      <c r="C4" s="2" t="str">
        <f ca="1">IFERROR(__xludf.DUMMYFUNCTION("""COMPUTED_VALUE"""),"ربيع الدوحة")</f>
        <v>ربيع الدوحة</v>
      </c>
      <c r="D4" s="4" t="str">
        <f ca="1">IFERROR(__xludf.DUMMYFUNCTION("""COMPUTED_VALUE"""),"110")</f>
        <v>110</v>
      </c>
      <c r="E4" s="2" t="str">
        <f ca="1">IFERROR(__xludf.DUMMYFUNCTION("""COMPUTED_VALUE"""),"EG07-EG08-EG09-EG10-EG11-EG12")</f>
        <v>EG07-EG08-EG09-EG10-EG11-EG12</v>
      </c>
      <c r="F4" s="2" t="str">
        <f ca="1">IFERROR(__xludf.DUMMYFUNCTION("""COMPUTED_VALUE"""),"rabeeelshaer1@gmail.com")</f>
        <v>rabeeelshaer1@gmail.com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tr">
        <f ca="1">IFERROR(__xludf.DUMMYFUNCTION("""COMPUTED_VALUE"""),"رضا جبريل")</f>
        <v>رضا جبريل</v>
      </c>
      <c r="B5" s="2">
        <f ca="1">IFERROR(__xludf.DUMMYFUNCTION("""COMPUTED_VALUE"""),198159430149)</f>
        <v>198159430149</v>
      </c>
      <c r="C5" s="2" t="str">
        <f ca="1">IFERROR(__xludf.DUMMYFUNCTION("""COMPUTED_VALUE"""),"رضا جبريل")</f>
        <v>رضا جبريل</v>
      </c>
      <c r="D5" s="4" t="str">
        <f ca="1">IFERROR(__xludf.DUMMYFUNCTION("""COMPUTED_VALUE"""),"1083")</f>
        <v>1083</v>
      </c>
      <c r="E5" s="2" t="str">
        <f ca="1">IFERROR(__xludf.DUMMYFUNCTION("""COMPUTED_VALUE"""),"EG10-EG11-EG12")</f>
        <v>EG10-EG11-EG12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tr">
        <f ca="1">IFERROR(__xludf.DUMMYFUNCTION("""COMPUTED_VALUE"""),"عبير فؤاد")</f>
        <v>عبير فؤاد</v>
      </c>
      <c r="B6" s="2">
        <f ca="1">IFERROR(__xludf.DUMMYFUNCTION("""COMPUTED_VALUE"""),893170457017)</f>
        <v>893170457017</v>
      </c>
      <c r="C6" s="2" t="str">
        <f ca="1">IFERROR(__xludf.DUMMYFUNCTION("""COMPUTED_VALUE"""),"عبير فؤاد")</f>
        <v>عبير فؤاد</v>
      </c>
      <c r="D6" s="4" t="str">
        <f ca="1">IFERROR(__xludf.DUMMYFUNCTION("""COMPUTED_VALUE"""),"1245")</f>
        <v>1245</v>
      </c>
      <c r="E6" s="2"/>
      <c r="F6" s="2" t="str">
        <f ca="1">IFERROR(__xludf.DUMMYFUNCTION("""COMPUTED_VALUE"""),"abeer.fouad@nagwa.com")</f>
        <v>abeer.fouad@nagwa.com</v>
      </c>
      <c r="G6" s="2">
        <f ca="1">IFERROR(__xludf.DUMMYFUNCTION("""COMPUTED_VALUE"""),201090406534)</f>
        <v>201090406534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tr">
        <f ca="1">IFERROR(__xludf.DUMMYFUNCTION("""COMPUTED_VALUE"""),"عبد الله معين")</f>
        <v>عبد الله معين</v>
      </c>
      <c r="B7" s="2">
        <f ca="1">IFERROR(__xludf.DUMMYFUNCTION("""COMPUTED_VALUE"""),130151805637)</f>
        <v>130151805637</v>
      </c>
      <c r="C7" s="2" t="str">
        <f ca="1">IFERROR(__xludf.DUMMYFUNCTION("""COMPUTED_VALUE"""),"عبد الله معين")</f>
        <v>عبد الله معين</v>
      </c>
      <c r="D7" s="4" t="str">
        <f ca="1">IFERROR(__xludf.DUMMYFUNCTION("""COMPUTED_VALUE"""),"145")</f>
        <v>145</v>
      </c>
      <c r="E7" s="2" t="str">
        <f ca="1">IFERROR(__xludf.DUMMYFUNCTION("""COMPUTED_VALUE"""),"EG04-EG05-EG06-EG07-EG08-EG09-EG10-EG11-EG12")</f>
        <v>EG04-EG05-EG06-EG07-EG08-EG09-EG10-EG11-EG12</v>
      </c>
      <c r="F7" s="2" t="str">
        <f ca="1">IFERROR(__xludf.DUMMYFUNCTION("""COMPUTED_VALUE"""),"abdallah.moeenn@gmail.com")</f>
        <v>abdallah.moeenn@gmail.com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tr">
        <f ca="1">IFERROR(__xludf.DUMMYFUNCTION("""COMPUTED_VALUE"""),"محمد البدساوي")</f>
        <v>محمد البدساوي</v>
      </c>
      <c r="B8" s="2">
        <f ca="1">IFERROR(__xludf.DUMMYFUNCTION("""COMPUTED_VALUE"""),143165762069)</f>
        <v>143165762069</v>
      </c>
      <c r="C8" s="2" t="str">
        <f ca="1">IFERROR(__xludf.DUMMYFUNCTION("""COMPUTED_VALUE"""),"محمد البدساوي")</f>
        <v>محمد البدساوي</v>
      </c>
      <c r="D8" s="4" t="str">
        <f ca="1">IFERROR(__xludf.DUMMYFUNCTION("""COMPUTED_VALUE"""),"737")</f>
        <v>737</v>
      </c>
      <c r="E8" s="2" t="str">
        <f ca="1">IFERROR(__xludf.DUMMYFUNCTION("""COMPUTED_VALUE"""),"EG04-EG05-EG06-EG07-EG08-EG09-EG10-EG11-EG12")</f>
        <v>EG04-EG05-EG06-EG07-EG08-EG09-EG10-EG11-EG12</v>
      </c>
      <c r="F8" s="2" t="str">
        <f ca="1">IFERROR(__xludf.DUMMYFUNCTION("""COMPUTED_VALUE"""),"mohamed.eid@nagwa.com")</f>
        <v>mohamed.eid@nagwa.com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tr">
        <f ca="1">IFERROR(__xludf.DUMMYFUNCTION("""COMPUTED_VALUE"""),"محمد إسماعيل")</f>
        <v>محمد إسماعيل</v>
      </c>
      <c r="B9" s="2">
        <f ca="1">IFERROR(__xludf.DUMMYFUNCTION("""COMPUTED_VALUE"""),906184953437)</f>
        <v>906184953437</v>
      </c>
      <c r="C9" s="2" t="str">
        <f ca="1">IFERROR(__xludf.DUMMYFUNCTION("""COMPUTED_VALUE"""),"محمد إسماعيل")</f>
        <v>محمد إسماعيل</v>
      </c>
      <c r="D9" s="4" t="str">
        <f ca="1">IFERROR(__xludf.DUMMYFUNCTION("""COMPUTED_VALUE"""),"1763")</f>
        <v>1763</v>
      </c>
      <c r="E9" s="2"/>
      <c r="F9" s="2" t="str">
        <f ca="1">IFERROR(__xludf.DUMMYFUNCTION("""COMPUTED_VALUE"""),"ismailm1989@gmail.com")</f>
        <v>ismailm1989@gmail.com</v>
      </c>
      <c r="G9" s="2">
        <f ca="1">IFERROR(__xludf.DUMMYFUNCTION("""COMPUTED_VALUE"""),201129525491)</f>
        <v>201129525491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tr">
        <f ca="1">IFERROR(__xludf.DUMMYFUNCTION("""COMPUTED_VALUE"""),"عمرو خطاب")</f>
        <v>عمرو خطاب</v>
      </c>
      <c r="B10" s="2">
        <f ca="1">IFERROR(__xludf.DUMMYFUNCTION("""COMPUTED_VALUE"""),159150394389)</f>
        <v>159150394389</v>
      </c>
      <c r="C10" s="2" t="str">
        <f ca="1">IFERROR(__xludf.DUMMYFUNCTION("""COMPUTED_VALUE"""),"عمرو خطاب")</f>
        <v>عمرو خطاب</v>
      </c>
      <c r="D10" s="4" t="str">
        <f ca="1">IFERROR(__xludf.DUMMYFUNCTION("""COMPUTED_VALUE"""),"443")</f>
        <v>443</v>
      </c>
      <c r="E10" s="2"/>
      <c r="F10" s="2" t="str">
        <f ca="1">IFERROR(__xludf.DUMMYFUNCTION("""COMPUTED_VALUE"""),"amr.khattab@nagwa.com")</f>
        <v>amr.khattab@nagwa.com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tr">
        <f ca="1">IFERROR(__xludf.DUMMYFUNCTION("""COMPUTED_VALUE"""),"حسين مصطفى")</f>
        <v>حسين مصطفى</v>
      </c>
      <c r="B11" s="2">
        <f ca="1">IFERROR(__xludf.DUMMYFUNCTION("""COMPUTED_VALUE"""),467134069813)</f>
        <v>467134069813</v>
      </c>
      <c r="C11" s="2" t="str">
        <f ca="1">IFERROR(__xludf.DUMMYFUNCTION("""COMPUTED_VALUE"""),"حسين مصطفى")</f>
        <v>حسين مصطفى</v>
      </c>
      <c r="D11" s="4" t="str">
        <f ca="1">IFERROR(__xludf.DUMMYFUNCTION("""COMPUTED_VALUE"""),"1127")</f>
        <v>1127</v>
      </c>
      <c r="E11" s="2" t="str">
        <f ca="1">IFERROR(__xludf.DUMMYFUNCTION("""COMPUTED_VALUE"""),"EG04-EG05-EG06-EG07-EG08-EG09-EG10-EG11-EG12")</f>
        <v>EG04-EG05-EG06-EG07-EG08-EG09-EG10-EG11-EG12</v>
      </c>
      <c r="F11" s="2" t="str">
        <f ca="1">IFERROR(__xludf.DUMMYFUNCTION("""COMPUTED_VALUE"""),"hussein.mostafa@nagwa.com")</f>
        <v>hussein.mostafa@nagwa.com</v>
      </c>
      <c r="G11" s="2">
        <f ca="1">IFERROR(__xludf.DUMMYFUNCTION("""COMPUTED_VALUE"""),201091050146)</f>
        <v>201091050146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tr">
        <f ca="1">IFERROR(__xludf.DUMMYFUNCTION("""COMPUTED_VALUE"""),"علياء مكاوي")</f>
        <v>علياء مكاوي</v>
      </c>
      <c r="B12" s="2">
        <f ca="1">IFERROR(__xludf.DUMMYFUNCTION("""COMPUTED_VALUE"""),615158327698)</f>
        <v>615158327698</v>
      </c>
      <c r="C12" s="2" t="str">
        <f ca="1">IFERROR(__xludf.DUMMYFUNCTION("""COMPUTED_VALUE"""),"علياء مكاوي")</f>
        <v>علياء مكاوي</v>
      </c>
      <c r="D12" s="2" t="str">
        <f ca="1">IFERROR(__xludf.DUMMYFUNCTION("""COMPUTED_VALUE"""),"1471")</f>
        <v>1471</v>
      </c>
      <c r="E12" s="2" t="str">
        <f ca="1">IFERROR(__xludf.DUMMYFUNCTION("""COMPUTED_VALUE"""),"EG04-EG05-EG06-EG07-EG08-EG09")</f>
        <v>EG04-EG05-EG06-EG07-EG08-EG09</v>
      </c>
      <c r="F12" s="2" t="str">
        <f ca="1">IFERROR(__xludf.DUMMYFUNCTION("""COMPUTED_VALUE"""),"aliaa.makkawy@nagwa.com")</f>
        <v>aliaa.makkawy@nagwa.com</v>
      </c>
      <c r="G12" s="2">
        <f ca="1">IFERROR(__xludf.DUMMYFUNCTION("""COMPUTED_VALUE"""),201063570903)</f>
        <v>201063570903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tr">
        <f ca="1">IFERROR(__xludf.DUMMYFUNCTION("""COMPUTED_VALUE"""),"زينة الشيخ")</f>
        <v>زينة الشيخ</v>
      </c>
      <c r="B13" s="2">
        <f ca="1">IFERROR(__xludf.DUMMYFUNCTION("""COMPUTED_VALUE"""),632164034291)</f>
        <v>632164034291</v>
      </c>
      <c r="C13" s="2" t="str">
        <f ca="1">IFERROR(__xludf.DUMMYFUNCTION("""COMPUTED_VALUE"""),"زينة الشيخ")</f>
        <v>زينة الشيخ</v>
      </c>
      <c r="D13" s="4" t="str">
        <f ca="1">IFERROR(__xludf.DUMMYFUNCTION("""COMPUTED_VALUE"""),"1004")</f>
        <v>1004</v>
      </c>
      <c r="E13" s="2" t="str">
        <f ca="1">IFERROR(__xludf.DUMMYFUNCTION("""COMPUTED_VALUE"""),"EG04-EG05-EG06-EG07-EG08-EG09")</f>
        <v>EG04-EG05-EG06-EG07-EG08-EG09</v>
      </c>
      <c r="F13" s="2" t="str">
        <f ca="1">IFERROR(__xludf.DUMMYFUNCTION("""COMPUTED_VALUE"""),"zeina.elsheikh@nagwa.com")</f>
        <v>zeina.elsheikh@nagwa.com</v>
      </c>
      <c r="G13" s="2" t="str">
        <f ca="1">IFERROR(__xludf.DUMMYFUNCTION("""COMPUTED_VALUE"""),"01097890222")</f>
        <v>01097890222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tr">
        <f ca="1">IFERROR(__xludf.DUMMYFUNCTION("""COMPUTED_VALUE"""),"إسلام محمد")</f>
        <v>إسلام محمد</v>
      </c>
      <c r="B14" s="2">
        <f ca="1">IFERROR(__xludf.DUMMYFUNCTION("""COMPUTED_VALUE"""),170181505929)</f>
        <v>170181505929</v>
      </c>
      <c r="C14" s="2" t="str">
        <f ca="1">IFERROR(__xludf.DUMMYFUNCTION("""COMPUTED_VALUE"""),"إسلام محمد")</f>
        <v>إسلام محمد</v>
      </c>
      <c r="D14" s="4" t="str">
        <f ca="1">IFERROR(__xludf.DUMMYFUNCTION("""COMPUTED_VALUE"""),"1647")</f>
        <v>1647</v>
      </c>
      <c r="E14" s="2"/>
      <c r="F14" s="2" t="str">
        <f ca="1">IFERROR(__xludf.DUMMYFUNCTION("""COMPUTED_VALUE"""),"eslam.mohamed@nagwa.com")</f>
        <v>eslam.mohamed@nagwa.com</v>
      </c>
      <c r="G14" s="2" t="str">
        <f ca="1">IFERROR(__xludf.DUMMYFUNCTION("""COMPUTED_VALUE"""),"01097158020")</f>
        <v>01097158020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tr">
        <f ca="1">IFERROR(__xludf.DUMMYFUNCTION("""COMPUTED_VALUE"""),"محمد رفعت")</f>
        <v>محمد رفعت</v>
      </c>
      <c r="B15" s="2">
        <f ca="1">IFERROR(__xludf.DUMMYFUNCTION("""COMPUTED_VALUE"""),698108096794)</f>
        <v>698108096794</v>
      </c>
      <c r="C15" s="2" t="str">
        <f ca="1">IFERROR(__xludf.DUMMYFUNCTION("""COMPUTED_VALUE"""),"محمد رفعت")</f>
        <v>محمد رفعت</v>
      </c>
      <c r="D15" s="4" t="str">
        <f ca="1">IFERROR(__xludf.DUMMYFUNCTION("""COMPUTED_VALUE"""),"1776")</f>
        <v>1776</v>
      </c>
      <c r="E15" s="2"/>
      <c r="F15" s="2" t="str">
        <f ca="1">IFERROR(__xludf.DUMMYFUNCTION("""COMPUTED_VALUE"""),"seniormaths25@gmail.com")</f>
        <v>seniormaths25@gmail.com</v>
      </c>
      <c r="G15" s="2" t="str">
        <f ca="1">IFERROR(__xludf.DUMMYFUNCTION("""COMPUTED_VALUE"""),"01129242524")</f>
        <v>01129242524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tr">
        <f ca="1">IFERROR(__xludf.DUMMYFUNCTION("""COMPUTED_VALUE"""),"نورهان حشاد")</f>
        <v>نورهان حشاد</v>
      </c>
      <c r="B16" s="2">
        <f ca="1">IFERROR(__xludf.DUMMYFUNCTION("""COMPUTED_VALUE"""),408124082075)</f>
        <v>408124082075</v>
      </c>
      <c r="C16" s="2" t="str">
        <f ca="1">IFERROR(__xludf.DUMMYFUNCTION("""COMPUTED_VALUE"""),"نورهان حشاد")</f>
        <v>نورهان حشاد</v>
      </c>
      <c r="D16" s="4">
        <f ca="1">IFERROR(__xludf.DUMMYFUNCTION("""COMPUTED_VALUE"""),1363)</f>
        <v>1363</v>
      </c>
      <c r="E16" s="2"/>
      <c r="F16" s="2" t="str">
        <f ca="1">IFERROR(__xludf.DUMMYFUNCTION("""COMPUTED_VALUE"""),"nourhan.hashad@nagwa.com")</f>
        <v>nourhan.hashad@nagwa.com</v>
      </c>
      <c r="G16" s="2">
        <f ca="1">IFERROR(__xludf.DUMMYFUNCTION("""COMPUTED_VALUE"""),201112094005)</f>
        <v>201112094005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tr">
        <f ca="1">IFERROR(__xludf.DUMMYFUNCTION("""COMPUTED_VALUE"""),"أحمد عماد")</f>
        <v>أحمد عماد</v>
      </c>
      <c r="B17" s="2">
        <f ca="1">IFERROR(__xludf.DUMMYFUNCTION("""COMPUTED_VALUE"""),352134305787)</f>
        <v>352134305787</v>
      </c>
      <c r="C17" s="2" t="str">
        <f ca="1">IFERROR(__xludf.DUMMYFUNCTION("""COMPUTED_VALUE"""),"أحمد عماد")</f>
        <v>أحمد عماد</v>
      </c>
      <c r="D17" s="4" t="str">
        <f ca="1">IFERROR(__xludf.DUMMYFUNCTION("""COMPUTED_VALUE"""),"1212")</f>
        <v>1212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tr">
        <f ca="1">IFERROR(__xludf.DUMMYFUNCTION("""COMPUTED_VALUE"""),"شادي خالد")</f>
        <v>شادي خالد</v>
      </c>
      <c r="B18" s="2">
        <f ca="1">IFERROR(__xludf.DUMMYFUNCTION("""COMPUTED_VALUE"""),648193010591)</f>
        <v>648193010591</v>
      </c>
      <c r="C18" s="2" t="str">
        <f ca="1">IFERROR(__xludf.DUMMYFUNCTION("""COMPUTED_VALUE"""),"شادي خالد")</f>
        <v>شادي خالد</v>
      </c>
      <c r="D18" s="4" t="str">
        <f ca="1">IFERROR(__xludf.DUMMYFUNCTION("""COMPUTED_VALUE"""),"1087")</f>
        <v>1087</v>
      </c>
      <c r="E18" s="2" t="str">
        <f ca="1">IFERROR(__xludf.DUMMYFUNCTION("""COMPUTED_VALUE"""),"EG10-EG11-G12")</f>
        <v>EG10-EG11-G12</v>
      </c>
      <c r="F18" s="2" t="str">
        <f ca="1">IFERROR(__xludf.DUMMYFUNCTION("""COMPUTED_VALUE"""),"shady.donia@nagwa.com")</f>
        <v>shady.donia@nagwa.com</v>
      </c>
      <c r="G18" s="2">
        <f ca="1">IFERROR(__xludf.DUMMYFUNCTION("""COMPUTED_VALUE"""),201119117049)</f>
        <v>201119117049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tr">
        <f ca="1">IFERROR(__xludf.DUMMYFUNCTION("""COMPUTED_VALUE"""),"ملك عليوي")</f>
        <v>ملك عليوي</v>
      </c>
      <c r="B19" s="2">
        <f ca="1">IFERROR(__xludf.DUMMYFUNCTION("""COMPUTED_VALUE"""),535169041274)</f>
        <v>535169041274</v>
      </c>
      <c r="C19" s="2" t="str">
        <f ca="1">IFERROR(__xludf.DUMMYFUNCTION("""COMPUTED_VALUE"""),"ملك عليوي")</f>
        <v>ملك عليوي</v>
      </c>
      <c r="D19" s="4" t="str">
        <f ca="1">IFERROR(__xludf.DUMMYFUNCTION("""COMPUTED_VALUE"""),"1490")</f>
        <v>1490</v>
      </c>
      <c r="E19" s="2" t="str">
        <f ca="1">IFERROR(__xludf.DUMMYFUNCTION("""COMPUTED_VALUE"""),"EG10-EG11")</f>
        <v>EG10-EG11</v>
      </c>
      <c r="F19" s="2" t="str">
        <f ca="1">IFERROR(__xludf.DUMMYFUNCTION("""COMPUTED_VALUE"""),"malak.maliwy@gmail.com")</f>
        <v>malak.maliwy@gmail.com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tr">
        <f ca="1">IFERROR(__xludf.DUMMYFUNCTION("""COMPUTED_VALUE"""),"عمرو خليل")</f>
        <v>عمرو خليل</v>
      </c>
      <c r="B20" s="2">
        <f ca="1">IFERROR(__xludf.DUMMYFUNCTION("""COMPUTED_VALUE"""),895194823203)</f>
        <v>895194823203</v>
      </c>
      <c r="C20" s="2" t="str">
        <f ca="1">IFERROR(__xludf.DUMMYFUNCTION("""COMPUTED_VALUE"""),"عمرو خليل")</f>
        <v>عمرو خليل</v>
      </c>
      <c r="D20" s="4" t="str">
        <f ca="1">IFERROR(__xludf.DUMMYFUNCTION("""COMPUTED_VALUE"""),"1779")</f>
        <v>1779</v>
      </c>
      <c r="E20" s="2"/>
      <c r="F20" s="2" t="str">
        <f ca="1">IFERROR(__xludf.DUMMYFUNCTION("""COMPUTED_VALUE"""),"eng.amrkhalil2014@gmail.com")</f>
        <v>eng.amrkhalil2014@gmail.com</v>
      </c>
      <c r="G20" s="2">
        <f ca="1">IFERROR(__xludf.DUMMYFUNCTION("""COMPUTED_VALUE"""),201146486750)</f>
        <v>201146486750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tr">
        <f ca="1">IFERROR(__xludf.DUMMYFUNCTION("""COMPUTED_VALUE"""),"أحمد هنداوي")</f>
        <v>أحمد هنداوي</v>
      </c>
      <c r="B21" s="2">
        <f ca="1">IFERROR(__xludf.DUMMYFUNCTION("""COMPUTED_VALUE"""),238197230360)</f>
        <v>238197230360</v>
      </c>
      <c r="C21" s="2" t="str">
        <f ca="1">IFERROR(__xludf.DUMMYFUNCTION("""COMPUTED_VALUE"""),"أحمد هنداوي")</f>
        <v>أحمد هنداوي</v>
      </c>
      <c r="D21" s="2" t="str">
        <f ca="1">IFERROR(__xludf.DUMMYFUNCTION("""COMPUTED_VALUE"""),"#N/A")</f>
        <v>#N/A</v>
      </c>
      <c r="E21" s="2"/>
      <c r="F21" s="2" t="str">
        <f ca="1">IFERROR(__xludf.DUMMYFUNCTION("""COMPUTED_VALUE"""),"ahmed.hindawi@nagwa.com")</f>
        <v>ahmed.hindawi@nagwa.com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tr">
        <f ca="1">IFERROR(__xludf.DUMMYFUNCTION("""COMPUTED_VALUE"""),"عصام عمر")</f>
        <v>عصام عمر</v>
      </c>
      <c r="B22" s="2">
        <f ca="1">IFERROR(__xludf.DUMMYFUNCTION("""COMPUTED_VALUE"""),142159241646)</f>
        <v>142159241646</v>
      </c>
      <c r="C22" s="2" t="str">
        <f ca="1">IFERROR(__xludf.DUMMYFUNCTION("""COMPUTED_VALUE"""),"عصام عمر")</f>
        <v>عصام عمر</v>
      </c>
      <c r="D22" s="4" t="str">
        <f ca="1">IFERROR(__xludf.DUMMYFUNCTION("""COMPUTED_VALUE"""),"1534")</f>
        <v>1534</v>
      </c>
      <c r="E22" s="2"/>
      <c r="F22" s="2" t="str">
        <f ca="1">IFERROR(__xludf.DUMMYFUNCTION("""COMPUTED_VALUE"""),"essam.omar@nagwa.com")</f>
        <v>essam.omar@nagwa.com</v>
      </c>
      <c r="G22" s="2">
        <f ca="1">IFERROR(__xludf.DUMMYFUNCTION("""COMPUTED_VALUE"""),201113618461)</f>
        <v>201113618461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tr">
        <f ca="1">IFERROR(__xludf.DUMMYFUNCTION("""COMPUTED_VALUE"""),"محمد رمضان")</f>
        <v>محمد رمضان</v>
      </c>
      <c r="B23" s="2">
        <f ca="1">IFERROR(__xludf.DUMMYFUNCTION("""COMPUTED_VALUE"""),940182090410)</f>
        <v>940182090410</v>
      </c>
      <c r="C23" s="2" t="str">
        <f ca="1">IFERROR(__xludf.DUMMYFUNCTION("""COMPUTED_VALUE"""),"محمد رمضان")</f>
        <v>محمد رمضان</v>
      </c>
      <c r="D23" s="4" t="str">
        <f ca="1">IFERROR(__xludf.DUMMYFUNCTION("""COMPUTED_VALUE"""),"575")</f>
        <v>575</v>
      </c>
      <c r="E23" s="2"/>
      <c r="F23" s="2" t="str">
        <f ca="1">IFERROR(__xludf.DUMMYFUNCTION("""COMPUTED_VALUE"""),"mohammed.elsayed.ramadan@nagwa.com")</f>
        <v>mohammed.elsayed.ramadan@nagwa.com</v>
      </c>
      <c r="G23" s="2">
        <f ca="1">IFERROR(__xludf.DUMMYFUNCTION("""COMPUTED_VALUE"""),201025475475)</f>
        <v>201025475475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tr">
        <f ca="1">IFERROR(__xludf.DUMMYFUNCTION("""COMPUTED_VALUE"""),"محمد إمام")</f>
        <v>محمد إمام</v>
      </c>
      <c r="B24" s="2">
        <f ca="1">IFERROR(__xludf.DUMMYFUNCTION("""COMPUTED_VALUE"""),913169734907)</f>
        <v>913169734907</v>
      </c>
      <c r="C24" s="2" t="str">
        <f ca="1">IFERROR(__xludf.DUMMYFUNCTION("""COMPUTED_VALUE"""),"محمد إمام")</f>
        <v>محمد إمام</v>
      </c>
      <c r="D24" s="4" t="str">
        <f ca="1">IFERROR(__xludf.DUMMYFUNCTION("""COMPUTED_VALUE"""),"1759")</f>
        <v>1759</v>
      </c>
      <c r="E24" s="2" t="str">
        <f ca="1">IFERROR(__xludf.DUMMYFUNCTION("""COMPUTED_VALUE"""),"EG10-EG11-G12")</f>
        <v>EG10-EG11-G12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 t="str">
        <f ca="1">IFERROR(__xludf.DUMMYFUNCTION("""COMPUTED_VALUE"""),"أحمد ياقوت")</f>
        <v>أحمد ياقوت</v>
      </c>
      <c r="B25" s="2">
        <f ca="1">IFERROR(__xludf.DUMMYFUNCTION("""COMPUTED_VALUE"""),284105320408)</f>
        <v>284105320408</v>
      </c>
      <c r="C25" s="2" t="str">
        <f ca="1">IFERROR(__xludf.DUMMYFUNCTION("""COMPUTED_VALUE"""),"أحمد ياقوت")</f>
        <v>أحمد ياقوت</v>
      </c>
      <c r="D25" s="4" t="str">
        <f ca="1">IFERROR(__xludf.DUMMYFUNCTION("""COMPUTED_VALUE"""),"1757")</f>
        <v>1757</v>
      </c>
      <c r="E25" s="2" t="str">
        <f ca="1">IFERROR(__xludf.DUMMYFUNCTION("""COMPUTED_VALUE"""),"لم يقبل نظام المحاسبة الجديد والتسجيلات فقرر الاستقالة، فيرجى التواصل معه وتنفيذ إجراءات إنهاء التعاقد وتسليم العهدة")</f>
        <v>لم يقبل نظام المحاسبة الجديد والتسجيلات فقرر الاستقالة، فيرجى التواصل معه وتنفيذ إجراءات إنهاء التعاقد وتسليم العهدة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 t="str">
        <f ca="1">IFERROR(__xludf.DUMMYFUNCTION("""COMPUTED_VALUE"""),"مريم حسين")</f>
        <v>مريم حسين</v>
      </c>
      <c r="B26" s="2">
        <f ca="1">IFERROR(__xludf.DUMMYFUNCTION("""COMPUTED_VALUE"""),695180376491)</f>
        <v>695180376491</v>
      </c>
      <c r="C26" s="2" t="str">
        <f ca="1">IFERROR(__xludf.DUMMYFUNCTION("""COMPUTED_VALUE"""),"مريم حسين")</f>
        <v>مريم حسين</v>
      </c>
      <c r="D26" s="4" t="str">
        <f ca="1">IFERROR(__xludf.DUMMYFUNCTION("""COMPUTED_VALUE"""),"1758")</f>
        <v>1758</v>
      </c>
      <c r="E26" s="2"/>
      <c r="F26" s="2" t="str">
        <f ca="1">IFERROR(__xludf.DUMMYFUNCTION("""COMPUTED_VALUE"""),"mero.mro9@gmail.com")</f>
        <v>mero.mro9@gmail.com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 t="str">
        <f ca="1">IFERROR(__xludf.DUMMYFUNCTION("""COMPUTED_VALUE"""),"محمد منصور")</f>
        <v>محمد منصور</v>
      </c>
      <c r="B27" s="2">
        <f ca="1">IFERROR(__xludf.DUMMYFUNCTION("""COMPUTED_VALUE"""),560135012165)</f>
        <v>560135012165</v>
      </c>
      <c r="C27" s="2" t="str">
        <f ca="1">IFERROR(__xludf.DUMMYFUNCTION("""COMPUTED_VALUE"""),"محمد منصور")</f>
        <v>محمد منصور</v>
      </c>
      <c r="D27" s="4" t="str">
        <f ca="1">IFERROR(__xludf.DUMMYFUNCTION("""COMPUTED_VALUE"""),"1760")</f>
        <v>1760</v>
      </c>
      <c r="E27" s="2" t="str">
        <f ca="1">IFERROR(__xludf.DUMMYFUNCTION("""COMPUTED_VALUE"""),"EG10-EG11-G12")</f>
        <v>EG10-EG11-G12</v>
      </c>
      <c r="F27" s="2" t="str">
        <f ca="1">IFERROR(__xludf.DUMMYFUNCTION("""COMPUTED_VALUE"""),"mansourphy@gmail.com")</f>
        <v>mansourphy@gmail.com</v>
      </c>
      <c r="G27" s="2">
        <f ca="1">IFERROR(__xludf.DUMMYFUNCTION("""COMPUTED_VALUE"""),201069555347)</f>
        <v>201069555347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 t="str">
        <f ca="1">IFERROR(__xludf.DUMMYFUNCTION("""COMPUTED_VALUE"""),"محمود أبو المجد")</f>
        <v>محمود أبو المجد</v>
      </c>
      <c r="B28" s="2">
        <f ca="1">IFERROR(__xludf.DUMMYFUNCTION("""COMPUTED_VALUE"""),279170497570)</f>
        <v>279170497570</v>
      </c>
      <c r="C28" s="2" t="str">
        <f ca="1">IFERROR(__xludf.DUMMYFUNCTION("""COMPUTED_VALUE"""),"محمود أبو المجد")</f>
        <v>محمود أبو المجد</v>
      </c>
      <c r="D28" s="4" t="str">
        <f ca="1">IFERROR(__xludf.DUMMYFUNCTION("""COMPUTED_VALUE"""),"1243")</f>
        <v>1243</v>
      </c>
      <c r="E28" s="2" t="str">
        <f ca="1">IFERROR(__xludf.DUMMYFUNCTION("""COMPUTED_VALUE"""),"EG04-EG05-EG06-G7-جيولوجيا EG12")</f>
        <v>EG04-EG05-EG06-G7-جيولوجيا EG12</v>
      </c>
      <c r="F28" s="2" t="str">
        <f ca="1">IFERROR(__xludf.DUMMYFUNCTION("""COMPUTED_VALUE"""),"mahmoud.aboelmagd@nagwa.com")</f>
        <v>mahmoud.aboelmagd@nagwa.com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 t="str">
        <f ca="1">IFERROR(__xludf.DUMMYFUNCTION("""COMPUTED_VALUE"""),"أحمد عبد اللطيف")</f>
        <v>أحمد عبد اللطيف</v>
      </c>
      <c r="B29" s="2">
        <f ca="1">IFERROR(__xludf.DUMMYFUNCTION("""COMPUTED_VALUE"""),624104658072)</f>
        <v>624104658072</v>
      </c>
      <c r="C29" s="2" t="str">
        <f ca="1">IFERROR(__xludf.DUMMYFUNCTION("""COMPUTED_VALUE"""),"أحمد عبد اللطيف")</f>
        <v>أحمد عبد اللطيف</v>
      </c>
      <c r="D29" s="4" t="str">
        <f ca="1">IFERROR(__xludf.DUMMYFUNCTION("""COMPUTED_VALUE"""),"1265")</f>
        <v>1265</v>
      </c>
      <c r="E29" s="2"/>
      <c r="F29" s="2" t="str">
        <f ca="1">IFERROR(__xludf.DUMMYFUNCTION("""COMPUTED_VALUE"""),"ahmed.abdellatif@nagwa.com")</f>
        <v>ahmed.abdellatif@nagwa.com</v>
      </c>
      <c r="G29" s="2">
        <f ca="1">IFERROR(__xludf.DUMMYFUNCTION("""COMPUTED_VALUE"""),201018842229)</f>
        <v>201018842229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 t="str">
        <f ca="1">IFERROR(__xludf.DUMMYFUNCTION("""COMPUTED_VALUE"""),"رامي فاروق")</f>
        <v>رامي فاروق</v>
      </c>
      <c r="B30" s="2">
        <f ca="1">IFERROR(__xludf.DUMMYFUNCTION("""COMPUTED_VALUE"""),680190738426)</f>
        <v>680190738426</v>
      </c>
      <c r="C30" s="2" t="str">
        <f ca="1">IFERROR(__xludf.DUMMYFUNCTION("""COMPUTED_VALUE"""),"رامي فاروق")</f>
        <v>رامي فاروق</v>
      </c>
      <c r="D30" s="4" t="str">
        <f ca="1">IFERROR(__xludf.DUMMYFUNCTION("""COMPUTED_VALUE"""),"1766")</f>
        <v>1766</v>
      </c>
      <c r="E30" s="2"/>
      <c r="F30" s="2" t="str">
        <f ca="1">IFERROR(__xludf.DUMMYFUNCTION("""COMPUTED_VALUE"""),"ramyfarouk9333@gmail.com")</f>
        <v>ramyfarouk9333@gmail.com</v>
      </c>
      <c r="G30" s="2" t="str">
        <f ca="1">IFERROR(__xludf.DUMMYFUNCTION("""COMPUTED_VALUE"""),"01224288238")</f>
        <v>01224288238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 t="str">
        <f ca="1">IFERROR(__xludf.DUMMYFUNCTION("""COMPUTED_VALUE"""),"سما الإبراشي")</f>
        <v>سما الإبراشي</v>
      </c>
      <c r="B31" s="2">
        <f ca="1">IFERROR(__xludf.DUMMYFUNCTION("""COMPUTED_VALUE"""),156154179702)</f>
        <v>156154179702</v>
      </c>
      <c r="C31" s="2" t="str">
        <f ca="1">IFERROR(__xludf.DUMMYFUNCTION("""COMPUTED_VALUE"""),"سما الإبراشي")</f>
        <v>سما الإبراشي</v>
      </c>
      <c r="D31" s="4" t="str">
        <f ca="1">IFERROR(__xludf.DUMMYFUNCTION("""COMPUTED_VALUE"""),"1777")</f>
        <v>1777</v>
      </c>
      <c r="E31" s="2" t="str">
        <f ca="1">IFERROR(__xludf.DUMMYFUNCTION("""COMPUTED_VALUE"""),"EG10-EG11-G12")</f>
        <v>EG10-EG11-G12</v>
      </c>
      <c r="F31" s="2" t="str">
        <f ca="1">IFERROR(__xludf.DUMMYFUNCTION("""COMPUTED_VALUE"""),"sama.elberashy@gmail.com")</f>
        <v>sama.elberashy@gmail.com</v>
      </c>
      <c r="G31" s="2">
        <f ca="1">IFERROR(__xludf.DUMMYFUNCTION("""COMPUTED_VALUE"""),201001344221)</f>
        <v>201001344221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 t="str">
        <f ca="1">IFERROR(__xludf.DUMMYFUNCTION("""COMPUTED_VALUE"""),"مينا جاد")</f>
        <v>مينا جاد</v>
      </c>
      <c r="B32" s="2">
        <f ca="1">IFERROR(__xludf.DUMMYFUNCTION("""COMPUTED_VALUE"""),846101762818)</f>
        <v>846101762818</v>
      </c>
      <c r="C32" s="2" t="str">
        <f ca="1">IFERROR(__xludf.DUMMYFUNCTION("""COMPUTED_VALUE"""),"مينا جاد")</f>
        <v>مينا جاد</v>
      </c>
      <c r="D32" s="2">
        <f ca="1">IFERROR(__xludf.DUMMYFUNCTION("""COMPUTED_VALUE"""),1781)</f>
        <v>1781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 t="str">
        <f ca="1">IFERROR(__xludf.DUMMYFUNCTION("""COMPUTED_VALUE"""),"أحمد حسن")</f>
        <v>أحمد حسن</v>
      </c>
      <c r="B33" s="2">
        <f ca="1">IFERROR(__xludf.DUMMYFUNCTION("""COMPUTED_VALUE"""),480103238452)</f>
        <v>480103238452</v>
      </c>
      <c r="C33" s="2" t="str">
        <f ca="1">IFERROR(__xludf.DUMMYFUNCTION("""COMPUTED_VALUE"""),"أحمد حسن")</f>
        <v>أحمد حسن</v>
      </c>
      <c r="D33" s="4" t="str">
        <f ca="1">IFERROR(__xludf.DUMMYFUNCTION("""COMPUTED_VALUE"""),"1762")</f>
        <v>1762</v>
      </c>
      <c r="E33" s="2"/>
      <c r="F33" s="2" t="str">
        <f ca="1">IFERROR(__xludf.DUMMYFUNCTION("""COMPUTED_VALUE"""),"ahmedhassan99967@gmail.com")</f>
        <v>ahmedhassan99967@gmail.com</v>
      </c>
      <c r="G33" s="2">
        <f ca="1">IFERROR(__xludf.DUMMYFUNCTION("""COMPUTED_VALUE"""),201007787118)</f>
        <v>201007787118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 t="str">
        <f ca="1">IFERROR(__xludf.DUMMYFUNCTION("""COMPUTED_VALUE"""),"جهاد بدر")</f>
        <v>جهاد بدر</v>
      </c>
      <c r="B34" s="2">
        <f ca="1">IFERROR(__xludf.DUMMYFUNCTION("""COMPUTED_VALUE"""),524151240185)</f>
        <v>524151240185</v>
      </c>
      <c r="C34" s="2" t="str">
        <f ca="1">IFERROR(__xludf.DUMMYFUNCTION("""COMPUTED_VALUE"""),"جهاد بدر")</f>
        <v>جهاد بدر</v>
      </c>
      <c r="D34" s="4" t="str">
        <f ca="1">IFERROR(__xludf.DUMMYFUNCTION("""COMPUTED_VALUE"""),"1786")</f>
        <v>1786</v>
      </c>
      <c r="E34" s="2"/>
      <c r="F34" s="2" t="str">
        <f ca="1">IFERROR(__xludf.DUMMYFUNCTION("""COMPUTED_VALUE"""),"gehadbadr89@gmail.com")</f>
        <v>gehadbadr89@gmail.com</v>
      </c>
      <c r="G34" s="2" t="str">
        <f ca="1">IFERROR(__xludf.DUMMYFUNCTION("""COMPUTED_VALUE"""),"01090297182")</f>
        <v>01090297182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 t="str">
        <f ca="1">IFERROR(__xludf.DUMMYFUNCTION("""COMPUTED_VALUE"""),"طارق سليم")</f>
        <v>طارق سليم</v>
      </c>
      <c r="B35" s="2">
        <f ca="1">IFERROR(__xludf.DUMMYFUNCTION("""COMPUTED_VALUE"""),379176206354)</f>
        <v>379176206354</v>
      </c>
      <c r="C35" s="2" t="str">
        <f ca="1">IFERROR(__xludf.DUMMYFUNCTION("""COMPUTED_VALUE"""),"طارق سليم")</f>
        <v>طارق سليم</v>
      </c>
      <c r="D35" s="4" t="str">
        <f ca="1">IFERROR(__xludf.DUMMYFUNCTION("""COMPUTED_VALUE"""),"1778")</f>
        <v>1778</v>
      </c>
      <c r="E35" s="2"/>
      <c r="F35" s="2" t="str">
        <f ca="1">IFERROR(__xludf.DUMMYFUNCTION("""COMPUTED_VALUE"""),"tareksleem606@gmail.com")</f>
        <v>tareksleem606@gmail.com</v>
      </c>
      <c r="G35" s="2">
        <f ca="1">IFERROR(__xludf.DUMMYFUNCTION("""COMPUTED_VALUE"""),201001599199)</f>
        <v>201001599199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 t="str">
        <f ca="1">IFERROR(__xludf.DUMMYFUNCTION("""COMPUTED_VALUE"""),"أحمد علاء")</f>
        <v>أحمد علاء</v>
      </c>
      <c r="B36" s="2">
        <f ca="1">IFERROR(__xludf.DUMMYFUNCTION("""COMPUTED_VALUE"""),352179823813)</f>
        <v>352179823813</v>
      </c>
      <c r="C36" s="2" t="str">
        <f ca="1">IFERROR(__xludf.DUMMYFUNCTION("""COMPUTED_VALUE"""),"أحمد علاء")</f>
        <v>أحمد علاء</v>
      </c>
      <c r="D36" s="4" t="str">
        <f ca="1">IFERROR(__xludf.DUMMYFUNCTION("""COMPUTED_VALUE"""),"1765")</f>
        <v>1765</v>
      </c>
      <c r="E36" s="2"/>
      <c r="F36" s="2" t="str">
        <f ca="1">IFERROR(__xludf.DUMMYFUNCTION("""COMPUTED_VALUE"""),"aassllyyaa68@gmail.com")</f>
        <v>aassllyyaa68@gmail.com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 t="str">
        <f ca="1">IFERROR(__xludf.DUMMYFUNCTION("""COMPUTED_VALUE"""),"أحمد عاطف")</f>
        <v>أحمد عاطف</v>
      </c>
      <c r="B37" s="2">
        <f ca="1">IFERROR(__xludf.DUMMYFUNCTION("""COMPUTED_VALUE"""),308137598241)</f>
        <v>308137598241</v>
      </c>
      <c r="C37" s="2" t="str">
        <f ca="1">IFERROR(__xludf.DUMMYFUNCTION("""COMPUTED_VALUE"""),"أحمد عاطف")</f>
        <v>أحمد عاطف</v>
      </c>
      <c r="D37" s="4" t="str">
        <f ca="1">IFERROR(__xludf.DUMMYFUNCTION("""COMPUTED_VALUE"""),"1775")</f>
        <v>1775</v>
      </c>
      <c r="E37" s="2"/>
      <c r="F37" s="2" t="str">
        <f ca="1">IFERROR(__xludf.DUMMYFUNCTION("""COMPUTED_VALUE"""),"ahmedatef386@gmail.com")</f>
        <v>ahmedatef386@gmail.com</v>
      </c>
      <c r="G37" s="2">
        <f ca="1">IFERROR(__xludf.DUMMYFUNCTION("""COMPUTED_VALUE"""),201098614126)</f>
        <v>201098614126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 t="str">
        <f ca="1">IFERROR(__xludf.DUMMYFUNCTION("""COMPUTED_VALUE"""),"محمد عصام")</f>
        <v>محمد عصام</v>
      </c>
      <c r="B38" s="2">
        <f ca="1">IFERROR(__xludf.DUMMYFUNCTION("""COMPUTED_VALUE"""),592179807615)</f>
        <v>592179807615</v>
      </c>
      <c r="C38" s="2" t="str">
        <f ca="1">IFERROR(__xludf.DUMMYFUNCTION("""COMPUTED_VALUE"""),"محمد عصام")</f>
        <v>محمد عصام</v>
      </c>
      <c r="D38" s="4" t="str">
        <f ca="1">IFERROR(__xludf.DUMMYFUNCTION("""COMPUTED_VALUE"""),"1277")</f>
        <v>1277</v>
      </c>
      <c r="E38" s="2" t="str">
        <f ca="1">IFERROR(__xludf.DUMMYFUNCTION("""COMPUTED_VALUE"""),"EG07-EG08-EG09")</f>
        <v>EG07-EG08-EG09</v>
      </c>
      <c r="F38" s="2" t="str">
        <f ca="1">IFERROR(__xludf.DUMMYFUNCTION("""COMPUTED_VALUE"""),"modares2525@gmail.com")</f>
        <v>modares2525@gmail.com</v>
      </c>
      <c r="G38" s="2">
        <f ca="1">IFERROR(__xludf.DUMMYFUNCTION("""COMPUTED_VALUE"""),201116153885)</f>
        <v>201116153885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 t="str">
        <f ca="1">IFERROR(__xludf.DUMMYFUNCTION("""COMPUTED_VALUE"""),"وائل سلطان")</f>
        <v>وائل سلطان</v>
      </c>
      <c r="B39" s="2">
        <f ca="1">IFERROR(__xludf.DUMMYFUNCTION("""COMPUTED_VALUE"""),415194597216)</f>
        <v>415194597216</v>
      </c>
      <c r="C39" s="2" t="str">
        <f ca="1">IFERROR(__xludf.DUMMYFUNCTION("""COMPUTED_VALUE"""),"وائل سلطان")</f>
        <v>وائل سلطان</v>
      </c>
      <c r="D39" s="4" t="str">
        <f ca="1">IFERROR(__xludf.DUMMYFUNCTION("""COMPUTED_VALUE"""),"1787")</f>
        <v>1787</v>
      </c>
      <c r="E39" s="2"/>
      <c r="F39" s="2" t="str">
        <f ca="1">IFERROR(__xludf.DUMMYFUNCTION("""COMPUTED_VALUE"""),"abomahmoudsoultan@gmail.com")</f>
        <v>abomahmoudsoultan@gmail.com</v>
      </c>
      <c r="G39" s="2" t="str">
        <f ca="1">IFERROR(__xludf.DUMMYFUNCTION("""COMPUTED_VALUE"""),"00201153335900")</f>
        <v>00201153335900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 t="str">
        <f ca="1">IFERROR(__xludf.DUMMYFUNCTION("""COMPUTED_VALUE"""),"أندرو ثروت")</f>
        <v>أندرو ثروت</v>
      </c>
      <c r="B40" s="2">
        <f ca="1">IFERROR(__xludf.DUMMYFUNCTION("""COMPUTED_VALUE"""),417127195646)</f>
        <v>417127195646</v>
      </c>
      <c r="C40" s="2" t="str">
        <f ca="1">IFERROR(__xludf.DUMMYFUNCTION("""COMPUTED_VALUE"""),"أندرو ثروت")</f>
        <v>أندرو ثروت</v>
      </c>
      <c r="D40" s="4" t="str">
        <f ca="1">IFERROR(__xludf.DUMMYFUNCTION("""COMPUTED_VALUE"""),"1788")</f>
        <v>1788</v>
      </c>
      <c r="E40" s="2" t="str">
        <f ca="1">IFERROR(__xludf.DUMMYFUNCTION("""COMPUTED_VALUE"""),"EG07-EG08-EG09")</f>
        <v>EG07-EG08-EG09</v>
      </c>
      <c r="F40" s="2" t="str">
        <f ca="1">IFERROR(__xludf.DUMMYFUNCTION("""COMPUTED_VALUE"""),"andrewtharwatfikry@gmail.com")</f>
        <v>andrewtharwatfikry@gmail.com</v>
      </c>
      <c r="G40" s="2" t="str">
        <f ca="1">IFERROR(__xludf.DUMMYFUNCTION("""COMPUTED_VALUE"""),"01205947696")</f>
        <v>01205947696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 t="str">
        <f ca="1">IFERROR(__xludf.DUMMYFUNCTION("""COMPUTED_VALUE"""),"أحمد علام")</f>
        <v>أحمد علام</v>
      </c>
      <c r="B41" s="2">
        <f ca="1">IFERROR(__xludf.DUMMYFUNCTION("""COMPUTED_VALUE"""),492145757573)</f>
        <v>492145757573</v>
      </c>
      <c r="C41" s="2" t="str">
        <f ca="1">IFERROR(__xludf.DUMMYFUNCTION("""COMPUTED_VALUE"""),"أحمد علام")</f>
        <v>أحمد علام</v>
      </c>
      <c r="D41" s="4" t="str">
        <f ca="1">IFERROR(__xludf.DUMMYFUNCTION("""COMPUTED_VALUE"""),"1789")</f>
        <v>1789</v>
      </c>
      <c r="E41" s="2" t="str">
        <f ca="1">IFERROR(__xludf.DUMMYFUNCTION("""COMPUTED_VALUE"""),"اعتذر عن فصول المراجعة وفصول الترم الثاني لضغط العمل، وسيستقيل.
EG07-EG08-EG09-EG10-EG11-EG12")</f>
        <v>اعتذر عن فصول المراجعة وفصول الترم الثاني لضغط العمل، وسيستقيل.
EG07-EG08-EG09-EG10-EG11-EG12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 t="str">
        <f ca="1">IFERROR(__xludf.DUMMYFUNCTION("""COMPUTED_VALUE"""),"هبة عادل")</f>
        <v>هبة عادل</v>
      </c>
      <c r="B42" s="2">
        <f ca="1">IFERROR(__xludf.DUMMYFUNCTION("""COMPUTED_VALUE"""),368106936162)</f>
        <v>368106936162</v>
      </c>
      <c r="C42" s="2" t="str">
        <f ca="1">IFERROR(__xludf.DUMMYFUNCTION("""COMPUTED_VALUE"""),"هبة عادل")</f>
        <v>هبة عادل</v>
      </c>
      <c r="D42" s="4" t="str">
        <f ca="1">IFERROR(__xludf.DUMMYFUNCTION("""COMPUTED_VALUE"""),"1794")</f>
        <v>1794</v>
      </c>
      <c r="E42" s="2"/>
      <c r="F42" s="2" t="str">
        <f ca="1">IFERROR(__xludf.DUMMYFUNCTION("""COMPUTED_VALUE"""),"hebaadel19952@gmail.com")</f>
        <v>hebaadel19952@gmail.com</v>
      </c>
      <c r="G42" s="2">
        <f ca="1">IFERROR(__xludf.DUMMYFUNCTION("""COMPUTED_VALUE"""),201094446118)</f>
        <v>201094446118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 t="str">
        <f ca="1">IFERROR(__xludf.DUMMYFUNCTION("""COMPUTED_VALUE"""),"أحمد الأمير")</f>
        <v>أحمد الأمير</v>
      </c>
      <c r="B43" s="2">
        <f ca="1">IFERROR(__xludf.DUMMYFUNCTION("""COMPUTED_VALUE"""),196184054323)</f>
        <v>196184054323</v>
      </c>
      <c r="C43" s="2" t="str">
        <f ca="1">IFERROR(__xludf.DUMMYFUNCTION("""COMPUTED_VALUE"""),"أحمد الأمير")</f>
        <v>أحمد الأمير</v>
      </c>
      <c r="D43" s="4" t="str">
        <f ca="1">IFERROR(__xludf.DUMMYFUNCTION("""COMPUTED_VALUE"""),"1812")</f>
        <v>1812</v>
      </c>
      <c r="E43" s="2" t="str">
        <f ca="1">IFERROR(__xludf.DUMMYFUNCTION("""COMPUTED_VALUE"""),"EG10-EG11-EG12")</f>
        <v>EG10-EG11-EG12</v>
      </c>
      <c r="F43" s="2" t="str">
        <f ca="1">IFERROR(__xludf.DUMMYFUNCTION("""COMPUTED_VALUE"""),"alamir62@yahoo.com")</f>
        <v>alamir62@yahoo.com</v>
      </c>
      <c r="G43" s="2" t="str">
        <f ca="1">IFERROR(__xludf.DUMMYFUNCTION("""COMPUTED_VALUE"""),"20 1001082530")</f>
        <v>20 1001082530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 t="str">
        <f ca="1">IFERROR(__xludf.DUMMYFUNCTION("""COMPUTED_VALUE"""),"رضا سلامة")</f>
        <v>رضا سلامة</v>
      </c>
      <c r="B44" s="2">
        <f ca="1">IFERROR(__xludf.DUMMYFUNCTION("""COMPUTED_VALUE"""),730108091781)</f>
        <v>730108091781</v>
      </c>
      <c r="C44" s="2" t="str">
        <f ca="1">IFERROR(__xludf.DUMMYFUNCTION("""COMPUTED_VALUE"""),"رضا سلامة")</f>
        <v>رضا سلامة</v>
      </c>
      <c r="D44" s="4" t="str">
        <f ca="1">IFERROR(__xludf.DUMMYFUNCTION("""COMPUTED_VALUE"""),"1816")</f>
        <v>1816</v>
      </c>
      <c r="E44" s="2"/>
      <c r="F44" s="2" t="str">
        <f ca="1">IFERROR(__xludf.DUMMYFUNCTION("""COMPUTED_VALUE"""),"rsalama4569@gmail.com")</f>
        <v>rsalama4569@gmail.com</v>
      </c>
      <c r="G44" s="2">
        <f ca="1">IFERROR(__xludf.DUMMYFUNCTION("""COMPUTED_VALUE"""),1223356596)</f>
        <v>1223356596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 t="str">
        <f ca="1">IFERROR(__xludf.DUMMYFUNCTION("""COMPUTED_VALUE"""),"محمد صفوت")</f>
        <v>محمد صفوت</v>
      </c>
      <c r="B45" s="2">
        <f ca="1">IFERROR(__xludf.DUMMYFUNCTION("""COMPUTED_VALUE"""),854101526124)</f>
        <v>854101526124</v>
      </c>
      <c r="C45" s="2" t="str">
        <f ca="1">IFERROR(__xludf.DUMMYFUNCTION("""COMPUTED_VALUE"""),"محمد صفوت")</f>
        <v>محمد صفوت</v>
      </c>
      <c r="D45" s="4" t="str">
        <f ca="1">IFERROR(__xludf.DUMMYFUNCTION("""COMPUTED_VALUE"""),"1817")</f>
        <v>1817</v>
      </c>
      <c r="E45" s="2" t="str">
        <f ca="1">IFERROR(__xludf.DUMMYFUNCTION("""COMPUTED_VALUE"""),"EG07-EG08-EG09-EG10-EG11-EG12")</f>
        <v>EG07-EG08-EG09-EG10-EG11-EG12</v>
      </c>
      <c r="F45" s="2" t="str">
        <f ca="1">IFERROR(__xludf.DUMMYFUNCTION("""COMPUTED_VALUE"""),"melbasel101@gmail.com")</f>
        <v>melbasel101@gmail.com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 t="str">
        <f ca="1">IFERROR(__xludf.DUMMYFUNCTION("""COMPUTED_VALUE"""),"هالة محمد")</f>
        <v>هالة محمد</v>
      </c>
      <c r="B46" s="2">
        <f ca="1">IFERROR(__xludf.DUMMYFUNCTION("""COMPUTED_VALUE"""),207145893968)</f>
        <v>207145893968</v>
      </c>
      <c r="C46" s="2" t="str">
        <f ca="1">IFERROR(__xludf.DUMMYFUNCTION("""COMPUTED_VALUE"""),"هالة محمد")</f>
        <v>هالة محمد</v>
      </c>
      <c r="D46" s="4" t="str">
        <f ca="1">IFERROR(__xludf.DUMMYFUNCTION("""COMPUTED_VALUE"""),"1826")</f>
        <v>1826</v>
      </c>
      <c r="E46" s="2" t="str">
        <f ca="1">IFERROR(__xludf.DUMMYFUNCTION("""COMPUTED_VALUE"""),"EG04-EG05-EG06")</f>
        <v>EG04-EG05-EG06</v>
      </c>
      <c r="F46" s="2" t="str">
        <f ca="1">IFERROR(__xludf.DUMMYFUNCTION("""COMPUTED_VALUE"""),"mhala5855@gmail.com")</f>
        <v>mhala5855@gmail.com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 t="str">
        <f ca="1">IFERROR(__xludf.DUMMYFUNCTION("""COMPUTED_VALUE"""),"نورهان المليجي")</f>
        <v>نورهان المليجي</v>
      </c>
      <c r="B47" s="2">
        <f ca="1">IFERROR(__xludf.DUMMYFUNCTION("""COMPUTED_VALUE"""),703170132053)</f>
        <v>703170132053</v>
      </c>
      <c r="C47" s="2" t="str">
        <f ca="1">IFERROR(__xludf.DUMMYFUNCTION("""COMPUTED_VALUE"""),"نورهان المليجي")</f>
        <v>نورهان المليجي</v>
      </c>
      <c r="D47" s="4" t="str">
        <f ca="1">IFERROR(__xludf.DUMMYFUNCTION("""COMPUTED_VALUE"""),"1849")</f>
        <v>1849</v>
      </c>
      <c r="E47" s="2" t="str">
        <f ca="1">IFERROR(__xludf.DUMMYFUNCTION("""COMPUTED_VALUE"""),"EG04-EG05-EG06-EG07-EG08-EG09")</f>
        <v>EG04-EG05-EG06-EG07-EG08-EG09</v>
      </c>
      <c r="F47" s="2" t="str">
        <f ca="1">IFERROR(__xludf.DUMMYFUNCTION("""COMPUTED_VALUE"""),"noraalmiligy@gmail.com")</f>
        <v>noraalmiligy@gmail.com</v>
      </c>
      <c r="G47" s="2">
        <f ca="1">IFERROR(__xludf.DUMMYFUNCTION("""COMPUTED_VALUE"""),1144280921)</f>
        <v>1144280921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 t="str">
        <f ca="1">IFERROR(__xludf.DUMMYFUNCTION("""COMPUTED_VALUE"""),"نهى علاء")</f>
        <v>نهى علاء</v>
      </c>
      <c r="B48" s="2">
        <f ca="1">IFERROR(__xludf.DUMMYFUNCTION("""COMPUTED_VALUE"""),812195754050)</f>
        <v>812195754050</v>
      </c>
      <c r="C48" s="2" t="str">
        <f ca="1">IFERROR(__xludf.DUMMYFUNCTION("""COMPUTED_VALUE"""),"نهى علاء")</f>
        <v>نهى علاء</v>
      </c>
      <c r="D48" s="4" t="str">
        <f ca="1">IFERROR(__xludf.DUMMYFUNCTION("""COMPUTED_VALUE"""),"1857")</f>
        <v>1857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 t="str">
        <f ca="1">IFERROR(__xludf.DUMMYFUNCTION("""COMPUTED_VALUE"""),"سلمى الليثي")</f>
        <v>سلمى الليثي</v>
      </c>
      <c r="B49" s="2">
        <f ca="1">IFERROR(__xludf.DUMMYFUNCTION("""COMPUTED_VALUE"""),306185372078)</f>
        <v>306185372078</v>
      </c>
      <c r="C49" s="2" t="str">
        <f ca="1">IFERROR(__xludf.DUMMYFUNCTION("""COMPUTED_VALUE"""),"سلمى الليثي")</f>
        <v>سلمى الليثي</v>
      </c>
      <c r="D49" s="4" t="str">
        <f ca="1">IFERROR(__xludf.DUMMYFUNCTION("""COMPUTED_VALUE"""),"1843")</f>
        <v>1843</v>
      </c>
      <c r="E49" s="2"/>
      <c r="F49" s="2" t="str">
        <f ca="1">IFERROR(__xludf.DUMMYFUNCTION("""COMPUTED_VALUE"""),"salmaellaithy96@gmail.com")</f>
        <v>salmaellaithy96@gmail.com</v>
      </c>
      <c r="G49" s="2" t="str">
        <f ca="1">IFERROR(__xludf.DUMMYFUNCTION("""COMPUTED_VALUE"""),"01099069950")</f>
        <v>01099069950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 t="str">
        <f ca="1">IFERROR(__xludf.DUMMYFUNCTION("""COMPUTED_VALUE"""),"زينب حسن")</f>
        <v>زينب حسن</v>
      </c>
      <c r="B50" s="2">
        <f ca="1">IFERROR(__xludf.DUMMYFUNCTION("""COMPUTED_VALUE"""),502168410424)</f>
        <v>502168410424</v>
      </c>
      <c r="C50" s="2" t="str">
        <f ca="1">IFERROR(__xludf.DUMMYFUNCTION("""COMPUTED_VALUE"""),"زينب حسن")</f>
        <v>زينب حسن</v>
      </c>
      <c r="D50" s="4" t="str">
        <f ca="1">IFERROR(__xludf.DUMMYFUNCTION("""COMPUTED_VALUE"""),"1844")</f>
        <v>1844</v>
      </c>
      <c r="E50" s="2"/>
      <c r="F50" s="2" t="str">
        <f ca="1">IFERROR(__xludf.DUMMYFUNCTION("""COMPUTED_VALUE"""),"zeinabslime1987@gmail.com")</f>
        <v>zeinabslime1987@gmail.com</v>
      </c>
      <c r="G50" s="2" t="str">
        <f ca="1">IFERROR(__xludf.DUMMYFUNCTION("""COMPUTED_VALUE"""),"01157488697")</f>
        <v>01157488697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 t="str">
        <f ca="1">IFERROR(__xludf.DUMMYFUNCTION("""COMPUTED_VALUE"""),"إحسان طاهر")</f>
        <v>إحسان طاهر</v>
      </c>
      <c r="B51" s="2">
        <f ca="1">IFERROR(__xludf.DUMMYFUNCTION("""COMPUTED_VALUE"""),986159246809)</f>
        <v>986159246809</v>
      </c>
      <c r="C51" s="2" t="str">
        <f ca="1">IFERROR(__xludf.DUMMYFUNCTION("""COMPUTED_VALUE"""),"إحسان طاهر")</f>
        <v>إحسان طاهر</v>
      </c>
      <c r="D51" s="4" t="str">
        <f ca="1">IFERROR(__xludf.DUMMYFUNCTION("""COMPUTED_VALUE"""),"1859")</f>
        <v>1859</v>
      </c>
      <c r="E51" s="2" t="str">
        <f ca="1">IFERROR(__xludf.DUMMYFUNCTION("""COMPUTED_VALUE"""),"EG07-EG08-EG09")</f>
        <v>EG07-EG08-EG09</v>
      </c>
      <c r="F51" s="2" t="str">
        <f ca="1">IFERROR(__xludf.DUMMYFUNCTION("""COMPUTED_VALUE"""),"toka.karim22@gmail.com")</f>
        <v>toka.karim22@gmail.com</v>
      </c>
      <c r="G51" s="2" t="str">
        <f ca="1">IFERROR(__xludf.DUMMYFUNCTION("""COMPUTED_VALUE"""),"01011609935")</f>
        <v>01011609935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 t="str">
        <f ca="1">IFERROR(__xludf.DUMMYFUNCTION("""COMPUTED_VALUE"""),"زهراء صابر")</f>
        <v>زهراء صابر</v>
      </c>
      <c r="B52" s="2">
        <f ca="1">IFERROR(__xludf.DUMMYFUNCTION("""COMPUTED_VALUE"""),980198527154)</f>
        <v>980198527154</v>
      </c>
      <c r="C52" s="2" t="str">
        <f ca="1">IFERROR(__xludf.DUMMYFUNCTION("""COMPUTED_VALUE"""),"زهراء صابر")</f>
        <v>زهراء صابر</v>
      </c>
      <c r="D52" s="4" t="str">
        <f ca="1">IFERROR(__xludf.DUMMYFUNCTION("""COMPUTED_VALUE"""),"1851")</f>
        <v>1851</v>
      </c>
      <c r="E52" s="2" t="str">
        <f ca="1">IFERROR(__xludf.DUMMYFUNCTION("""COMPUTED_VALUE"""),"EG07-EG08-EG09")</f>
        <v>EG07-EG08-EG09</v>
      </c>
      <c r="F52" s="2" t="str">
        <f ca="1">IFERROR(__xludf.DUMMYFUNCTION("""COMPUTED_VALUE"""),"zahraasawy@gmail.com")</f>
        <v>zahraasawy@gmail.com</v>
      </c>
      <c r="G52" s="2" t="str">
        <f ca="1">IFERROR(__xludf.DUMMYFUNCTION("""COMPUTED_VALUE"""),"01146935411")</f>
        <v>01146935411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 t="str">
        <f ca="1">IFERROR(__xludf.DUMMYFUNCTION("""COMPUTED_VALUE"""),"سامح محمود")</f>
        <v>سامح محمود</v>
      </c>
      <c r="B53" s="2">
        <f ca="1">IFERROR(__xludf.DUMMYFUNCTION("""COMPUTED_VALUE"""),493132436783)</f>
        <v>493132436783</v>
      </c>
      <c r="C53" s="2" t="str">
        <f ca="1">IFERROR(__xludf.DUMMYFUNCTION("""COMPUTED_VALUE"""),"سامح محمود")</f>
        <v>سامح محمود</v>
      </c>
      <c r="D53" s="4" t="str">
        <f ca="1">IFERROR(__xludf.DUMMYFUNCTION("""COMPUTED_VALUE"""),"1847")</f>
        <v>1847</v>
      </c>
      <c r="E53" s="2"/>
      <c r="F53" s="2" t="str">
        <f ca="1">IFERROR(__xludf.DUMMYFUNCTION("""COMPUTED_VALUE"""),"mathteacher37age@gmail.com")</f>
        <v>mathteacher37age@gmail.com</v>
      </c>
      <c r="G53" s="2" t="str">
        <f ca="1">IFERROR(__xludf.DUMMYFUNCTION("""COMPUTED_VALUE"""),"01068212833")</f>
        <v>01068212833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 t="str">
        <f ca="1">IFERROR(__xludf.DUMMYFUNCTION("""COMPUTED_VALUE"""),"أحمد عزب")</f>
        <v>أحمد عزب</v>
      </c>
      <c r="B54" s="2">
        <f ca="1">IFERROR(__xludf.DUMMYFUNCTION("""COMPUTED_VALUE"""),490182879383)</f>
        <v>490182879383</v>
      </c>
      <c r="C54" s="2" t="str">
        <f ca="1">IFERROR(__xludf.DUMMYFUNCTION("""COMPUTED_VALUE"""),"أحمد عزب")</f>
        <v>أحمد عزب</v>
      </c>
      <c r="D54" s="4" t="str">
        <f ca="1">IFERROR(__xludf.DUMMYFUNCTION("""COMPUTED_VALUE"""),"1848")</f>
        <v>1848</v>
      </c>
      <c r="E54" s="2"/>
      <c r="F54" s="2" t="str">
        <f ca="1">IFERROR(__xludf.DUMMYFUNCTION("""COMPUTED_VALUE"""),"ahmad.azaba@yahoo.com")</f>
        <v>ahmad.azaba@yahoo.com</v>
      </c>
      <c r="G54" s="2" t="str">
        <f ca="1">IFERROR(__xludf.DUMMYFUNCTION("""COMPUTED_VALUE"""),"01154891562")</f>
        <v>01154891562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 t="str">
        <f ca="1">IFERROR(__xludf.DUMMYFUNCTION("""COMPUTED_VALUE"""),"بثينة طه")</f>
        <v>بثينة طه</v>
      </c>
      <c r="B55" s="2">
        <f ca="1">IFERROR(__xludf.DUMMYFUNCTION("""COMPUTED_VALUE"""),870102132510)</f>
        <v>870102132510</v>
      </c>
      <c r="C55" s="2" t="str">
        <f ca="1">IFERROR(__xludf.DUMMYFUNCTION("""COMPUTED_VALUE"""),"بثينة طه")</f>
        <v>بثينة طه</v>
      </c>
      <c r="D55" s="4" t="str">
        <f ca="1">IFERROR(__xludf.DUMMYFUNCTION("""COMPUTED_VALUE"""),"1858")</f>
        <v>1858</v>
      </c>
      <c r="E55" s="2"/>
      <c r="F55" s="2" t="str">
        <f ca="1">IFERROR(__xludf.DUMMYFUNCTION("""COMPUTED_VALUE"""),"bosyt40@gmail.com")</f>
        <v>bosyt40@gmail.com</v>
      </c>
      <c r="G55" s="2" t="str">
        <f ca="1">IFERROR(__xludf.DUMMYFUNCTION("""COMPUTED_VALUE"""),"01142417157")</f>
        <v>01142417157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 t="str">
        <f ca="1">IFERROR(__xludf.DUMMYFUNCTION("""COMPUTED_VALUE"""),"طلعت أحمد")</f>
        <v>طلعت أحمد</v>
      </c>
      <c r="B56" s="2">
        <f ca="1">IFERROR(__xludf.DUMMYFUNCTION("""COMPUTED_VALUE"""),518185761828)</f>
        <v>518185761828</v>
      </c>
      <c r="C56" s="2" t="str">
        <f ca="1">IFERROR(__xludf.DUMMYFUNCTION("""COMPUTED_VALUE"""),"طلعت أحمد")</f>
        <v>طلعت أحمد</v>
      </c>
      <c r="D56" s="2">
        <f ca="1">IFERROR(__xludf.DUMMYFUNCTION("""COMPUTED_VALUE"""),1850)</f>
        <v>1850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 t="str">
        <f ca="1">IFERROR(__xludf.DUMMYFUNCTION("""COMPUTED_VALUE"""),"إيمان محمود")</f>
        <v>إيمان محمود</v>
      </c>
      <c r="B57" s="2">
        <f ca="1">IFERROR(__xludf.DUMMYFUNCTION("""COMPUTED_VALUE"""),137198142829)</f>
        <v>137198142829</v>
      </c>
      <c r="C57" s="2" t="str">
        <f ca="1">IFERROR(__xludf.DUMMYFUNCTION("""COMPUTED_VALUE"""),"إيمان محمود")</f>
        <v>إيمان محمود</v>
      </c>
      <c r="D57" s="2">
        <f ca="1">IFERROR(__xludf.DUMMYFUNCTION("""COMPUTED_VALUE"""),1840)</f>
        <v>1840</v>
      </c>
      <c r="E57" s="2" t="str">
        <f ca="1">IFERROR(__xludf.DUMMYFUNCTION("""COMPUTED_VALUE"""),"EG04-EG05-EG06")</f>
        <v>EG04-EG05-EG06</v>
      </c>
      <c r="F57" s="2" t="str">
        <f ca="1">IFERROR(__xludf.DUMMYFUNCTION("""COMPUTED_VALUE"""),"imaneabada@gmail.com")</f>
        <v>imaneabada@gmail.com</v>
      </c>
      <c r="G57" s="2" t="str">
        <f ca="1">IFERROR(__xludf.DUMMYFUNCTION("""COMPUTED_VALUE"""),"01005729272")</f>
        <v>01005729272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 t="str">
        <f ca="1">IFERROR(__xludf.DUMMYFUNCTION("""COMPUTED_VALUE"""),"جمال مصطفى")</f>
        <v>جمال مصطفى</v>
      </c>
      <c r="B58" s="2">
        <f ca="1">IFERROR(__xludf.DUMMYFUNCTION("""COMPUTED_VALUE"""),459127286142)</f>
        <v>459127286142</v>
      </c>
      <c r="C58" s="2" t="str">
        <f ca="1">IFERROR(__xludf.DUMMYFUNCTION("""COMPUTED_VALUE"""),"جمال مصطفى")</f>
        <v>جمال مصطفى</v>
      </c>
      <c r="D58" s="4" t="str">
        <f ca="1">IFERROR(__xludf.DUMMYFUNCTION("""COMPUTED_VALUE"""),"1862")</f>
        <v>1862</v>
      </c>
      <c r="E58" s="2"/>
      <c r="F58" s="2" t="str">
        <f ca="1">IFERROR(__xludf.DUMMYFUNCTION("""COMPUTED_VALUE"""),"gamal.amer86@hotmail.com")</f>
        <v>gamal.amer86@hotmail.com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 t="str">
        <f ca="1">IFERROR(__xludf.DUMMYFUNCTION("""COMPUTED_VALUE"""),"مينا ميلاد")</f>
        <v>مينا ميلاد</v>
      </c>
      <c r="B59" s="2">
        <f ca="1">IFERROR(__xludf.DUMMYFUNCTION("""COMPUTED_VALUE"""),580165926053)</f>
        <v>580165926053</v>
      </c>
      <c r="C59" s="2" t="str">
        <f ca="1">IFERROR(__xludf.DUMMYFUNCTION("""COMPUTED_VALUE"""),"مينا ميلاد")</f>
        <v>مينا ميلاد</v>
      </c>
      <c r="D59" s="4" t="str">
        <f ca="1">IFERROR(__xludf.DUMMYFUNCTION("""COMPUTED_VALUE"""),"1845")</f>
        <v>1845</v>
      </c>
      <c r="E59" s="2"/>
      <c r="F59" s="2" t="str">
        <f ca="1">IFERROR(__xludf.DUMMYFUNCTION("""COMPUTED_VALUE"""),"yostos.mina@gmail.com")</f>
        <v>yostos.mina@gmail.com</v>
      </c>
      <c r="G59" s="2" t="str">
        <f ca="1">IFERROR(__xludf.DUMMYFUNCTION("""COMPUTED_VALUE"""),"01220683047")</f>
        <v>01220683047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 t="str">
        <f ca="1">IFERROR(__xludf.DUMMYFUNCTION("""COMPUTED_VALUE"""),"أحمد يحيى")</f>
        <v>أحمد يحيى</v>
      </c>
      <c r="B60" s="2">
        <f ca="1">IFERROR(__xludf.DUMMYFUNCTION("""COMPUTED_VALUE"""),636182508414)</f>
        <v>636182508414</v>
      </c>
      <c r="C60" s="2" t="str">
        <f ca="1">IFERROR(__xludf.DUMMYFUNCTION("""COMPUTED_VALUE"""),"أحمد يحيى")</f>
        <v>أحمد يحيى</v>
      </c>
      <c r="D60" s="4" t="str">
        <f ca="1">IFERROR(__xludf.DUMMYFUNCTION("""COMPUTED_VALUE"""),"1846")</f>
        <v>1846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 t="str">
        <f ca="1">IFERROR(__xludf.DUMMYFUNCTION("""COMPUTED_VALUE"""),"ماجدة محمد")</f>
        <v>ماجدة محمد</v>
      </c>
      <c r="B61" s="2">
        <f ca="1">IFERROR(__xludf.DUMMYFUNCTION("""COMPUTED_VALUE"""),973132386263)</f>
        <v>973132386263</v>
      </c>
      <c r="C61" s="2" t="str">
        <f ca="1">IFERROR(__xludf.DUMMYFUNCTION("""COMPUTED_VALUE"""),"ماجدة محمد")</f>
        <v>ماجدة محمد</v>
      </c>
      <c r="D61" s="4" t="str">
        <f ca="1">IFERROR(__xludf.DUMMYFUNCTION("""COMPUTED_VALUE"""),"1798")</f>
        <v>1798</v>
      </c>
      <c r="E61" s="2"/>
      <c r="F61" s="2" t="str">
        <f ca="1">IFERROR(__xludf.DUMMYFUNCTION("""COMPUTED_VALUE"""),"magdaharidy96@gmail.com")</f>
        <v>magdaharidy96@gmail.com</v>
      </c>
      <c r="G61" s="2" t="str">
        <f ca="1">IFERROR(__xludf.DUMMYFUNCTION("""COMPUTED_VALUE"""),"01011902047")</f>
        <v>01011902047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 t="str">
        <f ca="1">IFERROR(__xludf.DUMMYFUNCTION("""COMPUTED_VALUE"""),"نهى بسيوني")</f>
        <v>نهى بسيوني</v>
      </c>
      <c r="B62" s="2">
        <f ca="1">IFERROR(__xludf.DUMMYFUNCTION("""COMPUTED_VALUE"""),736126951732)</f>
        <v>736126951732</v>
      </c>
      <c r="C62" s="2" t="str">
        <f ca="1">IFERROR(__xludf.DUMMYFUNCTION("""COMPUTED_VALUE"""),"نهى بسيوني")</f>
        <v>نهى بسيوني</v>
      </c>
      <c r="D62" s="4" t="str">
        <f ca="1">IFERROR(__xludf.DUMMYFUNCTION("""COMPUTED_VALUE"""),"1827")</f>
        <v>1827</v>
      </c>
      <c r="E62" s="2"/>
      <c r="F62" s="2" t="str">
        <f ca="1">IFERROR(__xludf.DUMMYFUNCTION("""COMPUTED_VALUE"""),"nohabasuni@yahoo.com")</f>
        <v>nohabasuni@yahoo.com</v>
      </c>
      <c r="G62" s="2" t="str">
        <f ca="1">IFERROR(__xludf.DUMMYFUNCTION("""COMPUTED_VALUE"""),"01016605503")</f>
        <v>01016605503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 t="str">
        <f ca="1">IFERROR(__xludf.DUMMYFUNCTION("""COMPUTED_VALUE"""),"أماني علام")</f>
        <v>أماني علام</v>
      </c>
      <c r="B63" s="2">
        <f ca="1">IFERROR(__xludf.DUMMYFUNCTION("""COMPUTED_VALUE"""),308176953497)</f>
        <v>308176953497</v>
      </c>
      <c r="C63" s="2" t="str">
        <f ca="1">IFERROR(__xludf.DUMMYFUNCTION("""COMPUTED_VALUE"""),"أماني علام")</f>
        <v>أماني علام</v>
      </c>
      <c r="D63" s="4" t="str">
        <f ca="1">IFERROR(__xludf.DUMMYFUNCTION("""COMPUTED_VALUE"""),"1839")</f>
        <v>1839</v>
      </c>
      <c r="E63" s="2"/>
      <c r="F63" s="2" t="str">
        <f ca="1">IFERROR(__xludf.DUMMYFUNCTION("""COMPUTED_VALUE"""),"amany.allam7@gmail.com")</f>
        <v>amany.allam7@gmail.com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 t="str">
        <f ca="1">IFERROR(__xludf.DUMMYFUNCTION("""COMPUTED_VALUE"""),"رضوى صبري")</f>
        <v>رضوى صبري</v>
      </c>
      <c r="B64" s="2">
        <f ca="1">IFERROR(__xludf.DUMMYFUNCTION("""COMPUTED_VALUE"""),194141237816)</f>
        <v>194141237816</v>
      </c>
      <c r="C64" s="2" t="str">
        <f ca="1">IFERROR(__xludf.DUMMYFUNCTION("""COMPUTED_VALUE"""),"رضوى صبري")</f>
        <v>رضوى صبري</v>
      </c>
      <c r="D64" s="4" t="str">
        <f ca="1">IFERROR(__xludf.DUMMYFUNCTION("""COMPUTED_VALUE"""),"1841")</f>
        <v>1841</v>
      </c>
      <c r="E64" s="2" t="str">
        <f ca="1">IFERROR(__xludf.DUMMYFUNCTION("""COMPUTED_VALUE"""),"She won't be with us in the 2nd term.")</f>
        <v>She won't be with us in the 2nd term.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 t="str">
        <f ca="1">IFERROR(__xludf.DUMMYFUNCTION("""COMPUTED_VALUE"""),"محمد عباس")</f>
        <v>محمد عباس</v>
      </c>
      <c r="B65" s="2">
        <f ca="1">IFERROR(__xludf.DUMMYFUNCTION("""COMPUTED_VALUE"""),595148942145)</f>
        <v>595148942145</v>
      </c>
      <c r="C65" s="2" t="str">
        <f ca="1">IFERROR(__xludf.DUMMYFUNCTION("""COMPUTED_VALUE"""),"محمد عباس")</f>
        <v>محمد عباس</v>
      </c>
      <c r="D65" s="4" t="str">
        <f ca="1">IFERROR(__xludf.DUMMYFUNCTION("""COMPUTED_VALUE"""),"1853")</f>
        <v>1853</v>
      </c>
      <c r="E65" s="2"/>
      <c r="F65" s="2" t="str">
        <f ca="1">IFERROR(__xludf.DUMMYFUNCTION("""COMPUTED_VALUE"""),"elzehiry96@gmail.com")</f>
        <v>elzehiry96@gmail.com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 t="str">
        <f ca="1">IFERROR(__xludf.DUMMYFUNCTION("""COMPUTED_VALUE"""),"حسام حسين")</f>
        <v>حسام حسين</v>
      </c>
      <c r="B66" s="2">
        <f ca="1">IFERROR(__xludf.DUMMYFUNCTION("""COMPUTED_VALUE"""),437189298603)</f>
        <v>437189298603</v>
      </c>
      <c r="C66" s="2" t="str">
        <f ca="1">IFERROR(__xludf.DUMMYFUNCTION("""COMPUTED_VALUE"""),"حسام حسين")</f>
        <v>حسام حسين</v>
      </c>
      <c r="D66" s="4" t="str">
        <f ca="1">IFERROR(__xludf.DUMMYFUNCTION("""COMPUTED_VALUE"""),"1863")</f>
        <v>1863</v>
      </c>
      <c r="E66" s="2" t="str">
        <f ca="1">IFERROR(__xludf.DUMMYFUNCTION("""COMPUTED_VALUE"""),"G11-G12")</f>
        <v>G11-G12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 t="str">
        <f ca="1">IFERROR(__xludf.DUMMYFUNCTION("""COMPUTED_VALUE"""),"هبة الله عادل")</f>
        <v>هبة الله عادل</v>
      </c>
      <c r="B67" s="2">
        <f ca="1">IFERROR(__xludf.DUMMYFUNCTION("""COMPUTED_VALUE"""),243147538572)</f>
        <v>243147538572</v>
      </c>
      <c r="C67" s="2" t="str">
        <f ca="1">IFERROR(__xludf.DUMMYFUNCTION("""COMPUTED_VALUE"""),"هبة الله عادل")</f>
        <v>هبة الله عادل</v>
      </c>
      <c r="D67" s="4" t="str">
        <f ca="1">IFERROR(__xludf.DUMMYFUNCTION("""COMPUTED_VALUE"""),"1866")</f>
        <v>1866</v>
      </c>
      <c r="E67" s="2"/>
      <c r="F67" s="2" t="str">
        <f ca="1">IFERROR(__xludf.DUMMYFUNCTION("""COMPUTED_VALUE"""),"hebaadel1795@gmail.com")</f>
        <v>hebaadel1795@gmail.com</v>
      </c>
      <c r="G67" s="2" t="str">
        <f ca="1">IFERROR(__xludf.DUMMYFUNCTION("""COMPUTED_VALUE"""),"01159608979")</f>
        <v>01159608979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 t="str">
        <f ca="1">IFERROR(__xludf.DUMMYFUNCTION("""COMPUTED_VALUE"""),"أحمد النشار")</f>
        <v>أحمد النشار</v>
      </c>
      <c r="B68" s="2">
        <f ca="1">IFERROR(__xludf.DUMMYFUNCTION("""COMPUTED_VALUE"""),853142059206)</f>
        <v>853142059206</v>
      </c>
      <c r="C68" s="2" t="str">
        <f ca="1">IFERROR(__xludf.DUMMYFUNCTION("""COMPUTED_VALUE"""),"أحمد النشار")</f>
        <v>أحمد النشار</v>
      </c>
      <c r="D68" s="4" t="str">
        <f ca="1">IFERROR(__xludf.DUMMYFUNCTION("""COMPUTED_VALUE"""),"1870")</f>
        <v>1870</v>
      </c>
      <c r="E68" s="2"/>
      <c r="F68" s="2" t="str">
        <f ca="1">IFERROR(__xludf.DUMMYFUNCTION("""COMPUTED_VALUE"""),"dr.nashar1x@gmail.com")</f>
        <v>dr.nashar1x@gmail.com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 t="str">
        <f ca="1">IFERROR(__xludf.DUMMYFUNCTION("""COMPUTED_VALUE"""),"داليا حسين")</f>
        <v>داليا حسين</v>
      </c>
      <c r="B69" s="2">
        <f ca="1">IFERROR(__xludf.DUMMYFUNCTION("""COMPUTED_VALUE"""),287167641716)</f>
        <v>287167641716</v>
      </c>
      <c r="C69" s="2" t="str">
        <f ca="1">IFERROR(__xludf.DUMMYFUNCTION("""COMPUTED_VALUE"""),"داليا حسين")</f>
        <v>داليا حسين</v>
      </c>
      <c r="D69" s="4" t="str">
        <f ca="1">IFERROR(__xludf.DUMMYFUNCTION("""COMPUTED_VALUE"""),"1865")</f>
        <v>1865</v>
      </c>
      <c r="E69" s="2" t="str">
        <f ca="1">IFERROR(__xludf.DUMMYFUNCTION("""COMPUTED_VALUE"""),"EG10-EG11-G12")</f>
        <v>EG10-EG11-G12</v>
      </c>
      <c r="F69" s="2" t="str">
        <f ca="1">IFERROR(__xludf.DUMMYFUNCTION("""COMPUTED_VALUE"""),"daliahussein999@gmail.com")</f>
        <v>daliahussein999@gmail.com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 t="str">
        <f ca="1">IFERROR(__xludf.DUMMYFUNCTION("""COMPUTED_VALUE"""),"إبراهيم الطراوي")</f>
        <v>إبراهيم الطراوي</v>
      </c>
      <c r="B70" s="2">
        <f ca="1">IFERROR(__xludf.DUMMYFUNCTION("""COMPUTED_VALUE"""),598191375412)</f>
        <v>598191375412</v>
      </c>
      <c r="C70" s="2" t="str">
        <f ca="1">IFERROR(__xludf.DUMMYFUNCTION("""COMPUTED_VALUE"""),"إبراهيم الطراوي")</f>
        <v>إبراهيم الطراوي</v>
      </c>
      <c r="D70" s="4" t="str">
        <f ca="1">IFERROR(__xludf.DUMMYFUNCTION("""COMPUTED_VALUE"""),"1869")</f>
        <v>1869</v>
      </c>
      <c r="E70" s="2" t="str">
        <f ca="1">IFERROR(__xludf.DUMMYFUNCTION("""COMPUTED_VALUE"""),"EG04-EG05-EG06-EG07-EG08-EG09")</f>
        <v>EG04-EG05-EG06-EG07-EG08-EG09</v>
      </c>
      <c r="F70" s="2" t="str">
        <f ca="1">IFERROR(__xludf.DUMMYFUNCTION("""COMPUTED_VALUE"""),"ibrahim.altrawey@gmail.com")</f>
        <v>ibrahim.altrawey@gmail.com</v>
      </c>
      <c r="G70" s="2" t="str">
        <f ca="1">IFERROR(__xludf.DUMMYFUNCTION("""COMPUTED_VALUE"""),"01228286453")</f>
        <v>01228286453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 t="str">
        <f ca="1">IFERROR(__xludf.DUMMYFUNCTION("""COMPUTED_VALUE"""),"أحمد عبد العظيم")</f>
        <v>أحمد عبد العظيم</v>
      </c>
      <c r="B71" s="2">
        <f ca="1">IFERROR(__xludf.DUMMYFUNCTION("""COMPUTED_VALUE"""),530148208342)</f>
        <v>530148208342</v>
      </c>
      <c r="C71" s="2" t="str">
        <f ca="1">IFERROR(__xludf.DUMMYFUNCTION("""COMPUTED_VALUE"""),"أحمد عبد العظيم")</f>
        <v>أحمد عبد العظيم</v>
      </c>
      <c r="D71" s="4" t="str">
        <f ca="1">IFERROR(__xludf.DUMMYFUNCTION("""COMPUTED_VALUE"""),"1868")</f>
        <v>1868</v>
      </c>
      <c r="E71" s="2"/>
      <c r="F71" s="2" t="str">
        <f ca="1">IFERROR(__xludf.DUMMYFUNCTION("""COMPUTED_VALUE"""),"ahmedsayed121292@gmail.com")</f>
        <v>ahmedsayed121292@gmail.com</v>
      </c>
      <c r="G71" s="2">
        <f ca="1">IFERROR(__xludf.DUMMYFUNCTION("""COMPUTED_VALUE"""),1111733923)</f>
        <v>1111733923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 t="str">
        <f ca="1">IFERROR(__xludf.DUMMYFUNCTION("""COMPUTED_VALUE"""),"آلاء هشام")</f>
        <v>آلاء هشام</v>
      </c>
      <c r="B72" s="2">
        <f ca="1">IFERROR(__xludf.DUMMYFUNCTION("""COMPUTED_VALUE"""),535169279095)</f>
        <v>535169279095</v>
      </c>
      <c r="C72" s="2" t="str">
        <f ca="1">IFERROR(__xludf.DUMMYFUNCTION("""COMPUTED_VALUE"""),"آلاء هشام")</f>
        <v>آلاء هشام</v>
      </c>
      <c r="D72" s="4" t="str">
        <f ca="1">IFERROR(__xludf.DUMMYFUNCTION("""COMPUTED_VALUE"""),"1861")</f>
        <v>1861</v>
      </c>
      <c r="E72" s="2" t="str">
        <f ca="1">IFERROR(__xludf.DUMMYFUNCTION("""COMPUTED_VALUE"""),"EG07-EG08-EG09")</f>
        <v>EG07-EG08-EG09</v>
      </c>
      <c r="F72" s="2" t="str">
        <f ca="1">IFERROR(__xludf.DUMMYFUNCTION("""COMPUTED_VALUE"""),"alaahesham492@gmail.com")</f>
        <v>alaahesham492@gmail.com</v>
      </c>
      <c r="G72" s="2" t="str">
        <f ca="1">IFERROR(__xludf.DUMMYFUNCTION("""COMPUTED_VALUE"""),"01204537345")</f>
        <v>01204537345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 t="str">
        <f ca="1">IFERROR(__xludf.DUMMYFUNCTION("""COMPUTED_VALUE"""),"بيشوي وديع")</f>
        <v>بيشوي وديع</v>
      </c>
      <c r="B73" s="2">
        <f ca="1">IFERROR(__xludf.DUMMYFUNCTION("""COMPUTED_VALUE"""),165178526464)</f>
        <v>165178526464</v>
      </c>
      <c r="C73" s="2" t="str">
        <f ca="1">IFERROR(__xludf.DUMMYFUNCTION("""COMPUTED_VALUE"""),"بيشوي وديع")</f>
        <v>بيشوي وديع</v>
      </c>
      <c r="D73" s="4" t="str">
        <f ca="1">IFERROR(__xludf.DUMMYFUNCTION("""COMPUTED_VALUE"""),"1867")</f>
        <v>1867</v>
      </c>
      <c r="E73" s="2" t="str">
        <f ca="1">IFERROR(__xludf.DUMMYFUNCTION("""COMPUTED_VALUE"""),"EG10-EG11-G12")</f>
        <v>EG10-EG11-G12</v>
      </c>
      <c r="F73" s="2" t="str">
        <f ca="1">IFERROR(__xludf.DUMMYFUNCTION("""COMPUTED_VALUE"""),"bishoywadea.7@gmail.com")</f>
        <v>bishoywadea.7@gmail.com</v>
      </c>
      <c r="G73" s="2" t="str">
        <f ca="1">IFERROR(__xludf.DUMMYFUNCTION("""COMPUTED_VALUE"""),"01220405245")</f>
        <v>01220405245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 t="str">
        <f ca="1">IFERROR(__xludf.DUMMYFUNCTION("""COMPUTED_VALUE"""),"جوزيف إميل")</f>
        <v>جوزيف إميل</v>
      </c>
      <c r="B74" s="2">
        <f ca="1">IFERROR(__xludf.DUMMYFUNCTION("""COMPUTED_VALUE"""),206152939465)</f>
        <v>206152939465</v>
      </c>
      <c r="C74" s="2" t="str">
        <f ca="1">IFERROR(__xludf.DUMMYFUNCTION("""COMPUTED_VALUE"""),"جوزيف إميل")</f>
        <v>جوزيف إميل</v>
      </c>
      <c r="D74" s="4" t="str">
        <f ca="1">IFERROR(__xludf.DUMMYFUNCTION("""COMPUTED_VALUE"""),"1864")</f>
        <v>1864</v>
      </c>
      <c r="E74" s="2" t="str">
        <f ca="1">IFERROR(__xludf.DUMMYFUNCTION("""COMPUTED_VALUE"""),"G11-G12")</f>
        <v>G11-G12</v>
      </c>
      <c r="F74" s="2" t="str">
        <f ca="1">IFERROR(__xludf.DUMMYFUNCTION("""COMPUTED_VALUE"""),"josephemil.jojo@gmail.com")</f>
        <v>josephemil.jojo@gmail.com</v>
      </c>
      <c r="G74" s="2" t="str">
        <f ca="1">IFERROR(__xludf.DUMMYFUNCTION("""COMPUTED_VALUE"""),"+201228157318")</f>
        <v>+201228157318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 t="str">
        <f ca="1">IFERROR(__xludf.DUMMYFUNCTION("""COMPUTED_VALUE"""),"سارة لطفي")</f>
        <v>سارة لطفي</v>
      </c>
      <c r="B75" s="2">
        <f ca="1">IFERROR(__xludf.DUMMYFUNCTION("""COMPUTED_VALUE"""),357195672504)</f>
        <v>357195672504</v>
      </c>
      <c r="C75" s="2" t="str">
        <f ca="1">IFERROR(__xludf.DUMMYFUNCTION("""COMPUTED_VALUE"""),"سارة لطفي")</f>
        <v>سارة لطفي</v>
      </c>
      <c r="D75" s="4" t="str">
        <f ca="1">IFERROR(__xludf.DUMMYFUNCTION("""COMPUTED_VALUE"""),"1860")</f>
        <v>1860</v>
      </c>
      <c r="E75" s="2"/>
      <c r="F75" s="2" t="str">
        <f ca="1">IFERROR(__xludf.DUMMYFUNCTION("""COMPUTED_VALUE"""),"sarahelfeqy757@gmail.com")</f>
        <v>sarahelfeqy757@gmail.com</v>
      </c>
      <c r="G75" s="2" t="str">
        <f ca="1">IFERROR(__xludf.DUMMYFUNCTION("""COMPUTED_VALUE"""),"01025935755")</f>
        <v>01025935755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 t="str">
        <f ca="1">IFERROR(__xludf.DUMMYFUNCTION("""COMPUTED_VALUE"""),"رحاب توفيق")</f>
        <v>رحاب توفيق</v>
      </c>
      <c r="B76" s="2">
        <f ca="1">IFERROR(__xludf.DUMMYFUNCTION("""COMPUTED_VALUE"""),262187939345)</f>
        <v>262187939345</v>
      </c>
      <c r="C76" s="2" t="str">
        <f ca="1">IFERROR(__xludf.DUMMYFUNCTION("""COMPUTED_VALUE"""),"رحاب توفيق")</f>
        <v>رحاب توفيق</v>
      </c>
      <c r="D76" s="4" t="str">
        <f ca="1">IFERROR(__xludf.DUMMYFUNCTION("""COMPUTED_VALUE"""),"1873")</f>
        <v>1873</v>
      </c>
      <c r="E76" s="2"/>
      <c r="F76" s="2" t="str">
        <f ca="1">IFERROR(__xludf.DUMMYFUNCTION("""COMPUTED_VALUE"""),"rehabtawfik8@gmail.com")</f>
        <v>rehabtawfik8@gmail.com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 t="str">
        <f ca="1">IFERROR(__xludf.DUMMYFUNCTION("""COMPUTED_VALUE"""),"فاطمة أحمد")</f>
        <v>فاطمة أحمد</v>
      </c>
      <c r="B77" s="2">
        <f ca="1">IFERROR(__xludf.DUMMYFUNCTION("""COMPUTED_VALUE"""),307134532301)</f>
        <v>307134532301</v>
      </c>
      <c r="C77" s="2" t="str">
        <f ca="1">IFERROR(__xludf.DUMMYFUNCTION("""COMPUTED_VALUE"""),"فاطمة أحمد")</f>
        <v>فاطمة أحمد</v>
      </c>
      <c r="D77" s="4" t="str">
        <f ca="1">IFERROR(__xludf.DUMMYFUNCTION("""COMPUTED_VALUE"""),"1888")</f>
        <v>1888</v>
      </c>
      <c r="E77" s="2" t="str">
        <f ca="1">IFERROR(__xludf.DUMMYFUNCTION("""COMPUTED_VALUE"""),"G12")</f>
        <v>G12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 t="str">
        <f ca="1">IFERROR(__xludf.DUMMYFUNCTION("""COMPUTED_VALUE"""),"إسلام ممدوح")</f>
        <v>إسلام ممدوح</v>
      </c>
      <c r="B78" s="2">
        <f ca="1">IFERROR(__xludf.DUMMYFUNCTION("""COMPUTED_VALUE"""),920135701295)</f>
        <v>920135701295</v>
      </c>
      <c r="C78" s="2" t="str">
        <f ca="1">IFERROR(__xludf.DUMMYFUNCTION("""COMPUTED_VALUE"""),"إسلام ممدوح")</f>
        <v>إسلام ممدوح</v>
      </c>
      <c r="D78" s="4" t="str">
        <f ca="1">IFERROR(__xludf.DUMMYFUNCTION("""COMPUTED_VALUE"""),"1887")</f>
        <v>1887</v>
      </c>
      <c r="E78" s="2" t="str">
        <f ca="1">IFERROR(__xludf.DUMMYFUNCTION("""COMPUTED_VALUE"""),"G11-G12")</f>
        <v>G11-G12</v>
      </c>
      <c r="F78" s="2" t="str">
        <f ca="1">IFERROR(__xludf.DUMMYFUNCTION("""COMPUTED_VALUE"""),"mr.eslammamdohphysics@gmail.com")</f>
        <v>mr.eslammamdohphysics@gmail.com</v>
      </c>
      <c r="G78" s="2" t="str">
        <f ca="1">IFERROR(__xludf.DUMMYFUNCTION("""COMPUTED_VALUE"""),"01220501541 / 01006878086")</f>
        <v>01220501541 / 01006878086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 t="str">
        <f ca="1">IFERROR(__xludf.DUMMYFUNCTION("""COMPUTED_VALUE"""),"غيث عاطف")</f>
        <v>غيث عاطف</v>
      </c>
      <c r="B79" s="2">
        <f ca="1">IFERROR(__xludf.DUMMYFUNCTION("""COMPUTED_VALUE"""),503190357270)</f>
        <v>503190357270</v>
      </c>
      <c r="C79" s="2" t="str">
        <f ca="1">IFERROR(__xludf.DUMMYFUNCTION("""COMPUTED_VALUE"""),"غيث عاطف")</f>
        <v>غيث عاطف</v>
      </c>
      <c r="D79" s="4" t="str">
        <f ca="1">IFERROR(__xludf.DUMMYFUNCTION("""COMPUTED_VALUE"""),"1890")</f>
        <v>1890</v>
      </c>
      <c r="E79" s="2"/>
      <c r="F79" s="2" t="str">
        <f ca="1">IFERROR(__xludf.DUMMYFUNCTION("""COMPUTED_VALUE"""),"mrghies85@gmail.com")</f>
        <v>mrghies85@gmail.com</v>
      </c>
      <c r="G79" s="2" t="str">
        <f ca="1">IFERROR(__xludf.DUMMYFUNCTION("""COMPUTED_VALUE"""),"01007657654")</f>
        <v>01007657654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 t="str">
        <f ca="1">IFERROR(__xludf.DUMMYFUNCTION("""COMPUTED_VALUE"""),"هويدا منصور")</f>
        <v>هويدا منصور</v>
      </c>
      <c r="B80" s="2">
        <f ca="1">IFERROR(__xludf.DUMMYFUNCTION("""COMPUTED_VALUE"""),956106960751)</f>
        <v>956106960751</v>
      </c>
      <c r="C80" s="2" t="str">
        <f ca="1">IFERROR(__xludf.DUMMYFUNCTION("""COMPUTED_VALUE"""),"هويدا منصور")</f>
        <v>هويدا منصور</v>
      </c>
      <c r="D80" s="4" t="str">
        <f ca="1">IFERROR(__xludf.DUMMYFUNCTION("""COMPUTED_VALUE"""),"1885")</f>
        <v>1885</v>
      </c>
      <c r="E80" s="2" t="str">
        <f ca="1">IFERROR(__xludf.DUMMYFUNCTION("""COMPUTED_VALUE"""),"EG04-EG05-EG06")</f>
        <v>EG04-EG05-EG06</v>
      </c>
      <c r="F80" s="2" t="str">
        <f ca="1">IFERROR(__xludf.DUMMYFUNCTION("""COMPUTED_VALUE"""),"dodoelzohry22@gmail.com")</f>
        <v>dodoelzohry22@gmail.com</v>
      </c>
      <c r="G80" s="2" t="str">
        <f ca="1">IFERROR(__xludf.DUMMYFUNCTION("""COMPUTED_VALUE"""),"01090569530")</f>
        <v>01090569530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 t="str">
        <f ca="1">IFERROR(__xludf.DUMMYFUNCTION("""COMPUTED_VALUE"""),"ليلى السيد")</f>
        <v>ليلى السيد</v>
      </c>
      <c r="B81" s="2">
        <f ca="1">IFERROR(__xludf.DUMMYFUNCTION("""COMPUTED_VALUE"""),402170847265)</f>
        <v>402170847265</v>
      </c>
      <c r="C81" s="2" t="str">
        <f ca="1">IFERROR(__xludf.DUMMYFUNCTION("""COMPUTED_VALUE"""),"ليلى السيد")</f>
        <v>ليلى السيد</v>
      </c>
      <c r="D81" s="4" t="str">
        <f ca="1">IFERROR(__xludf.DUMMYFUNCTION("""COMPUTED_VALUE"""),"1883")</f>
        <v>1883</v>
      </c>
      <c r="E81" s="2"/>
      <c r="F81" s="2" t="str">
        <f ca="1">IFERROR(__xludf.DUMMYFUNCTION("""COMPUTED_VALUE"""),"lailaelsayed3@gmail.com")</f>
        <v>lailaelsayed3@gmail.com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 t="str">
        <f ca="1">IFERROR(__xludf.DUMMYFUNCTION("""COMPUTED_VALUE"""),"آيات أبو العلا")</f>
        <v>آيات أبو العلا</v>
      </c>
      <c r="B82" s="2">
        <f ca="1">IFERROR(__xludf.DUMMYFUNCTION("""COMPUTED_VALUE"""),895196457504)</f>
        <v>895196457504</v>
      </c>
      <c r="C82" s="2" t="str">
        <f ca="1">IFERROR(__xludf.DUMMYFUNCTION("""COMPUTED_VALUE"""),"آيات أبو العلا")</f>
        <v>آيات أبو العلا</v>
      </c>
      <c r="D82" s="2">
        <f ca="1">IFERROR(__xludf.DUMMYFUNCTION("""COMPUTED_VALUE"""),1886)</f>
        <v>1886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 t="str">
        <f ca="1">IFERROR(__xludf.DUMMYFUNCTION("""COMPUTED_VALUE"""),"أحمد مختار")</f>
        <v>أحمد مختار</v>
      </c>
      <c r="B83" s="2">
        <f ca="1">IFERROR(__xludf.DUMMYFUNCTION("""COMPUTED_VALUE"""),513102701368)</f>
        <v>513102701368</v>
      </c>
      <c r="C83" s="2" t="str">
        <f ca="1">IFERROR(__xludf.DUMMYFUNCTION("""COMPUTED_VALUE"""),"أحمد مختار")</f>
        <v>أحمد مختار</v>
      </c>
      <c r="D83" s="4" t="str">
        <f ca="1">IFERROR(__xludf.DUMMYFUNCTION("""COMPUTED_VALUE"""),"1892")</f>
        <v>1892</v>
      </c>
      <c r="E83" s="2" t="str">
        <f ca="1">IFERROR(__xludf.DUMMYFUNCTION("""COMPUTED_VALUE"""),"G11-G12")</f>
        <v>G11-G12</v>
      </c>
      <c r="F83" s="2" t="str">
        <f ca="1">IFERROR(__xludf.DUMMYFUNCTION("""COMPUTED_VALUE"""),"elshahaly.ahmed.2.96@gmail.com")</f>
        <v>elshahaly.ahmed.2.96@gmail.com</v>
      </c>
      <c r="G83" s="2" t="str">
        <f ca="1">IFERROR(__xludf.DUMMYFUNCTION("""COMPUTED_VALUE"""),"01275541280")</f>
        <v>01275541280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 t="str">
        <f ca="1">IFERROR(__xludf.DUMMYFUNCTION("""COMPUTED_VALUE"""),"إبراهيم فريد")</f>
        <v>إبراهيم فريد</v>
      </c>
      <c r="B84" s="2">
        <f ca="1">IFERROR(__xludf.DUMMYFUNCTION("""COMPUTED_VALUE"""),537125814019)</f>
        <v>537125814019</v>
      </c>
      <c r="C84" s="2" t="str">
        <f ca="1">IFERROR(__xludf.DUMMYFUNCTION("""COMPUTED_VALUE"""),"إبراهيم فريد")</f>
        <v>إبراهيم فريد</v>
      </c>
      <c r="D84" s="4" t="str">
        <f ca="1">IFERROR(__xludf.DUMMYFUNCTION("""COMPUTED_VALUE"""),"1899")</f>
        <v>1899</v>
      </c>
      <c r="E84" s="2"/>
      <c r="F84" s="2" t="str">
        <f ca="1">IFERROR(__xludf.DUMMYFUNCTION("""COMPUTED_VALUE"""),"i.aboserie@gmail.com")</f>
        <v>i.aboserie@gmail.com</v>
      </c>
      <c r="G84" s="2" t="str">
        <f ca="1">IFERROR(__xludf.DUMMYFUNCTION("""COMPUTED_VALUE"""),"01226531038")</f>
        <v>01226531038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 t="str">
        <f ca="1">IFERROR(__xludf.DUMMYFUNCTION("""COMPUTED_VALUE"""),"سارة عبد الحليم")</f>
        <v>سارة عبد الحليم</v>
      </c>
      <c r="B85" s="2">
        <f ca="1">IFERROR(__xludf.DUMMYFUNCTION("""COMPUTED_VALUE"""),818193063651)</f>
        <v>818193063651</v>
      </c>
      <c r="C85" s="2" t="str">
        <f ca="1">IFERROR(__xludf.DUMMYFUNCTION("""COMPUTED_VALUE"""),"سارة عبد الحليم")</f>
        <v>سارة عبد الحليم</v>
      </c>
      <c r="D85" s="4" t="str">
        <f ca="1">IFERROR(__xludf.DUMMYFUNCTION("""COMPUTED_VALUE"""),"1898")</f>
        <v>1898</v>
      </c>
      <c r="E85" s="2" t="str">
        <f ca="1">IFERROR(__xludf.DUMMYFUNCTION("""COMPUTED_VALUE"""),"EG07-EG08-EG09")</f>
        <v>EG07-EG08-EG09</v>
      </c>
      <c r="F85" s="2" t="str">
        <f ca="1">IFERROR(__xludf.DUMMYFUNCTION("""COMPUTED_VALUE"""),"saraabualm2121@gmail.com")</f>
        <v>saraabualm2121@gmail.com</v>
      </c>
      <c r="G85" s="2">
        <f ca="1">IFERROR(__xludf.DUMMYFUNCTION("""COMPUTED_VALUE"""),1124777848)</f>
        <v>1124777848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 t="str">
        <f ca="1">IFERROR(__xludf.DUMMYFUNCTION("""COMPUTED_VALUE"""),"محمد كمال")</f>
        <v>محمد كمال</v>
      </c>
      <c r="B86" s="2">
        <f ca="1">IFERROR(__xludf.DUMMYFUNCTION("""COMPUTED_VALUE"""),876163930275)</f>
        <v>876163930275</v>
      </c>
      <c r="C86" s="2" t="str">
        <f ca="1">IFERROR(__xludf.DUMMYFUNCTION("""COMPUTED_VALUE"""),"محمد كمال")</f>
        <v>محمد كمال</v>
      </c>
      <c r="D86" s="2">
        <f ca="1">IFERROR(__xludf.DUMMYFUNCTION("""COMPUTED_VALUE"""),1374)</f>
        <v>1374</v>
      </c>
      <c r="E86" s="2"/>
      <c r="F86" s="2" t="str">
        <f ca="1">IFERROR(__xludf.DUMMYFUNCTION("""COMPUTED_VALUE"""),"mohamed.ahmed.kamal@nagwa.com")</f>
        <v>mohamed.ahmed.kamal@nagwa.com</v>
      </c>
      <c r="G86" s="2" t="str">
        <f ca="1">IFERROR(__xludf.DUMMYFUNCTION("""COMPUTED_VALUE"""),"01001120294")</f>
        <v>01001120294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 t="str">
        <f ca="1">IFERROR(__xludf.DUMMYFUNCTION("""COMPUTED_VALUE"""),"إسراء إبراهيم")</f>
        <v>إسراء إبراهيم</v>
      </c>
      <c r="B87" s="2">
        <f ca="1">IFERROR(__xludf.DUMMYFUNCTION("""COMPUTED_VALUE"""),438168047047)</f>
        <v>438168047047</v>
      </c>
      <c r="C87" s="2" t="str">
        <f ca="1">IFERROR(__xludf.DUMMYFUNCTION("""COMPUTED_VALUE"""),"إسراء إبراهيم")</f>
        <v>إسراء إبراهيم</v>
      </c>
      <c r="D87" s="4" t="str">
        <f ca="1">IFERROR(__xludf.DUMMYFUNCTION("""COMPUTED_VALUE"""),"1907")</f>
        <v>1907</v>
      </c>
      <c r="E87" s="2" t="str">
        <f ca="1">IFERROR(__xludf.DUMMYFUNCTION("""COMPUTED_VALUE"""),"EG04-EG05-EG06-EG07-EG08-EG09")</f>
        <v>EG04-EG05-EG06-EG07-EG08-EG09</v>
      </c>
      <c r="F87" s="2" t="str">
        <f ca="1">IFERROR(__xludf.DUMMYFUNCTION("""COMPUTED_VALUE"""),"esraa.eid.95@gmail.com")</f>
        <v>esraa.eid.95@gmail.com</v>
      </c>
      <c r="G87" s="2" t="str">
        <f ca="1">IFERROR(__xludf.DUMMYFUNCTION("""COMPUTED_VALUE"""),"01009980720")</f>
        <v>01009980720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 t="str">
        <f ca="1">IFERROR(__xludf.DUMMYFUNCTION("""COMPUTED_VALUE"""),"إسلام السيد")</f>
        <v>إسلام السيد</v>
      </c>
      <c r="B88" s="2">
        <f ca="1">IFERROR(__xludf.DUMMYFUNCTION("""COMPUTED_VALUE"""),512143279207)</f>
        <v>512143279207</v>
      </c>
      <c r="C88" s="2" t="str">
        <f ca="1">IFERROR(__xludf.DUMMYFUNCTION("""COMPUTED_VALUE"""),"إسلام السيد")</f>
        <v>إسلام السيد</v>
      </c>
      <c r="D88" s="4" t="str">
        <f ca="1">IFERROR(__xludf.DUMMYFUNCTION("""COMPUTED_VALUE"""),"1901")</f>
        <v>1901</v>
      </c>
      <c r="E88" s="2"/>
      <c r="F88" s="2" t="str">
        <f ca="1">IFERROR(__xludf.DUMMYFUNCTION("""COMPUTED_VALUE"""),"mr.eslamelsyed@gmail.com")</f>
        <v>mr.eslamelsyed@gmail.com</v>
      </c>
      <c r="G88" s="2" t="str">
        <f ca="1">IFERROR(__xludf.DUMMYFUNCTION("""COMPUTED_VALUE"""),"01004928895")</f>
        <v>01004928895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 t="str">
        <f ca="1">IFERROR(__xludf.DUMMYFUNCTION("""COMPUTED_VALUE"""),"رحمة سعيد")</f>
        <v>رحمة سعيد</v>
      </c>
      <c r="B89" s="2">
        <f ca="1">IFERROR(__xludf.DUMMYFUNCTION("""COMPUTED_VALUE"""),578138935094)</f>
        <v>578138935094</v>
      </c>
      <c r="C89" s="2" t="str">
        <f ca="1">IFERROR(__xludf.DUMMYFUNCTION("""COMPUTED_VALUE"""),"رحمة سعيد")</f>
        <v>رحمة سعيد</v>
      </c>
      <c r="D89" s="4" t="str">
        <f ca="1">IFERROR(__xludf.DUMMYFUNCTION("""COMPUTED_VALUE"""),"1897")</f>
        <v>1897</v>
      </c>
      <c r="E89" s="2" t="str">
        <f ca="1">IFERROR(__xludf.DUMMYFUNCTION("""COMPUTED_VALUE"""),"EG01-EG02-EG03-EG04-EG05-EG06")</f>
        <v>EG01-EG02-EG03-EG04-EG05-EG06</v>
      </c>
      <c r="F89" s="2" t="str">
        <f ca="1">IFERROR(__xludf.DUMMYFUNCTION("""COMPUTED_VALUE"""),"rahmasaeed600@gmail.com")</f>
        <v>rahmasaeed600@gmail.com</v>
      </c>
      <c r="G89" s="2" t="str">
        <f ca="1">IFERROR(__xludf.DUMMYFUNCTION("""COMPUTED_VALUE"""),"01140946934")</f>
        <v>01140946934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 t="str">
        <f ca="1">IFERROR(__xludf.DUMMYFUNCTION("""COMPUTED_VALUE"""),"مريم محمد")</f>
        <v>مريم محمد</v>
      </c>
      <c r="B90" s="2">
        <f ca="1">IFERROR(__xludf.DUMMYFUNCTION("""COMPUTED_VALUE"""),239129619815)</f>
        <v>239129619815</v>
      </c>
      <c r="C90" s="2" t="str">
        <f ca="1">IFERROR(__xludf.DUMMYFUNCTION("""COMPUTED_VALUE"""),"مريم محمد")</f>
        <v>مريم محمد</v>
      </c>
      <c r="D90" s="4" t="str">
        <f ca="1">IFERROR(__xludf.DUMMYFUNCTION("""COMPUTED_VALUE"""),"1900")</f>
        <v>1900</v>
      </c>
      <c r="E90" s="2"/>
      <c r="F90" s="2" t="str">
        <f ca="1">IFERROR(__xludf.DUMMYFUNCTION("""COMPUTED_VALUE"""),"mariamabdelkader292@gmail.com")</f>
        <v>mariamabdelkader292@gmail.com</v>
      </c>
      <c r="G90" s="2">
        <f ca="1">IFERROR(__xludf.DUMMYFUNCTION("""COMPUTED_VALUE"""),201115757521)</f>
        <v>201115757521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 t="str">
        <f ca="1">IFERROR(__xludf.DUMMYFUNCTION("""COMPUTED_VALUE"""),"فادي جبرائيل")</f>
        <v>فادي جبرائيل</v>
      </c>
      <c r="B91" s="2">
        <f ca="1">IFERROR(__xludf.DUMMYFUNCTION("""COMPUTED_VALUE"""),675168783816)</f>
        <v>675168783816</v>
      </c>
      <c r="C91" s="2" t="str">
        <f ca="1">IFERROR(__xludf.DUMMYFUNCTION("""COMPUTED_VALUE"""),"فادي جبرائيل")</f>
        <v>فادي جبرائيل</v>
      </c>
      <c r="D91" s="4" t="str">
        <f ca="1">IFERROR(__xludf.DUMMYFUNCTION("""COMPUTED_VALUE"""),"1909")</f>
        <v>1909</v>
      </c>
      <c r="E91" s="2" t="str">
        <f ca="1">IFERROR(__xludf.DUMMYFUNCTION("""COMPUTED_VALUE"""),"EG10-EG11-G12")</f>
        <v>EG10-EG11-G12</v>
      </c>
      <c r="F91" s="2" t="str">
        <f ca="1">IFERROR(__xludf.DUMMYFUNCTION("""COMPUTED_VALUE"""),"fady.gobrail@gmail.com")</f>
        <v>fady.gobrail@gmail.com</v>
      </c>
      <c r="G91" s="2" t="str">
        <f ca="1">IFERROR(__xludf.DUMMYFUNCTION("""COMPUTED_VALUE"""),"035400651")</f>
        <v>035400651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 t="str">
        <f ca="1">IFERROR(__xludf.DUMMYFUNCTION("""COMPUTED_VALUE"""),"ياسمين هشام")</f>
        <v>ياسمين هشام</v>
      </c>
      <c r="B92" s="2">
        <f ca="1">IFERROR(__xludf.DUMMYFUNCTION("""COMPUTED_VALUE"""),213156056568)</f>
        <v>213156056568</v>
      </c>
      <c r="C92" s="2" t="str">
        <f ca="1">IFERROR(__xludf.DUMMYFUNCTION("""COMPUTED_VALUE"""),"ياسمين هشام")</f>
        <v>ياسمين هشام</v>
      </c>
      <c r="D92" s="4" t="str">
        <f ca="1">IFERROR(__xludf.DUMMYFUNCTION("""COMPUTED_VALUE"""),"1911")</f>
        <v>1911</v>
      </c>
      <c r="E92" s="2"/>
      <c r="F92" s="2" t="str">
        <f ca="1">IFERROR(__xludf.DUMMYFUNCTION("""COMPUTED_VALUE"""),"jess.hisham@gmail.com")</f>
        <v>jess.hisham@gmail.com</v>
      </c>
      <c r="G92" s="2" t="str">
        <f ca="1">IFERROR(__xludf.DUMMYFUNCTION("""COMPUTED_VALUE"""),"01000347446")</f>
        <v>01000347446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 t="str">
        <f ca="1">IFERROR(__xludf.DUMMYFUNCTION("""COMPUTED_VALUE"""),"أحمد الديري")</f>
        <v>أحمد الديري</v>
      </c>
      <c r="B93" s="2">
        <f ca="1">IFERROR(__xludf.DUMMYFUNCTION("""COMPUTED_VALUE"""),160143206257)</f>
        <v>160143206257</v>
      </c>
      <c r="C93" s="2" t="str">
        <f ca="1">IFERROR(__xludf.DUMMYFUNCTION("""COMPUTED_VALUE"""),"أحمد الديري")</f>
        <v>أحمد الديري</v>
      </c>
      <c r="D93" s="4" t="str">
        <f ca="1">IFERROR(__xludf.DUMMYFUNCTION("""COMPUTED_VALUE"""),"1918")</f>
        <v>1918</v>
      </c>
      <c r="E93" s="2" t="str">
        <f ca="1">IFERROR(__xludf.DUMMYFUNCTION("""COMPUTED_VALUE"""),"EG10-EG11")</f>
        <v>EG10-EG11</v>
      </c>
      <c r="F93" s="2" t="str">
        <f ca="1">IFERROR(__xludf.DUMMYFUNCTION("""COMPUTED_VALUE"""),"ahmedhamada07@gmail.com")</f>
        <v>ahmedhamada07@gmail.com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 t="str">
        <f ca="1">IFERROR(__xludf.DUMMYFUNCTION("""COMPUTED_VALUE"""),"أحمد عبد الرزاق")</f>
        <v>أحمد عبد الرزاق</v>
      </c>
      <c r="B94" s="2">
        <f ca="1">IFERROR(__xludf.DUMMYFUNCTION("""COMPUTED_VALUE"""),545169685360)</f>
        <v>545169685360</v>
      </c>
      <c r="C94" s="2" t="str">
        <f ca="1">IFERROR(__xludf.DUMMYFUNCTION("""COMPUTED_VALUE"""),"أحمد عبد الرزاق")</f>
        <v>أحمد عبد الرزاق</v>
      </c>
      <c r="D94" s="4" t="str">
        <f ca="1">IFERROR(__xludf.DUMMYFUNCTION("""COMPUTED_VALUE"""),"1916")</f>
        <v>1916</v>
      </c>
      <c r="E94" s="2" t="str">
        <f ca="1">IFERROR(__xludf.DUMMYFUNCTION("""COMPUTED_VALUE"""),"EG07-EG08-EG09-EG10")</f>
        <v>EG07-EG08-EG09-EG10</v>
      </c>
      <c r="F94" s="2" t="str">
        <f ca="1">IFERROR(__xludf.DUMMYFUNCTION("""COMPUTED_VALUE"""),"ahmedabdelrazakmail@gmail.com")</f>
        <v>ahmedabdelrazakmail@gmail.com</v>
      </c>
      <c r="G94" s="2" t="str">
        <f ca="1">IFERROR(__xludf.DUMMYFUNCTION("""COMPUTED_VALUE"""),"01144483106")</f>
        <v>01144483106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 t="str">
        <f ca="1">IFERROR(__xludf.DUMMYFUNCTION("""COMPUTED_VALUE"""),"أحمد سمير")</f>
        <v>أحمد سمير</v>
      </c>
      <c r="B95" s="2">
        <f ca="1">IFERROR(__xludf.DUMMYFUNCTION("""COMPUTED_VALUE"""),578168047263)</f>
        <v>578168047263</v>
      </c>
      <c r="C95" s="2" t="str">
        <f ca="1">IFERROR(__xludf.DUMMYFUNCTION("""COMPUTED_VALUE"""),"أحمد سمير")</f>
        <v>أحمد سمير</v>
      </c>
      <c r="D95" s="4">
        <f ca="1">IFERROR(__xludf.DUMMYFUNCTION("""COMPUTED_VALUE"""),1906)</f>
        <v>1906</v>
      </c>
      <c r="E95" s="2"/>
      <c r="F95" s="2" t="str">
        <f ca="1">IFERROR(__xludf.DUMMYFUNCTION("""COMPUTED_VALUE"""),"mrahmedsamer30@gmail.com")</f>
        <v>mrahmedsamer30@gmail.com</v>
      </c>
      <c r="G95" s="2" t="str">
        <f ca="1">IFERROR(__xludf.DUMMYFUNCTION("""COMPUTED_VALUE"""),"01060665053")</f>
        <v>01060665053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 t="str">
        <f ca="1">IFERROR(__xludf.DUMMYFUNCTION("""COMPUTED_VALUE"""),"هادي الشاعر")</f>
        <v>هادي الشاعر</v>
      </c>
      <c r="B96" s="2">
        <f ca="1">IFERROR(__xludf.DUMMYFUNCTION("""COMPUTED_VALUE"""),176131232361)</f>
        <v>176131232361</v>
      </c>
      <c r="C96" s="2" t="str">
        <f ca="1">IFERROR(__xludf.DUMMYFUNCTION("""COMPUTED_VALUE"""),"هادي الشاعر")</f>
        <v>هادي الشاعر</v>
      </c>
      <c r="D96" s="4" t="str">
        <f ca="1">IFERROR(__xludf.DUMMYFUNCTION("""COMPUTED_VALUE"""),"1904")</f>
        <v>1904</v>
      </c>
      <c r="E96" s="2"/>
      <c r="F96" s="2" t="str">
        <f ca="1">IFERROR(__xludf.DUMMYFUNCTION("""COMPUTED_VALUE"""),"hadyelshaer8@gmail.com")</f>
        <v>hadyelshaer8@gmail.com</v>
      </c>
      <c r="G96" s="2" t="str">
        <f ca="1">IFERROR(__xludf.DUMMYFUNCTION("""COMPUTED_VALUE"""),"01067571417")</f>
        <v>01067571417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 t="str">
        <f ca="1">IFERROR(__xludf.DUMMYFUNCTION("""COMPUTED_VALUE"""),"سالي إبراهيم")</f>
        <v>سالي إبراهيم</v>
      </c>
      <c r="B97" s="2">
        <f ca="1">IFERROR(__xludf.DUMMYFUNCTION("""COMPUTED_VALUE"""),829179380761)</f>
        <v>829179380761</v>
      </c>
      <c r="C97" s="2" t="str">
        <f ca="1">IFERROR(__xludf.DUMMYFUNCTION("""COMPUTED_VALUE"""),"سالي إبراهيم")</f>
        <v>سالي إبراهيم</v>
      </c>
      <c r="D97" s="4">
        <f ca="1">IFERROR(__xludf.DUMMYFUNCTION("""COMPUTED_VALUE"""),1915)</f>
        <v>1915</v>
      </c>
      <c r="E97" s="2"/>
      <c r="F97" s="2" t="str">
        <f ca="1">IFERROR(__xludf.DUMMYFUNCTION("""COMPUTED_VALUE"""),"dr.sallyibrahem70@gmail.com")</f>
        <v>dr.sallyibrahem70@gmail.com</v>
      </c>
      <c r="G97" s="2" t="str">
        <f ca="1">IFERROR(__xludf.DUMMYFUNCTION("""COMPUTED_VALUE"""),"01009604394")</f>
        <v>01009604394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 t="str">
        <f ca="1">IFERROR(__xludf.DUMMYFUNCTION("""COMPUTED_VALUE"""),"هشام إبراهيم")</f>
        <v>هشام إبراهيم</v>
      </c>
      <c r="B98" s="2">
        <f ca="1">IFERROR(__xludf.DUMMYFUNCTION("""COMPUTED_VALUE"""),517143909782)</f>
        <v>517143909782</v>
      </c>
      <c r="C98" s="2" t="str">
        <f ca="1">IFERROR(__xludf.DUMMYFUNCTION("""COMPUTED_VALUE"""),"هشام إبراهيم")</f>
        <v>هشام إبراهيم</v>
      </c>
      <c r="D98" s="4" t="str">
        <f ca="1">IFERROR(__xludf.DUMMYFUNCTION("""COMPUTED_VALUE"""),"1922")</f>
        <v>1922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 t="str">
        <f ca="1">IFERROR(__xludf.DUMMYFUNCTION("""COMPUTED_VALUE"""),"حنان بدوي")</f>
        <v>حنان بدوي</v>
      </c>
      <c r="B99" s="2">
        <f ca="1">IFERROR(__xludf.DUMMYFUNCTION("""COMPUTED_VALUE"""),239130462525)</f>
        <v>239130462525</v>
      </c>
      <c r="C99" s="2" t="str">
        <f ca="1">IFERROR(__xludf.DUMMYFUNCTION("""COMPUTED_VALUE"""),"حنان بدوي")</f>
        <v>حنان بدوي</v>
      </c>
      <c r="D99" s="4" t="str">
        <f ca="1">IFERROR(__xludf.DUMMYFUNCTION("""COMPUTED_VALUE"""),"1913")</f>
        <v>1913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 t="str">
        <f ca="1">IFERROR(__xludf.DUMMYFUNCTION("""COMPUTED_VALUE"""),"مدحت صابر")</f>
        <v>مدحت صابر</v>
      </c>
      <c r="B100" s="2">
        <f ca="1">IFERROR(__xludf.DUMMYFUNCTION("""COMPUTED_VALUE"""),983164352707)</f>
        <v>983164352707</v>
      </c>
      <c r="C100" s="2" t="str">
        <f ca="1">IFERROR(__xludf.DUMMYFUNCTION("""COMPUTED_VALUE"""),"مدحت صابر")</f>
        <v>مدحت صابر</v>
      </c>
      <c r="D100" s="4" t="str">
        <f ca="1">IFERROR(__xludf.DUMMYFUNCTION("""COMPUTED_VALUE"""),"1919")</f>
        <v>1919</v>
      </c>
      <c r="E100" s="2"/>
      <c r="F100" s="2" t="str">
        <f ca="1">IFERROR(__xludf.DUMMYFUNCTION("""COMPUTED_VALUE"""),"sabermedhat9@gmail.com")</f>
        <v>sabermedhat9@gmail.com</v>
      </c>
      <c r="G100" s="2" t="str">
        <f ca="1">IFERROR(__xludf.DUMMYFUNCTION("""COMPUTED_VALUE"""),"01006463329")</f>
        <v>01006463329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 t="str">
        <f ca="1">IFERROR(__xludf.DUMMYFUNCTION("""COMPUTED_VALUE"""),"هبة محمد")</f>
        <v>هبة محمد</v>
      </c>
      <c r="B101" s="2">
        <f ca="1">IFERROR(__xludf.DUMMYFUNCTION("""COMPUTED_VALUE"""),479193436034)</f>
        <v>479193436034</v>
      </c>
      <c r="C101" s="2" t="str">
        <f ca="1">IFERROR(__xludf.DUMMYFUNCTION("""COMPUTED_VALUE"""),"هبة محمد")</f>
        <v>هبة محمد</v>
      </c>
      <c r="D101" s="4" t="str">
        <f ca="1">IFERROR(__xludf.DUMMYFUNCTION("""COMPUTED_VALUE"""),"1920")</f>
        <v>1920</v>
      </c>
      <c r="E101" s="2"/>
      <c r="F101" s="2" t="str">
        <f ca="1">IFERROR(__xludf.DUMMYFUNCTION("""COMPUTED_VALUE"""),"heba.mh29@gmail.com")</f>
        <v>heba.mh29@gmail.com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 t="str">
        <f ca="1">IFERROR(__xludf.DUMMYFUNCTION("""COMPUTED_VALUE"""),"أيمن سليم")</f>
        <v>أيمن سليم</v>
      </c>
      <c r="B102" s="2">
        <f ca="1">IFERROR(__xludf.DUMMYFUNCTION("""COMPUTED_VALUE"""),403103787010)</f>
        <v>403103787010</v>
      </c>
      <c r="C102" s="2" t="str">
        <f ca="1">IFERROR(__xludf.DUMMYFUNCTION("""COMPUTED_VALUE"""),"أيمن سليم")</f>
        <v>أيمن سليم</v>
      </c>
      <c r="D102" s="4" t="str">
        <f ca="1">IFERROR(__xludf.DUMMYFUNCTION("""COMPUTED_VALUE"""),"1910")</f>
        <v>1910</v>
      </c>
      <c r="E102" s="2" t="str">
        <f ca="1">IFERROR(__xludf.DUMMYFUNCTION("""COMPUTED_VALUE"""),"لم يقبل نظام المحاسبة الجديد والتسجيلات فقرر الاستقالة، فيرجى التواصل معه وتنفيذ إجراءات إنهاء التعاقد وتسليم العهدة")</f>
        <v>لم يقبل نظام المحاسبة الجديد والتسجيلات فقرر الاستقالة، فيرجى التواصل معه وتنفيذ إجراءات إنهاء التعاقد وتسليم العهدة</v>
      </c>
      <c r="F102" s="2" t="str">
        <f ca="1">IFERROR(__xludf.DUMMYFUNCTION("""COMPUTED_VALUE"""),"ayman.m.selim@gmail.com")</f>
        <v>ayman.m.selim@gmail.com</v>
      </c>
      <c r="G102" s="2" t="str">
        <f ca="1">IFERROR(__xludf.DUMMYFUNCTION("""COMPUTED_VALUE"""),"01025907492")</f>
        <v>01025907492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 t="str">
        <f ca="1">IFERROR(__xludf.DUMMYFUNCTION("""COMPUTED_VALUE"""),"أحمد عبد القادر")</f>
        <v>أحمد عبد القادر</v>
      </c>
      <c r="B103" s="2">
        <f ca="1">IFERROR(__xludf.DUMMYFUNCTION("""COMPUTED_VALUE"""),970121862482)</f>
        <v>970121862482</v>
      </c>
      <c r="C103" s="2" t="str">
        <f ca="1">IFERROR(__xludf.DUMMYFUNCTION("""COMPUTED_VALUE"""),"أحمد عبد القادر")</f>
        <v>أحمد عبد القادر</v>
      </c>
      <c r="D103" s="2">
        <f ca="1">IFERROR(__xludf.DUMMYFUNCTION("""COMPUTED_VALUE"""),1908)</f>
        <v>1908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 t="str">
        <f ca="1">IFERROR(__xludf.DUMMYFUNCTION("""COMPUTED_VALUE"""),"محمد بهاء")</f>
        <v>محمد بهاء</v>
      </c>
      <c r="B104" s="2">
        <f ca="1">IFERROR(__xludf.DUMMYFUNCTION("""COMPUTED_VALUE"""),232180108363)</f>
        <v>232180108363</v>
      </c>
      <c r="C104" s="2" t="str">
        <f ca="1">IFERROR(__xludf.DUMMYFUNCTION("""COMPUTED_VALUE"""),"محمد بهاء")</f>
        <v>محمد بهاء</v>
      </c>
      <c r="D104" s="4" t="str">
        <f ca="1">IFERROR(__xludf.DUMMYFUNCTION("""COMPUTED_VALUE"""),"1924")</f>
        <v>1924</v>
      </c>
      <c r="E104" s="2"/>
      <c r="F104" s="2" t="str">
        <f ca="1">IFERROR(__xludf.DUMMYFUNCTION("""COMPUTED_VALUE"""),"mohamed.b.dahab@hotmail.com")</f>
        <v>mohamed.b.dahab@hotmail.com</v>
      </c>
      <c r="G104" s="2" t="str">
        <f ca="1">IFERROR(__xludf.DUMMYFUNCTION("""COMPUTED_VALUE"""),"01285237127")</f>
        <v>01285237127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 t="str">
        <f ca="1">IFERROR(__xludf.DUMMYFUNCTION("""COMPUTED_VALUE"""),"إسلام حُزين")</f>
        <v>إسلام حُزين</v>
      </c>
      <c r="B105" s="2">
        <f ca="1">IFERROR(__xludf.DUMMYFUNCTION("""COMPUTED_VALUE"""),529172543087)</f>
        <v>529172543087</v>
      </c>
      <c r="C105" s="2" t="str">
        <f ca="1">IFERROR(__xludf.DUMMYFUNCTION("""COMPUTED_VALUE"""),"إسلام حُزين")</f>
        <v>إسلام حُزين</v>
      </c>
      <c r="D105" s="4" t="str">
        <f ca="1">IFERROR(__xludf.DUMMYFUNCTION("""COMPUTED_VALUE"""),"1921")</f>
        <v>1921</v>
      </c>
      <c r="E105" s="2"/>
      <c r="F105" s="2" t="str">
        <f ca="1">IFERROR(__xludf.DUMMYFUNCTION("""COMPUTED_VALUE"""),"islamhozayen1@gmail.com")</f>
        <v>islamhozayen1@gmail.com</v>
      </c>
      <c r="G105" s="2" t="str">
        <f ca="1">IFERROR(__xludf.DUMMYFUNCTION("""COMPUTED_VALUE"""),"01000302485")</f>
        <v>01000302485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 t="str">
        <f ca="1">IFERROR(__xludf.DUMMYFUNCTION("""COMPUTED_VALUE"""),"رجب رمضان")</f>
        <v>رجب رمضان</v>
      </c>
      <c r="B106" s="2">
        <f ca="1">IFERROR(__xludf.DUMMYFUNCTION("""COMPUTED_VALUE"""),185172946290)</f>
        <v>185172946290</v>
      </c>
      <c r="C106" s="2" t="str">
        <f ca="1">IFERROR(__xludf.DUMMYFUNCTION("""COMPUTED_VALUE"""),"رجب رمضان")</f>
        <v>رجب رمضان</v>
      </c>
      <c r="D106" s="4" t="str">
        <f ca="1">IFERROR(__xludf.DUMMYFUNCTION("""COMPUTED_VALUE"""),"1927")</f>
        <v>1927</v>
      </c>
      <c r="E106" s="2" t="str">
        <f ca="1">IFERROR(__xludf.DUMMYFUNCTION("""COMPUTED_VALUE"""),"EG10-EG11-G12")</f>
        <v>EG10-EG11-G12</v>
      </c>
      <c r="F106" s="2" t="str">
        <f ca="1">IFERROR(__xludf.DUMMYFUNCTION("""COMPUTED_VALUE"""),"ragab313@gmail.com")</f>
        <v>ragab313@gmail.com</v>
      </c>
      <c r="G106" s="2" t="str">
        <f ca="1">IFERROR(__xludf.DUMMYFUNCTION("""COMPUTED_VALUE"""),"01550767106")</f>
        <v>01550767106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 t="str">
        <f ca="1">IFERROR(__xludf.DUMMYFUNCTION("""COMPUTED_VALUE"""),"فيرونيا ممدوح")</f>
        <v>فيرونيا ممدوح</v>
      </c>
      <c r="B107" s="2">
        <f ca="1">IFERROR(__xludf.DUMMYFUNCTION("""COMPUTED_VALUE"""),630168374236)</f>
        <v>630168374236</v>
      </c>
      <c r="C107" s="2" t="str">
        <f ca="1">IFERROR(__xludf.DUMMYFUNCTION("""COMPUTED_VALUE"""),"فيرونيا ممدوح")</f>
        <v>فيرونيا ممدوح</v>
      </c>
      <c r="D107" s="4" t="str">
        <f ca="1">IFERROR(__xludf.DUMMYFUNCTION("""COMPUTED_VALUE"""),"1930")</f>
        <v>1930</v>
      </c>
      <c r="E107" s="2" t="str">
        <f ca="1">IFERROR(__xludf.DUMMYFUNCTION("""COMPUTED_VALUE"""),"EG06-EG07-EG08-EG09-EG10")</f>
        <v>EG06-EG07-EG08-EG09-EG10</v>
      </c>
      <c r="F107" s="2" t="str">
        <f ca="1">IFERROR(__xludf.DUMMYFUNCTION("""COMPUTED_VALUE"""),"veroniamamdouh332@gmail.com")</f>
        <v>veroniamamdouh332@gmail.com</v>
      </c>
      <c r="G107" s="2" t="str">
        <f ca="1">IFERROR(__xludf.DUMMYFUNCTION("""COMPUTED_VALUE"""),"01285314528")</f>
        <v>01285314528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 t="str">
        <f ca="1">IFERROR(__xludf.DUMMYFUNCTION("""COMPUTED_VALUE"""),"إيمان أمين")</f>
        <v>إيمان أمين</v>
      </c>
      <c r="B108" s="2">
        <f ca="1">IFERROR(__xludf.DUMMYFUNCTION("""COMPUTED_VALUE"""),962104368108)</f>
        <v>962104368108</v>
      </c>
      <c r="C108" s="2" t="str">
        <f ca="1">IFERROR(__xludf.DUMMYFUNCTION("""COMPUTED_VALUE"""),"إيمان أمين")</f>
        <v>إيمان أمين</v>
      </c>
      <c r="D108" s="2">
        <f ca="1">IFERROR(__xludf.DUMMYFUNCTION("""COMPUTED_VALUE"""),1928)</f>
        <v>1928</v>
      </c>
      <c r="E108" s="2" t="str">
        <f ca="1">IFERROR(__xludf.DUMMYFUNCTION("""COMPUTED_VALUE"""),"EG04-EG05-EG06-EG07-EG08-EG09")</f>
        <v>EG04-EG05-EG06-EG07-EG08-EG09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 t="str">
        <f ca="1">IFERROR(__xludf.DUMMYFUNCTION("""COMPUTED_VALUE"""),"أحمد عوض")</f>
        <v>أحمد عوض</v>
      </c>
      <c r="B109" s="2">
        <f ca="1">IFERROR(__xludf.DUMMYFUNCTION("""COMPUTED_VALUE"""),695159151032)</f>
        <v>695159151032</v>
      </c>
      <c r="C109" s="2" t="str">
        <f ca="1">IFERROR(__xludf.DUMMYFUNCTION("""COMPUTED_VALUE"""),"أحمد عوض")</f>
        <v>أحمد عوض</v>
      </c>
      <c r="D109" s="4" t="str">
        <f ca="1">IFERROR(__xludf.DUMMYFUNCTION("""COMPUTED_VALUE"""),"1905")</f>
        <v>1905</v>
      </c>
      <c r="E109" s="2"/>
      <c r="F109" s="2" t="str">
        <f ca="1">IFERROR(__xludf.DUMMYFUNCTION("""COMPUTED_VALUE"""),"ahmedawad695@gmail.com")</f>
        <v>ahmedawad695@gmail.com</v>
      </c>
      <c r="G109" s="2" t="str">
        <f ca="1">IFERROR(__xludf.DUMMYFUNCTION("""COMPUTED_VALUE"""),"01012040409")</f>
        <v>01012040409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 t="str">
        <f ca="1">IFERROR(__xludf.DUMMYFUNCTION("""COMPUTED_VALUE"""),"أحمد حسن أحمد")</f>
        <v>أحمد حسن أحمد</v>
      </c>
      <c r="B110" s="2">
        <f ca="1">IFERROR(__xludf.DUMMYFUNCTION("""COMPUTED_VALUE"""),630193927137)</f>
        <v>630193927137</v>
      </c>
      <c r="C110" s="2" t="str">
        <f ca="1">IFERROR(__xludf.DUMMYFUNCTION("""COMPUTED_VALUE"""),"أحمد حسن أحمد")</f>
        <v>أحمد حسن أحمد</v>
      </c>
      <c r="D110" s="2">
        <f ca="1">IFERROR(__xludf.DUMMYFUNCTION("""COMPUTED_VALUE"""),1929)</f>
        <v>1929</v>
      </c>
      <c r="E110" s="2" t="str">
        <f ca="1">IFERROR(__xludf.DUMMYFUNCTION("""COMPUTED_VALUE"""),"EG07-EG08-EG09")</f>
        <v>EG07-EG08-EG09</v>
      </c>
      <c r="F110" s="2" t="str">
        <f ca="1">IFERROR(__xludf.DUMMYFUNCTION("""COMPUTED_VALUE"""),"ahmedhym99.ah@gmail.com")</f>
        <v>ahmedhym99.ah@gmail.com</v>
      </c>
      <c r="G110" s="2" t="str">
        <f ca="1">IFERROR(__xludf.DUMMYFUNCTION("""COMPUTED_VALUE"""),"01286412331")</f>
        <v>01286412331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 t="str">
        <f ca="1">IFERROR(__xludf.DUMMYFUNCTION("""COMPUTED_VALUE"""),"محمود حسن")</f>
        <v>محمود حسن</v>
      </c>
      <c r="B111" s="2">
        <f ca="1">IFERROR(__xludf.DUMMYFUNCTION("""COMPUTED_VALUE"""),594131489651)</f>
        <v>594131489651</v>
      </c>
      <c r="C111" s="2" t="str">
        <f ca="1">IFERROR(__xludf.DUMMYFUNCTION("""COMPUTED_VALUE"""),"محمود حسن")</f>
        <v>محمود حسن</v>
      </c>
      <c r="D111" s="2">
        <f ca="1">IFERROR(__xludf.DUMMYFUNCTION("""COMPUTED_VALUE"""),1926)</f>
        <v>1926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 t="str">
        <f ca="1">IFERROR(__xludf.DUMMYFUNCTION("""COMPUTED_VALUE"""),"حسام علي")</f>
        <v>حسام علي</v>
      </c>
      <c r="B112" s="2">
        <f ca="1">IFERROR(__xludf.DUMMYFUNCTION("""COMPUTED_VALUE"""),718163107616)</f>
        <v>718163107616</v>
      </c>
      <c r="C112" s="2" t="str">
        <f ca="1">IFERROR(__xludf.DUMMYFUNCTION("""COMPUTED_VALUE"""),"حسام علي")</f>
        <v>حسام علي</v>
      </c>
      <c r="D112" s="4" t="str">
        <f ca="1">IFERROR(__xludf.DUMMYFUNCTION("""COMPUTED_VALUE"""),"1942")</f>
        <v>1942</v>
      </c>
      <c r="E112" s="2"/>
      <c r="F112" s="2" t="str">
        <f ca="1">IFERROR(__xludf.DUMMYFUNCTION("""COMPUTED_VALUE"""),"hossamhs2@gmail.com")</f>
        <v>hossamhs2@gmail.com</v>
      </c>
      <c r="G112" s="2" t="str">
        <f ca="1">IFERROR(__xludf.DUMMYFUNCTION("""COMPUTED_VALUE"""),"01140444210")</f>
        <v>01140444210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 t="str">
        <f ca="1">IFERROR(__xludf.DUMMYFUNCTION("""COMPUTED_VALUE"""),"فاتن سيد")</f>
        <v>فاتن سيد</v>
      </c>
      <c r="B113" s="2">
        <f ca="1">IFERROR(__xludf.DUMMYFUNCTION("""COMPUTED_VALUE"""),296150317528)</f>
        <v>296150317528</v>
      </c>
      <c r="C113" s="2" t="str">
        <f ca="1">IFERROR(__xludf.DUMMYFUNCTION("""COMPUTED_VALUE"""),"فاتن سيد")</f>
        <v>فاتن سيد</v>
      </c>
      <c r="D113" s="4" t="str">
        <f ca="1">IFERROR(__xludf.DUMMYFUNCTION("""COMPUTED_VALUE"""),"1714")</f>
        <v>1714</v>
      </c>
      <c r="E113" s="2" t="str">
        <f ca="1">IFERROR(__xludf.DUMMYFUNCTION("""COMPUTED_VALUE"""),"EG04-EG05-EG06-EG07")</f>
        <v>EG04-EG05-EG06-EG07</v>
      </c>
      <c r="F113" s="2" t="str">
        <f ca="1">IFERROR(__xludf.DUMMYFUNCTION("""COMPUTED_VALUE"""),"faten4.sayed@gmail.com")</f>
        <v>faten4.sayed@gmail.com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 t="str">
        <f ca="1">IFERROR(__xludf.DUMMYFUNCTION("""COMPUTED_VALUE"""),"أحمد صلاح الدين")</f>
        <v>أحمد صلاح الدين</v>
      </c>
      <c r="B114" s="2">
        <f ca="1">IFERROR(__xludf.DUMMYFUNCTION("""COMPUTED_VALUE"""),848146561605)</f>
        <v>848146561605</v>
      </c>
      <c r="C114" s="2" t="str">
        <f ca="1">IFERROR(__xludf.DUMMYFUNCTION("""COMPUTED_VALUE"""),"أحمد صلاح الدين")</f>
        <v>أحمد صلاح الدين</v>
      </c>
      <c r="D114" s="4" t="str">
        <f ca="1">IFERROR(__xludf.DUMMYFUNCTION("""COMPUTED_VALUE"""),"1943")</f>
        <v>1943</v>
      </c>
      <c r="E114" s="2" t="str">
        <f ca="1">IFERROR(__xludf.DUMMYFUNCTION("""COMPUTED_VALUE"""),"تخلف كثيرا عن الالتحاق بفصوله من البداية ولن نعتمد عليه ثانية
EG08-EG09-EG10-EG11-EG12")</f>
        <v>تخلف كثيرا عن الالتحاق بفصوله من البداية ولن نعتمد عليه ثانية
EG08-EG09-EG10-EG11-EG12</v>
      </c>
      <c r="F114" s="2" t="str">
        <f ca="1">IFERROR(__xludf.DUMMYFUNCTION("""COMPUTED_VALUE"""),"ahmedsaladin10@gmail.com")</f>
        <v>ahmedsaladin10@gmail.com</v>
      </c>
      <c r="G114" s="2" t="str">
        <f ca="1">IFERROR(__xludf.DUMMYFUNCTION("""COMPUTED_VALUE"""),"01141745377")</f>
        <v>01141745377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 t="str">
        <f ca="1">IFERROR(__xludf.DUMMYFUNCTION("""COMPUTED_VALUE"""),"أميرة علي")</f>
        <v>أميرة علي</v>
      </c>
      <c r="B115" s="2">
        <f ca="1">IFERROR(__xludf.DUMMYFUNCTION("""COMPUTED_VALUE"""),928179812341)</f>
        <v>928179812341</v>
      </c>
      <c r="C115" s="2" t="str">
        <f ca="1">IFERROR(__xludf.DUMMYFUNCTION("""COMPUTED_VALUE"""),"أميرة علي")</f>
        <v>أميرة علي</v>
      </c>
      <c r="D115" s="2">
        <f ca="1">IFERROR(__xludf.DUMMYFUNCTION("""COMPUTED_VALUE"""),1945)</f>
        <v>1945</v>
      </c>
      <c r="E115" s="2"/>
      <c r="F115" s="2" t="str">
        <f ca="1">IFERROR(__xludf.DUMMYFUNCTION("""COMPUTED_VALUE"""),"amiraaliphy@gmail.com")</f>
        <v>amiraaliphy@gmail.com</v>
      </c>
      <c r="G115" s="2" t="str">
        <f ca="1">IFERROR(__xludf.DUMMYFUNCTION("""COMPUTED_VALUE"""),"01016171473")</f>
        <v>01016171473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 t="str">
        <f ca="1">IFERROR(__xludf.DUMMYFUNCTION("""COMPUTED_VALUE"""),"أسماء الحماقي")</f>
        <v>أسماء الحماقي</v>
      </c>
      <c r="B116" s="2">
        <f ca="1">IFERROR(__xludf.DUMMYFUNCTION("""COMPUTED_VALUE"""),870105869516)</f>
        <v>870105869516</v>
      </c>
      <c r="C116" s="2" t="str">
        <f ca="1">IFERROR(__xludf.DUMMYFUNCTION("""COMPUTED_VALUE"""),"أسماء الحماقي")</f>
        <v>أسماء الحماقي</v>
      </c>
      <c r="D116" s="4" t="str">
        <f ca="1">IFERROR(__xludf.DUMMYFUNCTION("""COMPUTED_VALUE"""),"1968")</f>
        <v>1968</v>
      </c>
      <c r="E116" s="2" t="str">
        <f ca="1">IFERROR(__xludf.DUMMYFUNCTION("""COMPUTED_VALUE"""),"EG04-EG05-EG06-EG07")</f>
        <v>EG04-EG05-EG06-EG07</v>
      </c>
      <c r="F116" s="2" t="str">
        <f ca="1">IFERROR(__xludf.DUMMYFUNCTION("""COMPUTED_VALUE"""),"aalhamaqi@gmail.com")</f>
        <v>aalhamaqi@gmail.com</v>
      </c>
      <c r="G116" s="2" t="str">
        <f ca="1">IFERROR(__xludf.DUMMYFUNCTION("""COMPUTED_VALUE"""),"01097689004")</f>
        <v>01097689004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 t="str">
        <f ca="1">IFERROR(__xludf.DUMMYFUNCTION("""COMPUTED_VALUE"""),"علي محمد")</f>
        <v>علي محمد</v>
      </c>
      <c r="B117" s="2">
        <f ca="1">IFERROR(__xludf.DUMMYFUNCTION("""COMPUTED_VALUE"""),609123972619)</f>
        <v>609123972619</v>
      </c>
      <c r="C117" s="2" t="str">
        <f ca="1">IFERROR(__xludf.DUMMYFUNCTION("""COMPUTED_VALUE"""),"علي محمد")</f>
        <v>علي محمد</v>
      </c>
      <c r="D117" s="4" t="str">
        <f ca="1">IFERROR(__xludf.DUMMYFUNCTION("""COMPUTED_VALUE"""),"1944")</f>
        <v>1944</v>
      </c>
      <c r="E117" s="2"/>
      <c r="F117" s="2" t="str">
        <f ca="1">IFERROR(__xludf.DUMMYFUNCTION("""COMPUTED_VALUE"""),"aly121981@gmail.com")</f>
        <v>aly121981@gmail.com</v>
      </c>
      <c r="G117" s="2" t="str">
        <f ca="1">IFERROR(__xludf.DUMMYFUNCTION("""COMPUTED_VALUE"""),"01026870040")</f>
        <v>01026870040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 t="str">
        <f ca="1">IFERROR(__xludf.DUMMYFUNCTION("""COMPUTED_VALUE"""),"دينا البهي")</f>
        <v>دينا البهي</v>
      </c>
      <c r="B118" s="2">
        <f ca="1">IFERROR(__xludf.DUMMYFUNCTION("""COMPUTED_VALUE"""),694184180652)</f>
        <v>694184180652</v>
      </c>
      <c r="C118" s="2" t="str">
        <f ca="1">IFERROR(__xludf.DUMMYFUNCTION("""COMPUTED_VALUE"""),"دينا البهي")</f>
        <v>دينا البهي</v>
      </c>
      <c r="D118" s="4" t="str">
        <f ca="1">IFERROR(__xludf.DUMMYFUNCTION("""COMPUTED_VALUE"""),"1965")</f>
        <v>1965</v>
      </c>
      <c r="E118" s="2"/>
      <c r="F118" s="2" t="str">
        <f ca="1">IFERROR(__xludf.DUMMYFUNCTION("""COMPUTED_VALUE"""),"delbahay@gmail.com")</f>
        <v>delbahay@gmail.com</v>
      </c>
      <c r="G118" s="2" t="str">
        <f ca="1">IFERROR(__xludf.DUMMYFUNCTION("""COMPUTED_VALUE"""),"01099696140")</f>
        <v>01099696140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 t="str">
        <f ca="1">IFERROR(__xludf.DUMMYFUNCTION("""COMPUTED_VALUE"""),"ولاء سعد")</f>
        <v>ولاء سعد</v>
      </c>
      <c r="B119" s="2">
        <f ca="1">IFERROR(__xludf.DUMMYFUNCTION("""COMPUTED_VALUE"""),472189645925)</f>
        <v>472189645925</v>
      </c>
      <c r="C119" s="2" t="str">
        <f ca="1">IFERROR(__xludf.DUMMYFUNCTION("""COMPUTED_VALUE"""),"ولاء سعد")</f>
        <v>ولاء سعد</v>
      </c>
      <c r="D119" s="4" t="str">
        <f ca="1">IFERROR(__xludf.DUMMYFUNCTION("""COMPUTED_VALUE"""),"1956")</f>
        <v>1956</v>
      </c>
      <c r="E119" s="2"/>
      <c r="F119" s="2" t="str">
        <f ca="1">IFERROR(__xludf.DUMMYFUNCTION("""COMPUTED_VALUE"""),"walaasaad17@gmail.com")</f>
        <v>walaasaad17@gmail.com</v>
      </c>
      <c r="G119" s="2" t="str">
        <f ca="1">IFERROR(__xludf.DUMMYFUNCTION("""COMPUTED_VALUE"""),"01120350201")</f>
        <v>01120350201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 t="str">
        <f ca="1">IFERROR(__xludf.DUMMYFUNCTION("""COMPUTED_VALUE"""),"ماجد مجدي")</f>
        <v>ماجد مجدي</v>
      </c>
      <c r="B120" s="2">
        <f ca="1">IFERROR(__xludf.DUMMYFUNCTION("""COMPUTED_VALUE"""),289190751325)</f>
        <v>289190751325</v>
      </c>
      <c r="C120" s="2" t="str">
        <f ca="1">IFERROR(__xludf.DUMMYFUNCTION("""COMPUTED_VALUE"""),"ماجد مجدي")</f>
        <v>ماجد مجدي</v>
      </c>
      <c r="D120" s="4" t="str">
        <f ca="1">IFERROR(__xludf.DUMMYFUNCTION("""COMPUTED_VALUE"""),"1959")</f>
        <v>1959</v>
      </c>
      <c r="E120" s="2"/>
      <c r="F120" s="2" t="str">
        <f ca="1">IFERROR(__xludf.DUMMYFUNCTION("""COMPUTED_VALUE"""),"maged0bebawy@gmail.com")</f>
        <v>maged0bebawy@gmail.com</v>
      </c>
      <c r="G120" s="2" t="str">
        <f ca="1">IFERROR(__xludf.DUMMYFUNCTION("""COMPUTED_VALUE"""),"01271303012")</f>
        <v>01271303012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 t="str">
        <f ca="1">IFERROR(__xludf.DUMMYFUNCTION("""COMPUTED_VALUE"""),"سيد صبري")</f>
        <v>سيد صبري</v>
      </c>
      <c r="B121" s="2">
        <f ca="1">IFERROR(__xludf.DUMMYFUNCTION("""COMPUTED_VALUE"""),698131716280)</f>
        <v>698131716280</v>
      </c>
      <c r="C121" s="2" t="str">
        <f ca="1">IFERROR(__xludf.DUMMYFUNCTION("""COMPUTED_VALUE"""),"سيد صبري")</f>
        <v>سيد صبري</v>
      </c>
      <c r="D121" s="4" t="str">
        <f ca="1">IFERROR(__xludf.DUMMYFUNCTION("""COMPUTED_VALUE"""),"1955")</f>
        <v>1955</v>
      </c>
      <c r="E121" s="2"/>
      <c r="F121" s="2" t="str">
        <f ca="1">IFERROR(__xludf.DUMMYFUNCTION("""COMPUTED_VALUE"""),"mr.sayedsabry.ss10@gmail.com")</f>
        <v>mr.sayedsabry.ss10@gmail.com</v>
      </c>
      <c r="G121" s="2">
        <f ca="1">IFERROR(__xludf.DUMMYFUNCTION("""COMPUTED_VALUE"""),1204000519)</f>
        <v>1204000519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 t="str">
        <f ca="1">IFERROR(__xludf.DUMMYFUNCTION("""COMPUTED_VALUE"""),"الحسين محمد")</f>
        <v>الحسين محمد</v>
      </c>
      <c r="B122" s="2">
        <f ca="1">IFERROR(__xludf.DUMMYFUNCTION("""COMPUTED_VALUE"""),108136563671)</f>
        <v>108136563671</v>
      </c>
      <c r="C122" s="2" t="str">
        <f ca="1">IFERROR(__xludf.DUMMYFUNCTION("""COMPUTED_VALUE"""),"الحسين محمد")</f>
        <v>الحسين محمد</v>
      </c>
      <c r="D122" s="4" t="str">
        <f ca="1">IFERROR(__xludf.DUMMYFUNCTION("""COMPUTED_VALUE"""),"1954")</f>
        <v>1954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 t="str">
        <f ca="1">IFERROR(__xludf.DUMMYFUNCTION("""COMPUTED_VALUE"""),"هدير سيد")</f>
        <v>هدير سيد</v>
      </c>
      <c r="B123" s="2">
        <f ca="1">IFERROR(__xludf.DUMMYFUNCTION("""COMPUTED_VALUE"""),197173080732)</f>
        <v>197173080732</v>
      </c>
      <c r="C123" s="2" t="str">
        <f ca="1">IFERROR(__xludf.DUMMYFUNCTION("""COMPUTED_VALUE"""),"هدير سيد")</f>
        <v>هدير سيد</v>
      </c>
      <c r="D123" s="4" t="str">
        <f ca="1">IFERROR(__xludf.DUMMYFUNCTION("""COMPUTED_VALUE"""),"1960")</f>
        <v>1960</v>
      </c>
      <c r="E123" s="2"/>
      <c r="F123" s="2" t="str">
        <f ca="1">IFERROR(__xludf.DUMMYFUNCTION("""COMPUTED_VALUE"""),"hadeersayeed68@gmail.com")</f>
        <v>hadeersayeed68@gmail.com</v>
      </c>
      <c r="G123" s="2" t="str">
        <f ca="1">IFERROR(__xludf.DUMMYFUNCTION("""COMPUTED_VALUE"""),"01028000334")</f>
        <v>01028000334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 t="str">
        <f ca="1">IFERROR(__xludf.DUMMYFUNCTION("""COMPUTED_VALUE"""),"رحاب الصعيدي")</f>
        <v>رحاب الصعيدي</v>
      </c>
      <c r="B124" s="2">
        <f ca="1">IFERROR(__xludf.DUMMYFUNCTION("""COMPUTED_VALUE"""),239195281814)</f>
        <v>239195281814</v>
      </c>
      <c r="C124" s="2" t="str">
        <f ca="1">IFERROR(__xludf.DUMMYFUNCTION("""COMPUTED_VALUE"""),"رحاب الصعيدي")</f>
        <v>رحاب الصعيدي</v>
      </c>
      <c r="D124" s="4" t="str">
        <f ca="1">IFERROR(__xludf.DUMMYFUNCTION("""COMPUTED_VALUE"""),"1969")</f>
        <v>1969</v>
      </c>
      <c r="E124" s="2" t="str">
        <f ca="1">IFERROR(__xludf.DUMMYFUNCTION("""COMPUTED_VALUE"""),"G11-G12")</f>
        <v>G11-G12</v>
      </c>
      <c r="F124" s="2" t="str">
        <f ca="1">IFERROR(__xludf.DUMMYFUNCTION("""COMPUTED_VALUE"""),"rehab.a.alsaidi@gmail.com")</f>
        <v>rehab.a.alsaidi@gmail.com</v>
      </c>
      <c r="G124" s="2" t="str">
        <f ca="1">IFERROR(__xludf.DUMMYFUNCTION("""COMPUTED_VALUE"""),"01062441609")</f>
        <v>01062441609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 t="str">
        <f ca="1">IFERROR(__xludf.DUMMYFUNCTION("""COMPUTED_VALUE"""),"عبير عبد الحليم")</f>
        <v>عبير عبد الحليم</v>
      </c>
      <c r="B125" s="2">
        <f ca="1">IFERROR(__xludf.DUMMYFUNCTION("""COMPUTED_VALUE"""),305108276197)</f>
        <v>305108276197</v>
      </c>
      <c r="C125" s="2" t="str">
        <f ca="1">IFERROR(__xludf.DUMMYFUNCTION("""COMPUTED_VALUE"""),"عبير عبد الحليم")</f>
        <v>عبير عبد الحليم</v>
      </c>
      <c r="D125" s="4" t="str">
        <f ca="1">IFERROR(__xludf.DUMMYFUNCTION("""COMPUTED_VALUE"""),"1970")</f>
        <v>1970</v>
      </c>
      <c r="E125" s="2" t="str">
        <f ca="1">IFERROR(__xludf.DUMMYFUNCTION("""COMPUTED_VALUE"""),"EG10-EG11-G12")</f>
        <v>EG10-EG11-G12</v>
      </c>
      <c r="F125" s="2" t="str">
        <f ca="1">IFERROR(__xludf.DUMMYFUNCTION("""COMPUTED_VALUE"""),"abeerabdelhalim153@gmail.com")</f>
        <v>abeerabdelhalim153@gmail.com</v>
      </c>
      <c r="G125" s="2">
        <f ca="1">IFERROR(__xludf.DUMMYFUNCTION("""COMPUTED_VALUE"""),1012274118)</f>
        <v>1012274118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 t="str">
        <f ca="1">IFERROR(__xludf.DUMMYFUNCTION("""COMPUTED_VALUE"""),"سلمى عصام")</f>
        <v>سلمى عصام</v>
      </c>
      <c r="B126" s="2">
        <f ca="1">IFERROR(__xludf.DUMMYFUNCTION("""COMPUTED_VALUE"""),418196047464)</f>
        <v>418196047464</v>
      </c>
      <c r="C126" s="2" t="str">
        <f ca="1">IFERROR(__xludf.DUMMYFUNCTION("""COMPUTED_VALUE"""),"سلمى عصام")</f>
        <v>سلمى عصام</v>
      </c>
      <c r="D126" s="4" t="str">
        <f ca="1">IFERROR(__xludf.DUMMYFUNCTION("""COMPUTED_VALUE"""),"1974")</f>
        <v>1974</v>
      </c>
      <c r="E126" s="2"/>
      <c r="F126" s="2" t="str">
        <f ca="1">IFERROR(__xludf.DUMMYFUNCTION("""COMPUTED_VALUE"""),"salma.essam.saad@gmail.com")</f>
        <v>salma.essam.saad@gmail.com</v>
      </c>
      <c r="G126" s="2" t="str">
        <f ca="1">IFERROR(__xludf.DUMMYFUNCTION("""COMPUTED_VALUE"""),"01141184357")</f>
        <v>01141184357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 t="str">
        <f ca="1">IFERROR(__xludf.DUMMYFUNCTION("""COMPUTED_VALUE"""),"إنجي يحيى")</f>
        <v>إنجي يحيى</v>
      </c>
      <c r="B127" s="2">
        <f ca="1">IFERROR(__xludf.DUMMYFUNCTION("""COMPUTED_VALUE"""),872163032543)</f>
        <v>872163032543</v>
      </c>
      <c r="C127" s="2" t="str">
        <f ca="1">IFERROR(__xludf.DUMMYFUNCTION("""COMPUTED_VALUE"""),"إنجي يحيى")</f>
        <v>إنجي يحيى</v>
      </c>
      <c r="D127" s="4" t="str">
        <f ca="1">IFERROR(__xludf.DUMMYFUNCTION("""COMPUTED_VALUE"""),"1962")</f>
        <v>1962</v>
      </c>
      <c r="E127" s="2"/>
      <c r="F127" s="2" t="str">
        <f ca="1">IFERROR(__xludf.DUMMYFUNCTION("""COMPUTED_VALUE"""),"nojayehia2009@gmail.com")</f>
        <v>nojayehia2009@gmail.com</v>
      </c>
      <c r="G127" s="2">
        <f ca="1">IFERROR(__xludf.DUMMYFUNCTION("""COMPUTED_VALUE"""),1115125755)</f>
        <v>1115125755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 t="str">
        <f ca="1">IFERROR(__xludf.DUMMYFUNCTION("""COMPUTED_VALUE"""),"محمد محرم")</f>
        <v>محمد محرم</v>
      </c>
      <c r="B128" s="2">
        <f ca="1">IFERROR(__xludf.DUMMYFUNCTION("""COMPUTED_VALUE"""),429127969509)</f>
        <v>429127969509</v>
      </c>
      <c r="C128" s="2" t="str">
        <f ca="1">IFERROR(__xludf.DUMMYFUNCTION("""COMPUTED_VALUE"""),"محمد محرم")</f>
        <v>محمد محرم</v>
      </c>
      <c r="D128" s="4" t="str">
        <f ca="1">IFERROR(__xludf.DUMMYFUNCTION("""COMPUTED_VALUE"""),"1964")</f>
        <v>1964</v>
      </c>
      <c r="E128" s="2" t="str">
        <f ca="1">IFERROR(__xludf.DUMMYFUNCTION("""COMPUTED_VALUE"""),"EG04-EG05-EG06-EG07-EG08-EG09")</f>
        <v>EG04-EG05-EG06-EG07-EG08-EG09</v>
      </c>
      <c r="F128" s="2" t="str">
        <f ca="1">IFERROR(__xludf.DUMMYFUNCTION("""COMPUTED_VALUE"""),"m.moharam91@gmail.com")</f>
        <v>m.moharam91@gmail.com</v>
      </c>
      <c r="G128" s="2" t="str">
        <f ca="1">IFERROR(__xludf.DUMMYFUNCTION("""COMPUTED_VALUE"""),"01009005365")</f>
        <v>01009005365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 t="str">
        <f ca="1">IFERROR(__xludf.DUMMYFUNCTION("""COMPUTED_VALUE"""),"رشا نصير")</f>
        <v>رشا نصير</v>
      </c>
      <c r="B129" s="2">
        <f ca="1">IFERROR(__xludf.DUMMYFUNCTION("""COMPUTED_VALUE"""),942138286345)</f>
        <v>942138286345</v>
      </c>
      <c r="C129" s="2" t="str">
        <f ca="1">IFERROR(__xludf.DUMMYFUNCTION("""COMPUTED_VALUE"""),"رشا نصير")</f>
        <v>رشا نصير</v>
      </c>
      <c r="D129" s="4" t="str">
        <f ca="1">IFERROR(__xludf.DUMMYFUNCTION("""COMPUTED_VALUE"""),"1975")</f>
        <v>1975</v>
      </c>
      <c r="E129" s="2" t="str">
        <f ca="1">IFERROR(__xludf.DUMMYFUNCTION("""COMPUTED_VALUE"""),"EG10-EG11-G12")</f>
        <v>EG10-EG11-G12</v>
      </c>
      <c r="F129" s="2" t="str">
        <f ca="1">IFERROR(__xludf.DUMMYFUNCTION("""COMPUTED_VALUE"""),"rnosier.72@gmail.com")</f>
        <v>rnosier.72@gmail.com</v>
      </c>
      <c r="G129" s="2" t="str">
        <f ca="1">IFERROR(__xludf.DUMMYFUNCTION("""COMPUTED_VALUE"""),"01004540715")</f>
        <v>01004540715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 t="str">
        <f ca="1">IFERROR(__xludf.DUMMYFUNCTION("""COMPUTED_VALUE"""),"البدراوي طلبة")</f>
        <v>البدراوي طلبة</v>
      </c>
      <c r="B130" s="2">
        <f ca="1">IFERROR(__xludf.DUMMYFUNCTION("""COMPUTED_VALUE"""),258141760167)</f>
        <v>258141760167</v>
      </c>
      <c r="C130" s="2" t="str">
        <f ca="1">IFERROR(__xludf.DUMMYFUNCTION("""COMPUTED_VALUE"""),"البدراوي طلبة")</f>
        <v>البدراوي طلبة</v>
      </c>
      <c r="D130" s="4" t="str">
        <f ca="1">IFERROR(__xludf.DUMMYFUNCTION("""COMPUTED_VALUE"""),"1971")</f>
        <v>1971</v>
      </c>
      <c r="E130" s="2" t="str">
        <f ca="1">IFERROR(__xludf.DUMMYFUNCTION("""COMPUTED_VALUE"""),"EG10-EG11-G12")</f>
        <v>EG10-EG11-G12</v>
      </c>
      <c r="F130" s="2" t="str">
        <f ca="1">IFERROR(__xludf.DUMMYFUNCTION("""COMPUTED_VALUE"""),"mrbadrawy333@gmail.com")</f>
        <v>mrbadrawy333@gmail.com</v>
      </c>
      <c r="G130" s="2" t="str">
        <f ca="1">IFERROR(__xludf.DUMMYFUNCTION("""COMPUTED_VALUE"""),"01152735223")</f>
        <v>01152735223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 t="str">
        <f ca="1">IFERROR(__xludf.DUMMYFUNCTION("""COMPUTED_VALUE"""),"أميرة غيث")</f>
        <v>أميرة غيث</v>
      </c>
      <c r="B131" s="2">
        <f ca="1">IFERROR(__xludf.DUMMYFUNCTION("""COMPUTED_VALUE"""),962134062378)</f>
        <v>962134062378</v>
      </c>
      <c r="C131" s="2" t="str">
        <f ca="1">IFERROR(__xludf.DUMMYFUNCTION("""COMPUTED_VALUE"""),"أميرة غيث")</f>
        <v>أميرة غيث</v>
      </c>
      <c r="D131" s="4" t="str">
        <f ca="1">IFERROR(__xludf.DUMMYFUNCTION("""COMPUTED_VALUE"""),"1963")</f>
        <v>1963</v>
      </c>
      <c r="E131" s="2"/>
      <c r="F131" s="2" t="str">
        <f ca="1">IFERROR(__xludf.DUMMYFUNCTION("""COMPUTED_VALUE"""),"amiraghth@gmail.com")</f>
        <v>amiraghth@gmail.com</v>
      </c>
      <c r="G131" s="2" t="str">
        <f ca="1">IFERROR(__xludf.DUMMYFUNCTION("""COMPUTED_VALUE"""),"01119682313")</f>
        <v>01119682313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 t="str">
        <f ca="1">IFERROR(__xludf.DUMMYFUNCTION("""COMPUTED_VALUE"""),"سارة محمد")</f>
        <v>سارة محمد</v>
      </c>
      <c r="B132" s="2">
        <f ca="1">IFERROR(__xludf.DUMMYFUNCTION("""COMPUTED_VALUE"""),412161359614)</f>
        <v>412161359614</v>
      </c>
      <c r="C132" s="2" t="str">
        <f ca="1">IFERROR(__xludf.DUMMYFUNCTION("""COMPUTED_VALUE"""),"سارة محمد")</f>
        <v>سارة محمد</v>
      </c>
      <c r="D132" s="4" t="str">
        <f ca="1">IFERROR(__xludf.DUMMYFUNCTION("""COMPUTED_VALUE"""),"1958")</f>
        <v>1958</v>
      </c>
      <c r="E132" s="2"/>
      <c r="F132" s="2" t="str">
        <f ca="1">IFERROR(__xludf.DUMMYFUNCTION("""COMPUTED_VALUE"""),"sararef3t90@gmail.com")</f>
        <v>sararef3t90@gmail.com</v>
      </c>
      <c r="G132" s="2" t="str">
        <f ca="1">IFERROR(__xludf.DUMMYFUNCTION("""COMPUTED_VALUE"""),"+201100848903")</f>
        <v>+201100848903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 t="str">
        <f ca="1">IFERROR(__xludf.DUMMYFUNCTION("""COMPUTED_VALUE"""),"تقى السيد")</f>
        <v>تقى السيد</v>
      </c>
      <c r="B133" s="2">
        <f ca="1">IFERROR(__xludf.DUMMYFUNCTION("""COMPUTED_VALUE"""),860125604984)</f>
        <v>860125604984</v>
      </c>
      <c r="C133" s="2" t="str">
        <f ca="1">IFERROR(__xludf.DUMMYFUNCTION("""COMPUTED_VALUE"""),"تقى السيد")</f>
        <v>تقى السيد</v>
      </c>
      <c r="D133" s="2">
        <f ca="1">IFERROR(__xludf.DUMMYFUNCTION("""COMPUTED_VALUE"""),1961)</f>
        <v>1961</v>
      </c>
      <c r="E133" s="2"/>
      <c r="F133" s="2" t="str">
        <f ca="1">IFERROR(__xludf.DUMMYFUNCTION("""COMPUTED_VALUE"""),"toka.shokran@gmail.com")</f>
        <v>toka.shokran@gmail.com</v>
      </c>
      <c r="G133" s="2" t="str">
        <f ca="1">IFERROR(__xludf.DUMMYFUNCTION("""COMPUTED_VALUE"""),"01111163114")</f>
        <v>01111163114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 t="str">
        <f ca="1">IFERROR(__xludf.DUMMYFUNCTION("""COMPUTED_VALUE"""),"رانيا عبد الجواد")</f>
        <v>رانيا عبد الجواد</v>
      </c>
      <c r="B134" s="2">
        <f ca="1">IFERROR(__xludf.DUMMYFUNCTION("""COMPUTED_VALUE"""),292171703567)</f>
        <v>292171703567</v>
      </c>
      <c r="C134" s="2" t="str">
        <f ca="1">IFERROR(__xludf.DUMMYFUNCTION("""COMPUTED_VALUE"""),"رانيا عبد الجواد")</f>
        <v>رانيا عبد الجواد</v>
      </c>
      <c r="D134" s="4" t="str">
        <f ca="1">IFERROR(__xludf.DUMMYFUNCTION("""COMPUTED_VALUE"""),"1979")</f>
        <v>1979</v>
      </c>
      <c r="E134" s="2" t="str">
        <f ca="1">IFERROR(__xludf.DUMMYFUNCTION("""COMPUTED_VALUE"""),"اعتذرت عن استكمال فصول السنة لمروره بظرف صحي، وستستقيل
")</f>
        <v xml:space="preserve">اعتذرت عن استكمال فصول السنة لمروره بظرف صحي، وستستقيل
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 t="str">
        <f ca="1">IFERROR(__xludf.DUMMYFUNCTION("""COMPUTED_VALUE"""),"مرسي خالد")</f>
        <v>مرسي خالد</v>
      </c>
      <c r="B135" s="2">
        <f ca="1">IFERROR(__xludf.DUMMYFUNCTION("""COMPUTED_VALUE"""),439197564751)</f>
        <v>439197564751</v>
      </c>
      <c r="C135" s="2" t="str">
        <f ca="1">IFERROR(__xludf.DUMMYFUNCTION("""COMPUTED_VALUE"""),"مرسي خالد")</f>
        <v>مرسي خالد</v>
      </c>
      <c r="D135" s="4" t="str">
        <f ca="1">IFERROR(__xludf.DUMMYFUNCTION("""COMPUTED_VALUE"""),"1957")</f>
        <v>1957</v>
      </c>
      <c r="E135" s="2"/>
      <c r="F135" s="2" t="str">
        <f ca="1">IFERROR(__xludf.DUMMYFUNCTION("""COMPUTED_VALUE"""),"morsykhaledmorsy@outlook.com")</f>
        <v>morsykhaledmorsy@outlook.com</v>
      </c>
      <c r="G135" s="2" t="str">
        <f ca="1">IFERROR(__xludf.DUMMYFUNCTION("""COMPUTED_VALUE"""),"01555050003")</f>
        <v>01555050003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 t="str">
        <f ca="1">IFERROR(__xludf.DUMMYFUNCTION("""COMPUTED_VALUE"""),"إبراهيم سعيد")</f>
        <v>إبراهيم سعيد</v>
      </c>
      <c r="B136" s="2">
        <f ca="1">IFERROR(__xludf.DUMMYFUNCTION("""COMPUTED_VALUE"""),138121769423)</f>
        <v>138121769423</v>
      </c>
      <c r="C136" s="2" t="str">
        <f ca="1">IFERROR(__xludf.DUMMYFUNCTION("""COMPUTED_VALUE"""),"إبراهيم سعيد")</f>
        <v>إبراهيم سعيد</v>
      </c>
      <c r="D136" s="4" t="str">
        <f ca="1">IFERROR(__xludf.DUMMYFUNCTION("""COMPUTED_VALUE"""),"1967")</f>
        <v>1967</v>
      </c>
      <c r="E136" s="2"/>
      <c r="F136" s="2" t="str">
        <f ca="1">IFERROR(__xludf.DUMMYFUNCTION("""COMPUTED_VALUE"""),"ibrahimsaid1741977@gmail.com")</f>
        <v>ibrahimsaid1741977@gmail.com</v>
      </c>
      <c r="G136" s="2">
        <f ca="1">IFERROR(__xludf.DUMMYFUNCTION("""COMPUTED_VALUE"""),1020307471)</f>
        <v>1020307471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 t="str">
        <f ca="1">IFERROR(__xludf.DUMMYFUNCTION("""COMPUTED_VALUE"""),"إيمان فايز")</f>
        <v>إيمان فايز</v>
      </c>
      <c r="B137" s="2">
        <f ca="1">IFERROR(__xludf.DUMMYFUNCTION("""COMPUTED_VALUE"""),510130705852)</f>
        <v>510130705852</v>
      </c>
      <c r="C137" s="2" t="str">
        <f ca="1">IFERROR(__xludf.DUMMYFUNCTION("""COMPUTED_VALUE"""),"إيمان فايز")</f>
        <v>إيمان فايز</v>
      </c>
      <c r="D137" s="4" t="str">
        <f ca="1">IFERROR(__xludf.DUMMYFUNCTION("""COMPUTED_VALUE"""),"1966")</f>
        <v>1966</v>
      </c>
      <c r="E137" s="2"/>
      <c r="F137" s="2" t="str">
        <f ca="1">IFERROR(__xludf.DUMMYFUNCTION("""COMPUTED_VALUE"""),"emanfayezkhalil@gmail.com")</f>
        <v>emanfayezkhalil@gmail.com</v>
      </c>
      <c r="G137" s="2" t="str">
        <f ca="1">IFERROR(__xludf.DUMMYFUNCTION("""COMPUTED_VALUE"""),"01220761144")</f>
        <v>01220761144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 t="str">
        <f ca="1">IFERROR(__xludf.DUMMYFUNCTION("""COMPUTED_VALUE"""),"مي غرابة")</f>
        <v>مي غرابة</v>
      </c>
      <c r="B138" s="2">
        <f ca="1">IFERROR(__xludf.DUMMYFUNCTION("""COMPUTED_VALUE"""),535169286572)</f>
        <v>535169286572</v>
      </c>
      <c r="C138" s="2" t="str">
        <f ca="1">IFERROR(__xludf.DUMMYFUNCTION("""COMPUTED_VALUE"""),"مي غرابة")</f>
        <v>مي غرابة</v>
      </c>
      <c r="D138" s="4">
        <f ca="1">IFERROR(__xludf.DUMMYFUNCTION("""COMPUTED_VALUE"""),1980)</f>
        <v>1980</v>
      </c>
      <c r="E138" s="2"/>
      <c r="F138" s="2" t="str">
        <f ca="1">IFERROR(__xludf.DUMMYFUNCTION("""COMPUTED_VALUE"""),"mg306@hotmail.com")</f>
        <v>mg306@hotmail.com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 t="str">
        <f ca="1">IFERROR(__xludf.DUMMYFUNCTION("""COMPUTED_VALUE"""),"شيرين حافظ")</f>
        <v>شيرين حافظ</v>
      </c>
      <c r="B139" s="2">
        <f ca="1">IFERROR(__xludf.DUMMYFUNCTION("""COMPUTED_VALUE"""),285163691768)</f>
        <v>285163691768</v>
      </c>
      <c r="C139" s="2" t="str">
        <f ca="1">IFERROR(__xludf.DUMMYFUNCTION("""COMPUTED_VALUE"""),"شيرين حافظ")</f>
        <v>شيرين حافظ</v>
      </c>
      <c r="D139" s="4" t="str">
        <f ca="1">IFERROR(__xludf.DUMMYFUNCTION("""COMPUTED_VALUE"""),"1972")</f>
        <v>1972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 t="str">
        <f ca="1">IFERROR(__xludf.DUMMYFUNCTION("""COMPUTED_VALUE"""),"شيرين حلمي")</f>
        <v>شيرين حلمي</v>
      </c>
      <c r="B140" s="2">
        <f ca="1">IFERROR(__xludf.DUMMYFUNCTION("""COMPUTED_VALUE"""),876106203518)</f>
        <v>876106203518</v>
      </c>
      <c r="C140" s="2" t="str">
        <f ca="1">IFERROR(__xludf.DUMMYFUNCTION("""COMPUTED_VALUE"""),"شيرين حلمي")</f>
        <v>شيرين حلمي</v>
      </c>
      <c r="D140" s="4" t="str">
        <f ca="1">IFERROR(__xludf.DUMMYFUNCTION("""COMPUTED_VALUE"""),"1982")</f>
        <v>1982</v>
      </c>
      <c r="E140" s="2" t="str">
        <f ca="1">IFERROR(__xludf.DUMMYFUNCTION("""COMPUTED_VALUE"""),"EG04-EG05-EG06-EG07-EG08")</f>
        <v>EG04-EG05-EG06-EG07-EG08</v>
      </c>
      <c r="F140" s="2" t="str">
        <f ca="1">IFERROR(__xludf.DUMMYFUNCTION("""COMPUTED_VALUE"""),"shereenhelmy710@gmail.com")</f>
        <v>shereenhelmy710@gmail.com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 t="str">
        <f ca="1">IFERROR(__xludf.DUMMYFUNCTION("""COMPUTED_VALUE"""),"محمد الغرباوي")</f>
        <v>محمد الغرباوي</v>
      </c>
      <c r="B141" s="2">
        <f ca="1">IFERROR(__xludf.DUMMYFUNCTION("""COMPUTED_VALUE"""),164139350921)</f>
        <v>164139350921</v>
      </c>
      <c r="C141" s="2" t="str">
        <f ca="1">IFERROR(__xludf.DUMMYFUNCTION("""COMPUTED_VALUE"""),"محمد الغرباوي")</f>
        <v>محمد الغرباوي</v>
      </c>
      <c r="D141" s="4" t="str">
        <f ca="1">IFERROR(__xludf.DUMMYFUNCTION("""COMPUTED_VALUE"""),"2054")</f>
        <v>2054</v>
      </c>
      <c r="E141" s="2" t="str">
        <f ca="1">IFERROR(__xludf.DUMMYFUNCTION("""COMPUTED_VALUE"""),"EG10-EG11-G12")</f>
        <v>EG10-EG11-G12</v>
      </c>
      <c r="F141" s="2" t="str">
        <f ca="1">IFERROR(__xludf.DUMMYFUNCTION("""COMPUTED_VALUE"""),"mhd.elgharabawi@gmail.com")</f>
        <v>mhd.elgharabawi@gmail.com</v>
      </c>
      <c r="G141" s="2" t="str">
        <f ca="1">IFERROR(__xludf.DUMMYFUNCTION("""COMPUTED_VALUE"""),"01030556439 - 01146640967")</f>
        <v>01030556439 - 01146640967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 t="str">
        <f ca="1">IFERROR(__xludf.DUMMYFUNCTION("""COMPUTED_VALUE"""),"سارة نجيب")</f>
        <v>سارة نجيب</v>
      </c>
      <c r="B142" s="2">
        <f ca="1">IFERROR(__xludf.DUMMYFUNCTION("""COMPUTED_VALUE"""),760171643192)</f>
        <v>760171643192</v>
      </c>
      <c r="C142" s="2" t="str">
        <f ca="1">IFERROR(__xludf.DUMMYFUNCTION("""COMPUTED_VALUE"""),"سارة نجيب")</f>
        <v>سارة نجيب</v>
      </c>
      <c r="D142" s="4" t="str">
        <f ca="1">IFERROR(__xludf.DUMMYFUNCTION("""COMPUTED_VALUE"""),"1986")</f>
        <v>1986</v>
      </c>
      <c r="E142" s="2"/>
      <c r="F142" s="2" t="str">
        <f ca="1">IFERROR(__xludf.DUMMYFUNCTION("""COMPUTED_VALUE"""),"saranaguib005@gmail.com")</f>
        <v>saranaguib005@gmail.com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 t="str">
        <f ca="1">IFERROR(__xludf.DUMMYFUNCTION("""COMPUTED_VALUE"""),"زينب الصغير")</f>
        <v>زينب الصغير</v>
      </c>
      <c r="B143" s="2">
        <f ca="1">IFERROR(__xludf.DUMMYFUNCTION("""COMPUTED_VALUE"""),923159143268)</f>
        <v>923159143268</v>
      </c>
      <c r="C143" s="2" t="str">
        <f ca="1">IFERROR(__xludf.DUMMYFUNCTION("""COMPUTED_VALUE"""),"زينب الصغير")</f>
        <v>زينب الصغير</v>
      </c>
      <c r="D143" s="4" t="str">
        <f ca="1">IFERROR(__xludf.DUMMYFUNCTION("""COMPUTED_VALUE"""),"1985")</f>
        <v>1985</v>
      </c>
      <c r="E143" s="2"/>
      <c r="F143" s="2" t="str">
        <f ca="1">IFERROR(__xludf.DUMMYFUNCTION("""COMPUTED_VALUE"""),"ms.zeinabelsagheer.paoh@gmail.com")</f>
        <v>ms.zeinabelsagheer.paoh@gmail.com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 t="str">
        <f ca="1">IFERROR(__xludf.DUMMYFUNCTION("""COMPUTED_VALUE"""),"أشرف القيصر")</f>
        <v>أشرف القيصر</v>
      </c>
      <c r="B144" s="2">
        <f ca="1">IFERROR(__xludf.DUMMYFUNCTION("""COMPUTED_VALUE"""),179134063021)</f>
        <v>179134063021</v>
      </c>
      <c r="C144" s="2" t="str">
        <f ca="1">IFERROR(__xludf.DUMMYFUNCTION("""COMPUTED_VALUE"""),"أشرف القيصر")</f>
        <v>أشرف القيصر</v>
      </c>
      <c r="D144" s="4" t="str">
        <f ca="1">IFERROR(__xludf.DUMMYFUNCTION("""COMPUTED_VALUE"""),"1987")</f>
        <v>1987</v>
      </c>
      <c r="E144" s="2"/>
      <c r="F144" s="2" t="str">
        <f ca="1">IFERROR(__xludf.DUMMYFUNCTION("""COMPUTED_VALUE"""),"alkiser.ashraf@gmail.com")</f>
        <v>alkiser.ashraf@gmail.com</v>
      </c>
      <c r="G144" s="2" t="str">
        <f ca="1">IFERROR(__xludf.DUMMYFUNCTION("""COMPUTED_VALUE"""),"01144603025")</f>
        <v>01144603025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 t="str">
        <f ca="1">IFERROR(__xludf.DUMMYFUNCTION("""COMPUTED_VALUE"""),"رانيا شعبان")</f>
        <v>رانيا شعبان</v>
      </c>
      <c r="B145" s="2">
        <f ca="1">IFERROR(__xludf.DUMMYFUNCTION("""COMPUTED_VALUE"""),267179017974)</f>
        <v>267179017974</v>
      </c>
      <c r="C145" s="2" t="str">
        <f ca="1">IFERROR(__xludf.DUMMYFUNCTION("""COMPUTED_VALUE"""),"رانيا شعبان")</f>
        <v>رانيا شعبان</v>
      </c>
      <c r="D145" s="4" t="str">
        <f ca="1">IFERROR(__xludf.DUMMYFUNCTION("""COMPUTED_VALUE"""),"1984")</f>
        <v>1984</v>
      </c>
      <c r="E145" s="2" t="str">
        <f ca="1">IFERROR(__xludf.DUMMYFUNCTION("""COMPUTED_VALUE"""),"EG04-EG05-EG06-EG07-EG08-EG09")</f>
        <v>EG04-EG05-EG06-EG07-EG08-EG09</v>
      </c>
      <c r="F145" s="2" t="str">
        <f ca="1">IFERROR(__xludf.DUMMYFUNCTION("""COMPUTED_VALUE"""),"raniashabanmohamed99@gmail.com")</f>
        <v>raniashabanmohamed99@gmail.com</v>
      </c>
      <c r="G145" s="2">
        <f ca="1">IFERROR(__xludf.DUMMYFUNCTION("""COMPUTED_VALUE"""),1091702720)</f>
        <v>1091702720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 t="str">
        <f ca="1">IFERROR(__xludf.DUMMYFUNCTION("""COMPUTED_VALUE"""),"ماهينور راغب")</f>
        <v>ماهينور راغب</v>
      </c>
      <c r="B146" s="2">
        <f ca="1">IFERROR(__xludf.DUMMYFUNCTION("""COMPUTED_VALUE"""),424149471034)</f>
        <v>424149471034</v>
      </c>
      <c r="C146" s="2" t="str">
        <f ca="1">IFERROR(__xludf.DUMMYFUNCTION("""COMPUTED_VALUE"""),"ماهينور راغب")</f>
        <v>ماهينور راغب</v>
      </c>
      <c r="D146" s="2">
        <f ca="1">IFERROR(__xludf.DUMMYFUNCTION("""COMPUTED_VALUE"""),1989)</f>
        <v>1989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 t="str">
        <f ca="1">IFERROR(__xludf.DUMMYFUNCTION("""COMPUTED_VALUE"""),"طه محمد")</f>
        <v>طه محمد</v>
      </c>
      <c r="B147" s="2">
        <f ca="1">IFERROR(__xludf.DUMMYFUNCTION("""COMPUTED_VALUE"""),403165323978)</f>
        <v>403165323978</v>
      </c>
      <c r="C147" s="2" t="str">
        <f ca="1">IFERROR(__xludf.DUMMYFUNCTION("""COMPUTED_VALUE"""),"طه محمد")</f>
        <v>طه محمد</v>
      </c>
      <c r="D147" s="4" t="str">
        <f ca="1">IFERROR(__xludf.DUMMYFUNCTION("""COMPUTED_VALUE"""),"1990")</f>
        <v>1990</v>
      </c>
      <c r="E147" s="2"/>
      <c r="F147" s="2" t="str">
        <f ca="1">IFERROR(__xludf.DUMMYFUNCTION("""COMPUTED_VALUE"""),"tahaeldaowdy@gmail.com")</f>
        <v>tahaeldaowdy@gmail.com</v>
      </c>
      <c r="G147" s="2" t="str">
        <f ca="1">IFERROR(__xludf.DUMMYFUNCTION("""COMPUTED_VALUE"""),"+201119688644")</f>
        <v>+201119688644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 t="str">
        <f ca="1">IFERROR(__xludf.DUMMYFUNCTION("""COMPUTED_VALUE"""),"منة والي")</f>
        <v>منة والي</v>
      </c>
      <c r="B148" s="2">
        <f ca="1">IFERROR(__xludf.DUMMYFUNCTION("""COMPUTED_VALUE"""),724162474043)</f>
        <v>724162474043</v>
      </c>
      <c r="C148" s="2" t="str">
        <f ca="1">IFERROR(__xludf.DUMMYFUNCTION("""COMPUTED_VALUE"""),"منة والي")</f>
        <v>منة والي</v>
      </c>
      <c r="D148" s="4" t="str">
        <f ca="1">IFERROR(__xludf.DUMMYFUNCTION("""COMPUTED_VALUE"""),"1988")</f>
        <v>1988</v>
      </c>
      <c r="E148" s="2"/>
      <c r="F148" s="2" t="str">
        <f ca="1">IFERROR(__xludf.DUMMYFUNCTION("""COMPUTED_VALUE"""),"memawaly578@gmail.com")</f>
        <v>memawaly578@gmail.com</v>
      </c>
      <c r="G148" s="2" t="str">
        <f ca="1">IFERROR(__xludf.DUMMYFUNCTION("""COMPUTED_VALUE"""),"01030282653")</f>
        <v>01030282653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 t="str">
        <f ca="1">IFERROR(__xludf.DUMMYFUNCTION("""COMPUTED_VALUE"""),"جاكلين عطا الله")</f>
        <v>جاكلين عطا الله</v>
      </c>
      <c r="B149" s="2">
        <f ca="1">IFERROR(__xludf.DUMMYFUNCTION("""COMPUTED_VALUE"""),179171592097)</f>
        <v>179171592097</v>
      </c>
      <c r="C149" s="2" t="str">
        <f ca="1">IFERROR(__xludf.DUMMYFUNCTION("""COMPUTED_VALUE"""),"جاكلين عطا الله")</f>
        <v>جاكلين عطا الله</v>
      </c>
      <c r="D149" s="4" t="str">
        <f ca="1">IFERROR(__xludf.DUMMYFUNCTION("""COMPUTED_VALUE"""),"1994")</f>
        <v>1994</v>
      </c>
      <c r="E149" s="2"/>
      <c r="F149" s="2" t="str">
        <f ca="1">IFERROR(__xludf.DUMMYFUNCTION("""COMPUTED_VALUE"""),"jakleenattalla99@gmail.com")</f>
        <v>jakleenattalla99@gmail.com</v>
      </c>
      <c r="G149" s="2" t="str">
        <f ca="1">IFERROR(__xludf.DUMMYFUNCTION("""COMPUTED_VALUE"""),"+201275832257")</f>
        <v>+201275832257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 t="str">
        <f ca="1">IFERROR(__xludf.DUMMYFUNCTION("""COMPUTED_VALUE"""),"كامل خير الله")</f>
        <v>كامل خير الله</v>
      </c>
      <c r="B150" s="2">
        <f ca="1">IFERROR(__xludf.DUMMYFUNCTION("""COMPUTED_VALUE"""),175120578185)</f>
        <v>175120578185</v>
      </c>
      <c r="C150" s="2" t="str">
        <f ca="1">IFERROR(__xludf.DUMMYFUNCTION("""COMPUTED_VALUE"""),"كامل خير الله")</f>
        <v>كامل خير الله</v>
      </c>
      <c r="D150" s="4" t="str">
        <f ca="1">IFERROR(__xludf.DUMMYFUNCTION("""COMPUTED_VALUE"""),"2001")</f>
        <v>2001</v>
      </c>
      <c r="E150" s="2" t="str">
        <f ca="1">IFERROR(__xludf.DUMMYFUNCTION("""COMPUTED_VALUE"""),"EG07-EG08-EG09")</f>
        <v>EG07-EG08-EG09</v>
      </c>
      <c r="F150" s="2" t="str">
        <f ca="1">IFERROR(__xludf.DUMMYFUNCTION("""COMPUTED_VALUE"""),"kamelreda7815@gmail.com")</f>
        <v>kamelreda7815@gmail.com</v>
      </c>
      <c r="G150" s="2" t="str">
        <f ca="1">IFERROR(__xludf.DUMMYFUNCTION("""COMPUTED_VALUE"""),"01009142422")</f>
        <v>01009142422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 t="str">
        <f ca="1">IFERROR(__xludf.DUMMYFUNCTION("""COMPUTED_VALUE"""),"خلود محمد")</f>
        <v>خلود محمد</v>
      </c>
      <c r="B151" s="2">
        <f ca="1">IFERROR(__xludf.DUMMYFUNCTION("""COMPUTED_VALUE"""),943124527415)</f>
        <v>943124527415</v>
      </c>
      <c r="C151" s="2" t="str">
        <f ca="1">IFERROR(__xludf.DUMMYFUNCTION("""COMPUTED_VALUE"""),"خلود محمد")</f>
        <v>خلود محمد</v>
      </c>
      <c r="D151" s="4" t="str">
        <f ca="1">IFERROR(__xludf.DUMMYFUNCTION("""COMPUTED_VALUE"""),"1997")</f>
        <v>1997</v>
      </c>
      <c r="E151" s="2"/>
      <c r="F151" s="2" t="str">
        <f ca="1">IFERROR(__xludf.DUMMYFUNCTION("""COMPUTED_VALUE"""),"khookha.geushy@gmail.com")</f>
        <v>khookha.geushy@gmail.com</v>
      </c>
      <c r="G151" s="2" t="str">
        <f ca="1">IFERROR(__xludf.DUMMYFUNCTION("""COMPUTED_VALUE"""),"01000285051")</f>
        <v>01000285051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 t="str">
        <f ca="1">IFERROR(__xludf.DUMMYFUNCTION("""COMPUTED_VALUE"""),"مي جمال")</f>
        <v>مي جمال</v>
      </c>
      <c r="B152" s="2">
        <f ca="1">IFERROR(__xludf.DUMMYFUNCTION("""COMPUTED_VALUE"""),328148357020)</f>
        <v>328148357020</v>
      </c>
      <c r="C152" s="2" t="str">
        <f ca="1">IFERROR(__xludf.DUMMYFUNCTION("""COMPUTED_VALUE"""),"مي جمال")</f>
        <v>مي جمال</v>
      </c>
      <c r="D152" s="4" t="str">
        <f ca="1">IFERROR(__xludf.DUMMYFUNCTION("""COMPUTED_VALUE"""),"1998")</f>
        <v>1998</v>
      </c>
      <c r="E152" s="2"/>
      <c r="F152" s="2" t="str">
        <f ca="1">IFERROR(__xludf.DUMMYFUNCTION("""COMPUTED_VALUE"""),"maigamalhassan@gmail.com")</f>
        <v>maigamalhassan@gmail.com</v>
      </c>
      <c r="G152" s="2" t="str">
        <f ca="1">IFERROR(__xludf.DUMMYFUNCTION("""COMPUTED_VALUE"""),"01095502036")</f>
        <v>01095502036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 t="str">
        <f ca="1">IFERROR(__xludf.DUMMYFUNCTION("""COMPUTED_VALUE"""),"موسى عثمان")</f>
        <v>موسى عثمان</v>
      </c>
      <c r="B153" s="2">
        <f ca="1">IFERROR(__xludf.DUMMYFUNCTION("""COMPUTED_VALUE"""),389173598098)</f>
        <v>389173598098</v>
      </c>
      <c r="C153" s="2" t="str">
        <f ca="1">IFERROR(__xludf.DUMMYFUNCTION("""COMPUTED_VALUE"""),"موسى عثمان")</f>
        <v>موسى عثمان</v>
      </c>
      <c r="D153" s="4" t="str">
        <f ca="1">IFERROR(__xludf.DUMMYFUNCTION("""COMPUTED_VALUE"""),"2002")</f>
        <v>2002</v>
      </c>
      <c r="E153" s="2" t="str">
        <f ca="1">IFERROR(__xludf.DUMMYFUNCTION("""COMPUTED_VALUE"""),"EG10-EG11-G12")</f>
        <v>EG10-EG11-G12</v>
      </c>
      <c r="F153" s="2" t="str">
        <f ca="1">IFERROR(__xludf.DUMMYFUNCTION("""COMPUTED_VALUE"""),"mosa0122428710970@gmail.com")</f>
        <v>mosa0122428710970@gmail.com</v>
      </c>
      <c r="G153" s="2" t="str">
        <f ca="1">IFERROR(__xludf.DUMMYFUNCTION("""COMPUTED_VALUE"""),"01224287109")</f>
        <v>01224287109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 t="str">
        <f ca="1">IFERROR(__xludf.DUMMYFUNCTION("""COMPUTED_VALUE"""),"نانسي مجاهد")</f>
        <v>نانسي مجاهد</v>
      </c>
      <c r="B154" s="2">
        <f ca="1">IFERROR(__xludf.DUMMYFUNCTION("""COMPUTED_VALUE"""),957149214309)</f>
        <v>957149214309</v>
      </c>
      <c r="C154" s="2" t="str">
        <f ca="1">IFERROR(__xludf.DUMMYFUNCTION("""COMPUTED_VALUE"""),"نانسي مجاهد")</f>
        <v>نانسي مجاهد</v>
      </c>
      <c r="D154" s="4">
        <f ca="1">IFERROR(__xludf.DUMMYFUNCTION("""COMPUTED_VALUE"""),1995)</f>
        <v>1995</v>
      </c>
      <c r="E154" s="2"/>
      <c r="F154" s="2" t="str">
        <f ca="1">IFERROR(__xludf.DUMMYFUNCTION("""COMPUTED_VALUE"""),"nancy_88312@hotmail.com")</f>
        <v>nancy_88312@hotmail.com</v>
      </c>
      <c r="G154" s="2" t="str">
        <f ca="1">IFERROR(__xludf.DUMMYFUNCTION("""COMPUTED_VALUE"""),"01004166127")</f>
        <v>01004166127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 t="str">
        <f ca="1">IFERROR(__xludf.DUMMYFUNCTION("""COMPUTED_VALUE"""),"أماني نيكولا")</f>
        <v>أماني نيكولا</v>
      </c>
      <c r="B155" s="2">
        <f ca="1">IFERROR(__xludf.DUMMYFUNCTION("""COMPUTED_VALUE"""),626126867906)</f>
        <v>626126867906</v>
      </c>
      <c r="C155" s="2" t="str">
        <f ca="1">IFERROR(__xludf.DUMMYFUNCTION("""COMPUTED_VALUE"""),"أماني نيكولا")</f>
        <v>أماني نيكولا</v>
      </c>
      <c r="D155" s="4" t="str">
        <f ca="1">IFERROR(__xludf.DUMMYFUNCTION("""COMPUTED_VALUE"""),"1993")</f>
        <v>1993</v>
      </c>
      <c r="E155" s="2"/>
      <c r="F155" s="2" t="str">
        <f ca="1">IFERROR(__xludf.DUMMYFUNCTION("""COMPUTED_VALUE"""),"amany.nicola6@gmail.com")</f>
        <v>amany.nicola6@gmail.com</v>
      </c>
      <c r="G155" s="2" t="str">
        <f ca="1">IFERROR(__xludf.DUMMYFUNCTION("""COMPUTED_VALUE"""),"01222711176")</f>
        <v>01222711176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 t="str">
        <f ca="1">IFERROR(__xludf.DUMMYFUNCTION("""COMPUTED_VALUE"""),"إيريني عاطف")</f>
        <v>إيريني عاطف</v>
      </c>
      <c r="B156" s="2">
        <f ca="1">IFERROR(__xludf.DUMMYFUNCTION("""COMPUTED_VALUE"""),530189784630)</f>
        <v>530189784630</v>
      </c>
      <c r="C156" s="2" t="str">
        <f ca="1">IFERROR(__xludf.DUMMYFUNCTION("""COMPUTED_VALUE"""),"إيريني عاطف")</f>
        <v>إيريني عاطف</v>
      </c>
      <c r="D156" s="4" t="str">
        <f ca="1">IFERROR(__xludf.DUMMYFUNCTION("""COMPUTED_VALUE"""),"2003")</f>
        <v>2003</v>
      </c>
      <c r="E156" s="2" t="str">
        <f ca="1">IFERROR(__xludf.DUMMYFUNCTION("""COMPUTED_VALUE"""),"EG01-EG02-EG03-EG04-EG05")</f>
        <v>EG01-EG02-EG03-EG04-EG05</v>
      </c>
      <c r="F156" s="2" t="str">
        <f ca="1">IFERROR(__xludf.DUMMYFUNCTION("""COMPUTED_VALUE"""),"erineyatef@gmail.com")</f>
        <v>erineyatef@gmail.com</v>
      </c>
      <c r="G156" s="2" t="str">
        <f ca="1">IFERROR(__xludf.DUMMYFUNCTION("""COMPUTED_VALUE"""),"01211816220")</f>
        <v>01211816220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 t="str">
        <f ca="1">IFERROR(__xludf.DUMMYFUNCTION("""COMPUTED_VALUE"""),"رضوى هشام")</f>
        <v>رضوى هشام</v>
      </c>
      <c r="B157" s="2">
        <f ca="1">IFERROR(__xludf.DUMMYFUNCTION("""COMPUTED_VALUE"""),804187379101)</f>
        <v>804187379101</v>
      </c>
      <c r="C157" s="2" t="str">
        <f ca="1">IFERROR(__xludf.DUMMYFUNCTION("""COMPUTED_VALUE"""),"رضوى هشام")</f>
        <v>رضوى هشام</v>
      </c>
      <c r="D157" s="4" t="str">
        <f ca="1">IFERROR(__xludf.DUMMYFUNCTION("""COMPUTED_VALUE"""),"2013")</f>
        <v>2013</v>
      </c>
      <c r="E157" s="2" t="str">
        <f ca="1">IFERROR(__xludf.DUMMYFUNCTION("""COMPUTED_VALUE"""),"EG04-EG05-EG06-EG07-EG08-EG09")</f>
        <v>EG04-EG05-EG06-EG07-EG08-EG09</v>
      </c>
      <c r="F157" s="2" t="str">
        <f ca="1">IFERROR(__xludf.DUMMYFUNCTION("""COMPUTED_VALUE"""),"radwakadrey@gmail.com")</f>
        <v>radwakadrey@gmail.com</v>
      </c>
      <c r="G157" s="2" t="str">
        <f ca="1">IFERROR(__xludf.DUMMYFUNCTION("""COMPUTED_VALUE"""),"01228963698")</f>
        <v>01228963698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 t="str">
        <f ca="1">IFERROR(__xludf.DUMMYFUNCTION("""COMPUTED_VALUE"""),"بيشوي عادل")</f>
        <v>بيشوي عادل</v>
      </c>
      <c r="B158" s="2">
        <f ca="1">IFERROR(__xludf.DUMMYFUNCTION("""COMPUTED_VALUE"""),194194607634)</f>
        <v>194194607634</v>
      </c>
      <c r="C158" s="2" t="str">
        <f ca="1">IFERROR(__xludf.DUMMYFUNCTION("""COMPUTED_VALUE"""),"بيشوي عادل")</f>
        <v>بيشوي عادل</v>
      </c>
      <c r="D158" s="4" t="str">
        <f ca="1">IFERROR(__xludf.DUMMYFUNCTION("""COMPUTED_VALUE"""),"2006")</f>
        <v>2006</v>
      </c>
      <c r="E158" s="2"/>
      <c r="F158" s="2" t="str">
        <f ca="1">IFERROR(__xludf.DUMMYFUNCTION("""COMPUTED_VALUE"""),"bichoiadel@gmail.com")</f>
        <v>bichoiadel@gmail.com</v>
      </c>
      <c r="G158" s="2" t="str">
        <f ca="1">IFERROR(__xludf.DUMMYFUNCTION("""COMPUTED_VALUE"""),"01283973691")</f>
        <v>01283973691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 t="str">
        <f ca="1">IFERROR(__xludf.DUMMYFUNCTION("""COMPUTED_VALUE"""),"جهاد عبد المقصود")</f>
        <v>جهاد عبد المقصود</v>
      </c>
      <c r="B159" s="2">
        <f ca="1">IFERROR(__xludf.DUMMYFUNCTION("""COMPUTED_VALUE"""),415159138915)</f>
        <v>415159138915</v>
      </c>
      <c r="C159" s="2" t="str">
        <f ca="1">IFERROR(__xludf.DUMMYFUNCTION("""COMPUTED_VALUE"""),"جهاد عبد المقصود")</f>
        <v>جهاد عبد المقصود</v>
      </c>
      <c r="D159" s="4" t="str">
        <f ca="1">IFERROR(__xludf.DUMMYFUNCTION("""COMPUTED_VALUE"""),"2007")</f>
        <v>2007</v>
      </c>
      <c r="E159" s="2" t="str">
        <f ca="1">IFERROR(__xludf.DUMMYFUNCTION("""COMPUTED_VALUE"""),"أبلغت عن عدم رضاها عن التعديلات الجديدة من حيث التسجيل وحساب المدرس، وستستقيل")</f>
        <v>أبلغت عن عدم رضاها عن التعديلات الجديدة من حيث التسجيل وحساب المدرس، وستستقيل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 t="str">
        <f ca="1">IFERROR(__xludf.DUMMYFUNCTION("""COMPUTED_VALUE"""),"ميرونا سرور")</f>
        <v>ميرونا سرور</v>
      </c>
      <c r="B160" s="2">
        <f ca="1">IFERROR(__xludf.DUMMYFUNCTION("""COMPUTED_VALUE"""),848121420401)</f>
        <v>848121420401</v>
      </c>
      <c r="C160" s="2" t="str">
        <f ca="1">IFERROR(__xludf.DUMMYFUNCTION("""COMPUTED_VALUE"""),"ميرونا سرور")</f>
        <v>ميرونا سرور</v>
      </c>
      <c r="D160" s="4" t="str">
        <f ca="1">IFERROR(__xludf.DUMMYFUNCTION("""COMPUTED_VALUE"""),"2012")</f>
        <v>2012</v>
      </c>
      <c r="E160" s="2" t="str">
        <f ca="1">IFERROR(__xludf.DUMMYFUNCTION("""COMPUTED_VALUE"""),"EG07-EG08-EG09")</f>
        <v>EG07-EG08-EG09</v>
      </c>
      <c r="F160" s="2" t="str">
        <f ca="1">IFERROR(__xludf.DUMMYFUNCTION("""COMPUTED_VALUE"""),"sorormerona@gmail.com")</f>
        <v>sorormerona@gmail.com</v>
      </c>
      <c r="G160" s="2" t="str">
        <f ca="1">IFERROR(__xludf.DUMMYFUNCTION("""COMPUTED_VALUE"""),"01222986055")</f>
        <v>01222986055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 t="str">
        <f ca="1">IFERROR(__xludf.DUMMYFUNCTION("""COMPUTED_VALUE"""),"وليد بكر")</f>
        <v>وليد بكر</v>
      </c>
      <c r="B161" s="2">
        <f ca="1">IFERROR(__xludf.DUMMYFUNCTION("""COMPUTED_VALUE"""),493105352632)</f>
        <v>493105352632</v>
      </c>
      <c r="C161" s="2" t="str">
        <f ca="1">IFERROR(__xludf.DUMMYFUNCTION("""COMPUTED_VALUE"""),"وليد بكر")</f>
        <v>وليد بكر</v>
      </c>
      <c r="D161" s="4" t="str">
        <f ca="1">IFERROR(__xludf.DUMMYFUNCTION("""COMPUTED_VALUE"""),"2017")</f>
        <v>2017</v>
      </c>
      <c r="E161" s="2" t="str">
        <f ca="1">IFERROR(__xludf.DUMMYFUNCTION("""COMPUTED_VALUE"""),"G11-G12")</f>
        <v>G11-G12</v>
      </c>
      <c r="F161" s="2" t="str">
        <f ca="1">IFERROR(__xludf.DUMMYFUNCTION("""COMPUTED_VALUE"""),"wailpoet76@gmail.com")</f>
        <v>wailpoet76@gmail.com</v>
      </c>
      <c r="G161" s="2" t="str">
        <f ca="1">IFERROR(__xludf.DUMMYFUNCTION("""COMPUTED_VALUE"""),"+201004104024")</f>
        <v>+201004104024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 t="str">
        <f ca="1">IFERROR(__xludf.DUMMYFUNCTION("""COMPUTED_VALUE"""),"جمال إسماعيل")</f>
        <v>جمال إسماعيل</v>
      </c>
      <c r="B162" s="2">
        <f ca="1">IFERROR(__xludf.DUMMYFUNCTION("""COMPUTED_VALUE"""),718157635385)</f>
        <v>718157635385</v>
      </c>
      <c r="C162" s="2" t="str">
        <f ca="1">IFERROR(__xludf.DUMMYFUNCTION("""COMPUTED_VALUE"""),"جمال إسماعيل")</f>
        <v>جمال إسماعيل</v>
      </c>
      <c r="D162" s="4" t="str">
        <f ca="1">IFERROR(__xludf.DUMMYFUNCTION("""COMPUTED_VALUE"""),"2014")</f>
        <v>2014</v>
      </c>
      <c r="E162" s="2" t="str">
        <f ca="1">IFERROR(__xludf.DUMMYFUNCTION("""COMPUTED_VALUE"""),"EG10-EG11-G12")</f>
        <v>EG10-EG11-G12</v>
      </c>
      <c r="F162" s="2" t="str">
        <f ca="1">IFERROR(__xludf.DUMMYFUNCTION("""COMPUTED_VALUE"""),"safaa68gamal@gmail.com")</f>
        <v>safaa68gamal@gmail.com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 t="str">
        <f ca="1">IFERROR(__xludf.DUMMYFUNCTION("""COMPUTED_VALUE"""),"محمد جودة")</f>
        <v>محمد جودة</v>
      </c>
      <c r="B163" s="2">
        <f ca="1">IFERROR(__xludf.DUMMYFUNCTION("""COMPUTED_VALUE"""),128156935718)</f>
        <v>128156935718</v>
      </c>
      <c r="C163" s="2" t="str">
        <f ca="1">IFERROR(__xludf.DUMMYFUNCTION("""COMPUTED_VALUE"""),"محمد جودة")</f>
        <v>محمد جودة</v>
      </c>
      <c r="D163" s="4" t="str">
        <f ca="1">IFERROR(__xludf.DUMMYFUNCTION("""COMPUTED_VALUE"""),"2019")</f>
        <v>2019</v>
      </c>
      <c r="E163" s="2" t="str">
        <f ca="1">IFERROR(__xludf.DUMMYFUNCTION("""COMPUTED_VALUE"""),"EG10-EG11-EG12")</f>
        <v>EG10-EG11-EG12</v>
      </c>
      <c r="F163" s="2" t="str">
        <f ca="1">IFERROR(__xludf.DUMMYFUNCTION("""COMPUTED_VALUE"""),"mhmmd55501@gmail.com")</f>
        <v>mhmmd55501@gmail.com</v>
      </c>
      <c r="G163" s="2" t="str">
        <f ca="1">IFERROR(__xludf.DUMMYFUNCTION("""COMPUTED_VALUE"""),"01093988834")</f>
        <v>01093988834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 t="str">
        <f ca="1">IFERROR(__xludf.DUMMYFUNCTION("""COMPUTED_VALUE"""),"ماريا مجدي")</f>
        <v>ماريا مجدي</v>
      </c>
      <c r="B164" s="2">
        <f ca="1">IFERROR(__xludf.DUMMYFUNCTION("""COMPUTED_VALUE"""),103196870689)</f>
        <v>103196870689</v>
      </c>
      <c r="C164" s="2" t="str">
        <f ca="1">IFERROR(__xludf.DUMMYFUNCTION("""COMPUTED_VALUE"""),"ماريا مجدي")</f>
        <v>ماريا مجدي</v>
      </c>
      <c r="D164" s="4" t="str">
        <f ca="1">IFERROR(__xludf.DUMMYFUNCTION("""COMPUTED_VALUE"""),"2018")</f>
        <v>2018</v>
      </c>
      <c r="E164" s="2"/>
      <c r="F164" s="2" t="str">
        <f ca="1">IFERROR(__xludf.DUMMYFUNCTION("""COMPUTED_VALUE"""),"anna.maria.261997@gmail.com")</f>
        <v>anna.maria.261997@gmail.com</v>
      </c>
      <c r="G164" s="2" t="str">
        <f ca="1">IFERROR(__xludf.DUMMYFUNCTION("""COMPUTED_VALUE"""),"01202381996")</f>
        <v>01202381996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 t="str">
        <f ca="1">IFERROR(__xludf.DUMMYFUNCTION("""COMPUTED_VALUE"""),"محمد عبد المنعم")</f>
        <v>محمد عبد المنعم</v>
      </c>
      <c r="B165" s="2">
        <f ca="1">IFERROR(__xludf.DUMMYFUNCTION("""COMPUTED_VALUE"""),102179305430)</f>
        <v>102179305430</v>
      </c>
      <c r="C165" s="2" t="str">
        <f ca="1">IFERROR(__xludf.DUMMYFUNCTION("""COMPUTED_VALUE"""),"محمد عبد المنعم")</f>
        <v>محمد عبد المنعم</v>
      </c>
      <c r="D165" s="2">
        <f ca="1">IFERROR(__xludf.DUMMYFUNCTION("""COMPUTED_VALUE"""),2022)</f>
        <v>2022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 t="str">
        <f ca="1">IFERROR(__xludf.DUMMYFUNCTION("""COMPUTED_VALUE"""),"حسام عبد الحي")</f>
        <v>حسام عبد الحي</v>
      </c>
      <c r="B166" s="2">
        <f ca="1">IFERROR(__xludf.DUMMYFUNCTION("""COMPUTED_VALUE"""),576138787065)</f>
        <v>576138787065</v>
      </c>
      <c r="C166" s="2" t="str">
        <f ca="1">IFERROR(__xludf.DUMMYFUNCTION("""COMPUTED_VALUE"""),"حسام عبد الحي")</f>
        <v>حسام عبد الحي</v>
      </c>
      <c r="D166" s="4" t="str">
        <f ca="1">IFERROR(__xludf.DUMMYFUNCTION("""COMPUTED_VALUE"""),"2023")</f>
        <v>2023</v>
      </c>
      <c r="E166" s="2" t="str">
        <f ca="1">IFERROR(__xludf.DUMMYFUNCTION("""COMPUTED_VALUE"""),"EG10-EG11")</f>
        <v>EG10-EG11</v>
      </c>
      <c r="F166" s="2" t="str">
        <f ca="1">IFERROR(__xludf.DUMMYFUNCTION("""COMPUTED_VALUE"""),"hosamabdelhay90@gmail.com")</f>
        <v>hosamabdelhay90@gmail.com</v>
      </c>
      <c r="G166" s="2" t="str">
        <f ca="1">IFERROR(__xludf.DUMMYFUNCTION("""COMPUTED_VALUE"""),"01003137129")</f>
        <v>01003137129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 t="str">
        <f ca="1">IFERROR(__xludf.DUMMYFUNCTION("""COMPUTED_VALUE"""),"وسام الشناوي")</f>
        <v>وسام الشناوي</v>
      </c>
      <c r="B167" s="2">
        <f ca="1">IFERROR(__xludf.DUMMYFUNCTION("""COMPUTED_VALUE"""),242109375309)</f>
        <v>242109375309</v>
      </c>
      <c r="C167" s="2" t="str">
        <f ca="1">IFERROR(__xludf.DUMMYFUNCTION("""COMPUTED_VALUE"""),"وسام الشناوي")</f>
        <v>وسام الشناوي</v>
      </c>
      <c r="D167" s="4" t="str">
        <f ca="1">IFERROR(__xludf.DUMMYFUNCTION("""COMPUTED_VALUE"""),"2024")</f>
        <v>2024</v>
      </c>
      <c r="E167" s="2" t="str">
        <f ca="1">IFERROR(__xludf.DUMMYFUNCTION("""COMPUTED_VALUE"""),"EG10-EG11-G12")</f>
        <v>EG10-EG11-G12</v>
      </c>
      <c r="F167" s="2" t="str">
        <f ca="1">IFERROR(__xludf.DUMMYFUNCTION("""COMPUTED_VALUE"""),"wesamalshenawy36@gmail.com")</f>
        <v>wesamalshenawy36@gmail.com</v>
      </c>
      <c r="G167" s="2">
        <f ca="1">IFERROR(__xludf.DUMMYFUNCTION("""COMPUTED_VALUE"""),1220508424)</f>
        <v>1220508424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 t="str">
        <f ca="1">IFERROR(__xludf.DUMMYFUNCTION("""COMPUTED_VALUE"""),"نزار الشافعي")</f>
        <v>نزار الشافعي</v>
      </c>
      <c r="B168" s="2">
        <f ca="1">IFERROR(__xludf.DUMMYFUNCTION("""COMPUTED_VALUE"""),510198282648)</f>
        <v>510198282648</v>
      </c>
      <c r="C168" s="2" t="str">
        <f ca="1">IFERROR(__xludf.DUMMYFUNCTION("""COMPUTED_VALUE"""),"نزار الشافعي")</f>
        <v>نزار الشافعي</v>
      </c>
      <c r="D168" s="4" t="str">
        <f ca="1">IFERROR(__xludf.DUMMYFUNCTION("""COMPUTED_VALUE"""),"2015")</f>
        <v>2015</v>
      </c>
      <c r="E168" s="2" t="str">
        <f ca="1">IFERROR(__xludf.DUMMYFUNCTION("""COMPUTED_VALUE"""),"EG10-EG11-G12")</f>
        <v>EG10-EG11-G12</v>
      </c>
      <c r="F168" s="2" t="str">
        <f ca="1">IFERROR(__xludf.DUMMYFUNCTION("""COMPUTED_VALUE"""),"nezarseliem@gmail.com")</f>
        <v>nezarseliem@gmail.com</v>
      </c>
      <c r="G168" s="2" t="str">
        <f ca="1">IFERROR(__xludf.DUMMYFUNCTION("""COMPUTED_VALUE"""),"01281280294")</f>
        <v>01281280294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 t="str">
        <f ca="1">IFERROR(__xludf.DUMMYFUNCTION("""COMPUTED_VALUE"""),"رحاب جمعة")</f>
        <v>رحاب جمعة</v>
      </c>
      <c r="B169" s="2">
        <f ca="1">IFERROR(__xludf.DUMMYFUNCTION("""COMPUTED_VALUE"""),123132196047)</f>
        <v>123132196047</v>
      </c>
      <c r="C169" s="2" t="str">
        <f ca="1">IFERROR(__xludf.DUMMYFUNCTION("""COMPUTED_VALUE"""),"رحاب جمعة")</f>
        <v>رحاب جمعة</v>
      </c>
      <c r="D169" s="4" t="str">
        <f ca="1">IFERROR(__xludf.DUMMYFUNCTION("""COMPUTED_VALUE"""),"2025")</f>
        <v>2025</v>
      </c>
      <c r="E169" s="2"/>
      <c r="F169" s="2" t="str">
        <f ca="1">IFERROR(__xludf.DUMMYFUNCTION("""COMPUTED_VALUE"""),"rouby_zico@yahoo.com")</f>
        <v>rouby_zico@yahoo.com</v>
      </c>
      <c r="G169" s="2" t="str">
        <f ca="1">IFERROR(__xludf.DUMMYFUNCTION("""COMPUTED_VALUE"""),"01100909748")</f>
        <v>01100909748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 t="str">
        <f ca="1">IFERROR(__xludf.DUMMYFUNCTION("""COMPUTED_VALUE"""),"كريستينا جرجس")</f>
        <v>كريستينا جرجس</v>
      </c>
      <c r="B170" s="2">
        <f ca="1">IFERROR(__xludf.DUMMYFUNCTION("""COMPUTED_VALUE"""),384108435424)</f>
        <v>384108435424</v>
      </c>
      <c r="C170" s="2" t="str">
        <f ca="1">IFERROR(__xludf.DUMMYFUNCTION("""COMPUTED_VALUE"""),"كريستينا جرجس")</f>
        <v>كريستينا جرجس</v>
      </c>
      <c r="D170" s="4" t="str">
        <f ca="1">IFERROR(__xludf.DUMMYFUNCTION("""COMPUTED_VALUE"""),"2029")</f>
        <v>2029</v>
      </c>
      <c r="E170" s="2" t="str">
        <f ca="1">IFERROR(__xludf.DUMMYFUNCTION("""COMPUTED_VALUE"""),"EG07-EG08-EG09")</f>
        <v>EG07-EG08-EG09</v>
      </c>
      <c r="F170" s="2" t="str">
        <f ca="1">IFERROR(__xludf.DUMMYFUNCTION("""COMPUTED_VALUE"""),"cristinagerges44@gmail.com")</f>
        <v>cristinagerges44@gmail.com</v>
      </c>
      <c r="G170" s="2" t="str">
        <f ca="1">IFERROR(__xludf.DUMMYFUNCTION("""COMPUTED_VALUE"""),"01229505808")</f>
        <v>01229505808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 t="str">
        <f ca="1">IFERROR(__xludf.DUMMYFUNCTION("""COMPUTED_VALUE"""),"شريف عبد المنعم")</f>
        <v>شريف عبد المنعم</v>
      </c>
      <c r="B171" s="2">
        <f ca="1">IFERROR(__xludf.DUMMYFUNCTION("""COMPUTED_VALUE"""),957170329636)</f>
        <v>957170329636</v>
      </c>
      <c r="C171" s="2" t="str">
        <f ca="1">IFERROR(__xludf.DUMMYFUNCTION("""COMPUTED_VALUE"""),"شريف عبد المنعم")</f>
        <v>شريف عبد المنعم</v>
      </c>
      <c r="D171" s="4" t="str">
        <f ca="1">IFERROR(__xludf.DUMMYFUNCTION("""COMPUTED_VALUE"""),"2035")</f>
        <v>2035</v>
      </c>
      <c r="E171" s="2" t="str">
        <f ca="1">IFERROR(__xludf.DUMMYFUNCTION("""COMPUTED_VALUE"""),"EG07-EG08-EG09")</f>
        <v>EG07-EG08-EG09</v>
      </c>
      <c r="F171" s="2" t="str">
        <f ca="1">IFERROR(__xludf.DUMMYFUNCTION("""COMPUTED_VALUE"""),"shirefagor166@gmail.com")</f>
        <v>shirefagor166@gmail.com</v>
      </c>
      <c r="G171" s="2" t="str">
        <f ca="1">IFERROR(__xludf.DUMMYFUNCTION("""COMPUTED_VALUE"""),"01223742383")</f>
        <v>01223742383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 t="str">
        <f ca="1">IFERROR(__xludf.DUMMYFUNCTION("""COMPUTED_VALUE"""),"أحمد عبد الشهيد")</f>
        <v>أحمد عبد الشهيد</v>
      </c>
      <c r="B172" s="2">
        <f ca="1">IFERROR(__xludf.DUMMYFUNCTION("""COMPUTED_VALUE"""),573182638724)</f>
        <v>573182638724</v>
      </c>
      <c r="C172" s="2" t="str">
        <f ca="1">IFERROR(__xludf.DUMMYFUNCTION("""COMPUTED_VALUE"""),"أحمد عبد الشهيد")</f>
        <v>أحمد عبد الشهيد</v>
      </c>
      <c r="D172" s="4" t="str">
        <f ca="1">IFERROR(__xludf.DUMMYFUNCTION("""COMPUTED_VALUE"""),"2045")</f>
        <v>2045</v>
      </c>
      <c r="E172" s="2"/>
      <c r="F172" s="2" t="str">
        <f ca="1">IFERROR(__xludf.DUMMYFUNCTION("""COMPUTED_VALUE"""),"ahmedabdelshaheed88@gmail.com")</f>
        <v>ahmedabdelshaheed88@gmail.com</v>
      </c>
      <c r="G172" s="2" t="str">
        <f ca="1">IFERROR(__xludf.DUMMYFUNCTION("""COMPUTED_VALUE"""),"01009361878")</f>
        <v>01009361878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 t="str">
        <f ca="1">IFERROR(__xludf.DUMMYFUNCTION("""COMPUTED_VALUE"""),"آية داود")</f>
        <v>آية داود</v>
      </c>
      <c r="B173" s="2">
        <f ca="1">IFERROR(__xludf.DUMMYFUNCTION("""COMPUTED_VALUE"""),395193419294)</f>
        <v>395193419294</v>
      </c>
      <c r="C173" s="2" t="str">
        <f ca="1">IFERROR(__xludf.DUMMYFUNCTION("""COMPUTED_VALUE"""),"آية داود")</f>
        <v>آية داود</v>
      </c>
      <c r="D173" s="4" t="str">
        <f ca="1">IFERROR(__xludf.DUMMYFUNCTION("""COMPUTED_VALUE"""),"2033")</f>
        <v>2033</v>
      </c>
      <c r="E173" s="2"/>
      <c r="F173" s="2" t="str">
        <f ca="1">IFERROR(__xludf.DUMMYFUNCTION("""COMPUTED_VALUE"""),"ayadaod2017@gmail.com")</f>
        <v>ayadaod2017@gmail.com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 t="str">
        <f ca="1">IFERROR(__xludf.DUMMYFUNCTION("""COMPUTED_VALUE"""),"محمد إبراهيم")</f>
        <v>محمد إبراهيم</v>
      </c>
      <c r="B174" s="2">
        <f ca="1">IFERROR(__xludf.DUMMYFUNCTION("""COMPUTED_VALUE"""),507191054317)</f>
        <v>507191054317</v>
      </c>
      <c r="C174" s="2" t="str">
        <f ca="1">IFERROR(__xludf.DUMMYFUNCTION("""COMPUTED_VALUE"""),"محمد إبراهيم")</f>
        <v>محمد إبراهيم</v>
      </c>
      <c r="D174" s="4" t="str">
        <f ca="1">IFERROR(__xludf.DUMMYFUNCTION("""COMPUTED_VALUE"""),"2034")</f>
        <v>2034</v>
      </c>
      <c r="E174" s="2"/>
      <c r="F174" s="2" t="str">
        <f ca="1">IFERROR(__xludf.DUMMYFUNCTION("""COMPUTED_VALUE"""),"viplol85@gmail.com")</f>
        <v>viplol85@gmail.com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 t="str">
        <f ca="1">IFERROR(__xludf.DUMMYFUNCTION("""COMPUTED_VALUE"""),"سارة محمود")</f>
        <v>سارة محمود</v>
      </c>
      <c r="B175" s="2">
        <f ca="1">IFERROR(__xludf.DUMMYFUNCTION("""COMPUTED_VALUE"""),607182043274)</f>
        <v>607182043274</v>
      </c>
      <c r="C175" s="2" t="str">
        <f ca="1">IFERROR(__xludf.DUMMYFUNCTION("""COMPUTED_VALUE"""),"سارة محمود")</f>
        <v>سارة محمود</v>
      </c>
      <c r="D175" s="4" t="str">
        <f ca="1">IFERROR(__xludf.DUMMYFUNCTION("""COMPUTED_VALUE"""),"2036")</f>
        <v>2036</v>
      </c>
      <c r="E175" s="2"/>
      <c r="F175" s="2" t="str">
        <f ca="1">IFERROR(__xludf.DUMMYFUNCTION("""COMPUTED_VALUE"""),"saramelgendy@gmail.com")</f>
        <v>saramelgendy@gmail.com</v>
      </c>
      <c r="G175" s="2" t="str">
        <f ca="1">IFERROR(__xludf.DUMMYFUNCTION("""COMPUTED_VALUE"""),"01128004018")</f>
        <v>01128004018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 t="str">
        <f ca="1">IFERROR(__xludf.DUMMYFUNCTION("""COMPUTED_VALUE"""),"عماد عرابي")</f>
        <v>عماد عرابي</v>
      </c>
      <c r="B176" s="2">
        <f ca="1">IFERROR(__xludf.DUMMYFUNCTION("""COMPUTED_VALUE"""),797194713202)</f>
        <v>797194713202</v>
      </c>
      <c r="C176" s="2" t="str">
        <f ca="1">IFERROR(__xludf.DUMMYFUNCTION("""COMPUTED_VALUE"""),"عماد عرابي")</f>
        <v>عماد عرابي</v>
      </c>
      <c r="D176" s="4" t="str">
        <f ca="1">IFERROR(__xludf.DUMMYFUNCTION("""COMPUTED_VALUE"""),"2037")</f>
        <v>2037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 t="str">
        <f ca="1">IFERROR(__xludf.DUMMYFUNCTION("""COMPUTED_VALUE"""),"سماح محمد")</f>
        <v>سماح محمد</v>
      </c>
      <c r="B177" s="2">
        <f ca="1">IFERROR(__xludf.DUMMYFUNCTION("""COMPUTED_VALUE"""),974193190698)</f>
        <v>974193190698</v>
      </c>
      <c r="C177" s="2" t="str">
        <f ca="1">IFERROR(__xludf.DUMMYFUNCTION("""COMPUTED_VALUE"""),"سماح محمد")</f>
        <v>سماح محمد</v>
      </c>
      <c r="D177" s="4">
        <f ca="1">IFERROR(__xludf.DUMMYFUNCTION("""COMPUTED_VALUE"""),2038)</f>
        <v>2038</v>
      </c>
      <c r="E177" s="2"/>
      <c r="F177" s="2" t="str">
        <f ca="1">IFERROR(__xludf.DUMMYFUNCTION("""COMPUTED_VALUE"""),"smah46158@gmail.com")</f>
        <v>smah46158@gmail.com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 t="str">
        <f ca="1">IFERROR(__xludf.DUMMYFUNCTION("""COMPUTED_VALUE"""),"ريمون مجدي")</f>
        <v>ريمون مجدي</v>
      </c>
      <c r="B178" s="2">
        <f ca="1">IFERROR(__xludf.DUMMYFUNCTION("""COMPUTED_VALUE"""),785152928659)</f>
        <v>785152928659</v>
      </c>
      <c r="C178" s="2" t="str">
        <f ca="1">IFERROR(__xludf.DUMMYFUNCTION("""COMPUTED_VALUE"""),"ريمون مجدي")</f>
        <v>ريمون مجدي</v>
      </c>
      <c r="D178" s="4" t="str">
        <f ca="1">IFERROR(__xludf.DUMMYFUNCTION("""COMPUTED_VALUE"""),"2039")</f>
        <v>2039</v>
      </c>
      <c r="E178" s="2"/>
      <c r="F178" s="2" t="str">
        <f ca="1">IFERROR(__xludf.DUMMYFUNCTION("""COMPUTED_VALUE"""),"remonseha009@gmail.com")</f>
        <v>remonseha009@gmail.com</v>
      </c>
      <c r="G178" s="2" t="str">
        <f ca="1">IFERROR(__xludf.DUMMYFUNCTION("""COMPUTED_VALUE"""),"01010341068")</f>
        <v>01010341068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 t="str">
        <f ca="1">IFERROR(__xludf.DUMMYFUNCTION("""COMPUTED_VALUE"""),"إيمان دسوقي")</f>
        <v>إيمان دسوقي</v>
      </c>
      <c r="B179" s="2">
        <f ca="1">IFERROR(__xludf.DUMMYFUNCTION("""COMPUTED_VALUE"""),908173825031)</f>
        <v>908173825031</v>
      </c>
      <c r="C179" s="2" t="str">
        <f ca="1">IFERROR(__xludf.DUMMYFUNCTION("""COMPUTED_VALUE"""),"إيمان دسوقي")</f>
        <v>إيمان دسوقي</v>
      </c>
      <c r="D179" s="4" t="str">
        <f ca="1">IFERROR(__xludf.DUMMYFUNCTION("""COMPUTED_VALUE"""),"2040")</f>
        <v>2040</v>
      </c>
      <c r="E179" s="2"/>
      <c r="F179" s="2" t="str">
        <f ca="1">IFERROR(__xludf.DUMMYFUNCTION("""COMPUTED_VALUE"""),"emiliamony@gmail.com")</f>
        <v>emiliamony@gmail.com</v>
      </c>
      <c r="G179" s="2">
        <f ca="1">IFERROR(__xludf.DUMMYFUNCTION("""COMPUTED_VALUE"""),28310280200527)</f>
        <v>28310280200527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 t="str">
        <f ca="1">IFERROR(__xludf.DUMMYFUNCTION("""COMPUTED_VALUE"""),"عبد المنعم سرور")</f>
        <v>عبد المنعم سرور</v>
      </c>
      <c r="B180" s="2">
        <f ca="1">IFERROR(__xludf.DUMMYFUNCTION("""COMPUTED_VALUE"""),586171628191)</f>
        <v>586171628191</v>
      </c>
      <c r="C180" s="2" t="str">
        <f ca="1">IFERROR(__xludf.DUMMYFUNCTION("""COMPUTED_VALUE"""),"عبد المنعم سرور")</f>
        <v>عبد المنعم سرور</v>
      </c>
      <c r="D180" s="4" t="str">
        <f ca="1">IFERROR(__xludf.DUMMYFUNCTION("""COMPUTED_VALUE"""),"2042")</f>
        <v>2042</v>
      </c>
      <c r="E180" s="2" t="str">
        <f ca="1">IFERROR(__xludf.DUMMYFUNCTION("""COMPUTED_VALUE"""),"EG07-EG08-EG09")</f>
        <v>EG07-EG08-EG09</v>
      </c>
      <c r="F180" s="2" t="str">
        <f ca="1">IFERROR(__xludf.DUMMYFUNCTION("""COMPUTED_VALUE"""),"meneimpharma@gmail.com")</f>
        <v>meneimpharma@gmail.com</v>
      </c>
      <c r="G180" s="2" t="str">
        <f ca="1">IFERROR(__xludf.DUMMYFUNCTION("""COMPUTED_VALUE"""),"01225606274")</f>
        <v>01225606274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 t="str">
        <f ca="1">IFERROR(__xludf.DUMMYFUNCTION("""COMPUTED_VALUE"""),"عمر خالد")</f>
        <v>عمر خالد</v>
      </c>
      <c r="B181" s="2">
        <f ca="1">IFERROR(__xludf.DUMMYFUNCTION("""COMPUTED_VALUE"""),347126195768)</f>
        <v>347126195768</v>
      </c>
      <c r="C181" s="2" t="str">
        <f ca="1">IFERROR(__xludf.DUMMYFUNCTION("""COMPUTED_VALUE"""),"عمر خالد")</f>
        <v>عمر خالد</v>
      </c>
      <c r="D181" s="4" t="str">
        <f ca="1">IFERROR(__xludf.DUMMYFUNCTION("""COMPUTED_VALUE"""),"2041")</f>
        <v>2041</v>
      </c>
      <c r="E181" s="2" t="str">
        <f ca="1">IFERROR(__xludf.DUMMYFUNCTION("""COMPUTED_VALUE"""),"G11")</f>
        <v>G11</v>
      </c>
      <c r="F181" s="2" t="str">
        <f ca="1">IFERROR(__xludf.DUMMYFUNCTION("""COMPUTED_VALUE"""),"omarkhaled7772016@gmail.com")</f>
        <v>omarkhaled7772016@gmail.com</v>
      </c>
      <c r="G181" s="2" t="str">
        <f ca="1">IFERROR(__xludf.DUMMYFUNCTION("""COMPUTED_VALUE"""),"01119231204")</f>
        <v>01119231204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 t="str">
        <f ca="1">IFERROR(__xludf.DUMMYFUNCTION("""COMPUTED_VALUE"""),"محمود جودة")</f>
        <v>محمود جودة</v>
      </c>
      <c r="B182" s="2">
        <f ca="1">IFERROR(__xludf.DUMMYFUNCTION("""COMPUTED_VALUE"""),873160320409)</f>
        <v>873160320409</v>
      </c>
      <c r="C182" s="2" t="str">
        <f ca="1">IFERROR(__xludf.DUMMYFUNCTION("""COMPUTED_VALUE"""),"محمود جودة")</f>
        <v>محمود جودة</v>
      </c>
      <c r="D182" s="2" t="str">
        <f ca="1">IFERROR(__xludf.DUMMYFUNCTION("""COMPUTED_VALUE"""),"#N/A")</f>
        <v>#N/A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 t="str">
        <f ca="1">IFERROR(__xludf.DUMMYFUNCTION("""COMPUTED_VALUE"""),"حاتم محمد")</f>
        <v>حاتم محمد</v>
      </c>
      <c r="B183" s="2">
        <f ca="1">IFERROR(__xludf.DUMMYFUNCTION("""COMPUTED_VALUE"""),509154312983)</f>
        <v>509154312983</v>
      </c>
      <c r="C183" s="2" t="str">
        <f ca="1">IFERROR(__xludf.DUMMYFUNCTION("""COMPUTED_VALUE"""),"حاتم محمد")</f>
        <v>حاتم محمد</v>
      </c>
      <c r="D183" s="4" t="str">
        <f ca="1">IFERROR(__xludf.DUMMYFUNCTION("""COMPUTED_VALUE"""),"2060")</f>
        <v>2060</v>
      </c>
      <c r="E183" s="2"/>
      <c r="F183" s="2" t="str">
        <f ca="1">IFERROR(__xludf.DUMMYFUNCTION("""COMPUTED_VALUE"""),"hatem01144465866@gmail.com")</f>
        <v>hatem01144465866@gmail.com</v>
      </c>
      <c r="G183" s="2" t="str">
        <f ca="1">IFERROR(__xludf.DUMMYFUNCTION("""COMPUTED_VALUE"""),"01005244058/01144465866")</f>
        <v>01005244058/01144465866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 t="str">
        <f ca="1">IFERROR(__xludf.DUMMYFUNCTION("""COMPUTED_VALUE"""),"مروة مصطفى")</f>
        <v>مروة مصطفى</v>
      </c>
      <c r="B184" s="2">
        <f ca="1">IFERROR(__xludf.DUMMYFUNCTION("""COMPUTED_VALUE"""),963158235375)</f>
        <v>963158235375</v>
      </c>
      <c r="C184" s="2" t="str">
        <f ca="1">IFERROR(__xludf.DUMMYFUNCTION("""COMPUTED_VALUE"""),"مروة مصطفى")</f>
        <v>مروة مصطفى</v>
      </c>
      <c r="D184" s="4" t="str">
        <f ca="1">IFERROR(__xludf.DUMMYFUNCTION("""COMPUTED_VALUE"""),"2062")</f>
        <v>2062</v>
      </c>
      <c r="E184" s="2"/>
      <c r="F184" s="2" t="str">
        <f ca="1">IFERROR(__xludf.DUMMYFUNCTION("""COMPUTED_VALUE"""),"marwa_mostafa_@hotmail.com")</f>
        <v>marwa_mostafa_@hotmail.com</v>
      </c>
      <c r="G184" s="2" t="str">
        <f ca="1">IFERROR(__xludf.DUMMYFUNCTION("""COMPUTED_VALUE"""),"01003732776")</f>
        <v>01003732776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 t="str">
        <f ca="1">IFERROR(__xludf.DUMMYFUNCTION("""COMPUTED_VALUE"""),"جلال محمد")</f>
        <v>جلال محمد</v>
      </c>
      <c r="B185" s="2">
        <f ca="1">IFERROR(__xludf.DUMMYFUNCTION("""COMPUTED_VALUE"""),270108515474)</f>
        <v>270108515474</v>
      </c>
      <c r="C185" s="2" t="str">
        <f ca="1">IFERROR(__xludf.DUMMYFUNCTION("""COMPUTED_VALUE"""),"جلال محمد")</f>
        <v>جلال محمد</v>
      </c>
      <c r="D185" s="4" t="str">
        <f ca="1">IFERROR(__xludf.DUMMYFUNCTION("""COMPUTED_VALUE"""),"2052")</f>
        <v>2052</v>
      </c>
      <c r="E185" s="2"/>
      <c r="F185" s="2" t="str">
        <f ca="1">IFERROR(__xludf.DUMMYFUNCTION("""COMPUTED_VALUE"""),"galalmohamed33@gmail.com")</f>
        <v>galalmohamed33@gmail.com</v>
      </c>
      <c r="G185" s="2" t="str">
        <f ca="1">IFERROR(__xludf.DUMMYFUNCTION("""COMPUTED_VALUE"""),"+201069423949")</f>
        <v>+201069423949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 t="str">
        <f ca="1">IFERROR(__xludf.DUMMYFUNCTION("""COMPUTED_VALUE"""),"محمد لقمان")</f>
        <v>محمد لقمان</v>
      </c>
      <c r="B186" s="2">
        <f ca="1">IFERROR(__xludf.DUMMYFUNCTION("""COMPUTED_VALUE"""),565175096735)</f>
        <v>565175096735</v>
      </c>
      <c r="C186" s="2" t="str">
        <f ca="1">IFERROR(__xludf.DUMMYFUNCTION("""COMPUTED_VALUE"""),"محمد لقمان")</f>
        <v>محمد لقمان</v>
      </c>
      <c r="D186" s="4" t="str">
        <f ca="1">IFERROR(__xludf.DUMMYFUNCTION("""COMPUTED_VALUE"""),"2049")</f>
        <v>2049</v>
      </c>
      <c r="E186" s="2"/>
      <c r="F186" s="2" t="str">
        <f ca="1">IFERROR(__xludf.DUMMYFUNCTION("""COMPUTED_VALUE"""),"mohamedlokman055@gmail.com")</f>
        <v>mohamedlokman055@gmail.com</v>
      </c>
      <c r="G186" s="2" t="str">
        <f ca="1">IFERROR(__xludf.DUMMYFUNCTION("""COMPUTED_VALUE"""),"01006721017")</f>
        <v>01006721017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 t="str">
        <f ca="1">IFERROR(__xludf.DUMMYFUNCTION("""COMPUTED_VALUE"""),"ياسر عبد الجواد")</f>
        <v>ياسر عبد الجواد</v>
      </c>
      <c r="B187" s="2">
        <f ca="1">IFERROR(__xludf.DUMMYFUNCTION("""COMPUTED_VALUE"""),897176765424)</f>
        <v>897176765424</v>
      </c>
      <c r="C187" s="2" t="str">
        <f ca="1">IFERROR(__xludf.DUMMYFUNCTION("""COMPUTED_VALUE"""),"ياسر عبد الجواد")</f>
        <v>ياسر عبد الجواد</v>
      </c>
      <c r="D187" s="4" t="str">
        <f ca="1">IFERROR(__xludf.DUMMYFUNCTION("""COMPUTED_VALUE"""),"2063")</f>
        <v>2063</v>
      </c>
      <c r="E187" s="2" t="str">
        <f ca="1">IFERROR(__xludf.DUMMYFUNCTION("""COMPUTED_VALUE"""),"EG08-EG09-EG10-EG11-EG12")</f>
        <v>EG08-EG09-EG10-EG11-EG12</v>
      </c>
      <c r="F187" s="2" t="str">
        <f ca="1">IFERROR(__xludf.DUMMYFUNCTION("""COMPUTED_VALUE"""),"yasour2007@yahoo.com")</f>
        <v>yasour2007@yahoo.com</v>
      </c>
      <c r="G187" s="2" t="str">
        <f ca="1">IFERROR(__xludf.DUMMYFUNCTION("""COMPUTED_VALUE"""),"01553440630")</f>
        <v>01553440630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 t="str">
        <f ca="1">IFERROR(__xludf.DUMMYFUNCTION("""COMPUTED_VALUE"""),"محمد عيد")</f>
        <v>محمد عيد</v>
      </c>
      <c r="B188" s="2">
        <f ca="1">IFERROR(__xludf.DUMMYFUNCTION("""COMPUTED_VALUE"""),516103937369)</f>
        <v>516103937369</v>
      </c>
      <c r="C188" s="2" t="str">
        <f ca="1">IFERROR(__xludf.DUMMYFUNCTION("""COMPUTED_VALUE"""),"محمد عيد")</f>
        <v>محمد عيد</v>
      </c>
      <c r="D188" s="2" t="str">
        <f ca="1">IFERROR(__xludf.DUMMYFUNCTION("""COMPUTED_VALUE"""),"#N/A")</f>
        <v>#N/A</v>
      </c>
      <c r="E188" s="2"/>
      <c r="F188" s="2" t="str">
        <f ca="1">IFERROR(__xludf.DUMMYFUNCTION("""COMPUTED_VALUE"""),"mohammed.eid.gad@gmail.com")</f>
        <v>mohammed.eid.gad@gmail.com</v>
      </c>
      <c r="G188" s="2" t="str">
        <f ca="1">IFERROR(__xludf.DUMMYFUNCTION("""COMPUTED_VALUE"""),"01027610533")</f>
        <v>01027610533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 t="str">
        <f ca="1">IFERROR(__xludf.DUMMYFUNCTION("""COMPUTED_VALUE"""),"أحمد سليمان")</f>
        <v>أحمد سليمان</v>
      </c>
      <c r="B189" s="2">
        <f ca="1">IFERROR(__xludf.DUMMYFUNCTION("""COMPUTED_VALUE"""),695171650641)</f>
        <v>695171650641</v>
      </c>
      <c r="C189" s="2" t="str">
        <f ca="1">IFERROR(__xludf.DUMMYFUNCTION("""COMPUTED_VALUE"""),"أحمد سليمان")</f>
        <v>أحمد سليمان</v>
      </c>
      <c r="D189" s="4" t="str">
        <f ca="1">IFERROR(__xludf.DUMMYFUNCTION("""COMPUTED_VALUE"""),"2080")</f>
        <v>2080</v>
      </c>
      <c r="E189" s="2" t="str">
        <f ca="1">IFERROR(__xludf.DUMMYFUNCTION("""COMPUTED_VALUE"""),"EG10-EG11-EG12")</f>
        <v>EG10-EG11-EG12</v>
      </c>
      <c r="F189" s="2" t="str">
        <f ca="1">IFERROR(__xludf.DUMMYFUNCTION("""COMPUTED_VALUE"""),"ahmedsoliman200040@yahoo.com")</f>
        <v>ahmedsoliman200040@yahoo.com</v>
      </c>
      <c r="G189" s="2" t="str">
        <f ca="1">IFERROR(__xludf.DUMMYFUNCTION("""COMPUTED_VALUE"""),"01007569392")</f>
        <v>01007569392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 t="str">
        <f ca="1">IFERROR(__xludf.DUMMYFUNCTION("""COMPUTED_VALUE"""),"السيد سابق")</f>
        <v>السيد سابق</v>
      </c>
      <c r="B190" s="2">
        <f ca="1">IFERROR(__xludf.DUMMYFUNCTION("""COMPUTED_VALUE"""),649109540563)</f>
        <v>649109540563</v>
      </c>
      <c r="C190" s="2" t="str">
        <f ca="1">IFERROR(__xludf.DUMMYFUNCTION("""COMPUTED_VALUE"""),"السيد سابق")</f>
        <v>السيد سابق</v>
      </c>
      <c r="D190" s="4" t="str">
        <f ca="1">IFERROR(__xludf.DUMMYFUNCTION("""COMPUTED_VALUE"""),"2081")</f>
        <v>2081</v>
      </c>
      <c r="E190" s="2" t="str">
        <f ca="1">IFERROR(__xludf.DUMMYFUNCTION("""COMPUTED_VALUE"""),"EG04-EG05-EG06")</f>
        <v>EG04-EG05-EG06</v>
      </c>
      <c r="F190" s="2" t="str">
        <f ca="1">IFERROR(__xludf.DUMMYFUNCTION("""COMPUTED_VALUE"""),"apoapdo3000@gmail.com")</f>
        <v>apoapdo3000@gmail.com</v>
      </c>
      <c r="G190" s="2" t="str">
        <f ca="1">IFERROR(__xludf.DUMMYFUNCTION("""COMPUTED_VALUE"""),"01119730825")</f>
        <v>01119730825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 t="str">
        <f ca="1">IFERROR(__xludf.DUMMYFUNCTION("""COMPUTED_VALUE"""),"مسعد عبد الرحيم")</f>
        <v>مسعد عبد الرحيم</v>
      </c>
      <c r="B191" s="2">
        <f ca="1">IFERROR(__xludf.DUMMYFUNCTION("""COMPUTED_VALUE"""),919178945796)</f>
        <v>919178945796</v>
      </c>
      <c r="C191" s="2" t="str">
        <f ca="1">IFERROR(__xludf.DUMMYFUNCTION("""COMPUTED_VALUE"""),"مسعد عبد الرحيم")</f>
        <v>مسعد عبد الرحيم</v>
      </c>
      <c r="D191" s="4" t="str">
        <f ca="1">IFERROR(__xludf.DUMMYFUNCTION("""COMPUTED_VALUE"""),"2082")</f>
        <v>2082</v>
      </c>
      <c r="E191" s="2" t="str">
        <f ca="1">IFERROR(__xludf.DUMMYFUNCTION("""COMPUTED_VALUE"""),"EG07-EG08-EG09-EG10-EG11-EG12")</f>
        <v>EG07-EG08-EG09-EG10-EG11-EG12</v>
      </c>
      <c r="F191" s="2" t="str">
        <f ca="1">IFERROR(__xludf.DUMMYFUNCTION("""COMPUTED_VALUE"""),"mosadalmakhrat@gmail.com")</f>
        <v>mosadalmakhrat@gmail.com</v>
      </c>
      <c r="G191" s="2" t="str">
        <f ca="1">IFERROR(__xludf.DUMMYFUNCTION("""COMPUTED_VALUE"""),"01226434618")</f>
        <v>01226434618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 t="str">
        <f ca="1">IFERROR(__xludf.DUMMYFUNCTION("""COMPUTED_VALUE"""),"ريم نصار")</f>
        <v>ريم نصار</v>
      </c>
      <c r="B192" s="2">
        <f ca="1">IFERROR(__xludf.DUMMYFUNCTION("""COMPUTED_VALUE"""),956176242726)</f>
        <v>956176242726</v>
      </c>
      <c r="C192" s="2" t="str">
        <f ca="1">IFERROR(__xludf.DUMMYFUNCTION("""COMPUTED_VALUE"""),"ريم نصار")</f>
        <v>ريم نصار</v>
      </c>
      <c r="D192" s="4" t="str">
        <f ca="1">IFERROR(__xludf.DUMMYFUNCTION("""COMPUTED_VALUE"""),"2070")</f>
        <v>2070</v>
      </c>
      <c r="E192" s="2" t="str">
        <f ca="1">IFERROR(__xludf.DUMMYFUNCTION("""COMPUTED_VALUE"""),"EG04-EG05-EG06-EG07-EG08-EG09")</f>
        <v>EG04-EG05-EG06-EG07-EG08-EG09</v>
      </c>
      <c r="F192" s="2" t="str">
        <f ca="1">IFERROR(__xludf.DUMMYFUNCTION("""COMPUTED_VALUE"""),"reemhassannassar209@gmail.com")</f>
        <v>reemhassannassar209@gmail.com</v>
      </c>
      <c r="G192" s="2" t="str">
        <f ca="1">IFERROR(__xludf.DUMMYFUNCTION("""COMPUTED_VALUE"""),"01118953299")</f>
        <v>01118953299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 t="str">
        <f ca="1">IFERROR(__xludf.DUMMYFUNCTION("""COMPUTED_VALUE"""),"كرستين مراد")</f>
        <v>كرستين مراد</v>
      </c>
      <c r="B193" s="2">
        <f ca="1">IFERROR(__xludf.DUMMYFUNCTION("""COMPUTED_VALUE"""),757153589828)</f>
        <v>757153589828</v>
      </c>
      <c r="C193" s="2" t="str">
        <f ca="1">IFERROR(__xludf.DUMMYFUNCTION("""COMPUTED_VALUE"""),"كرستين مراد")</f>
        <v>كرستين مراد</v>
      </c>
      <c r="D193" s="4" t="str">
        <f ca="1">IFERROR(__xludf.DUMMYFUNCTION("""COMPUTED_VALUE"""),"2066")</f>
        <v>2066</v>
      </c>
      <c r="E193" s="2" t="str">
        <f ca="1">IFERROR(__xludf.DUMMYFUNCTION("""COMPUTED_VALUE"""),"EG04-EG05-EG06")</f>
        <v>EG04-EG05-EG06</v>
      </c>
      <c r="F193" s="2" t="str">
        <f ca="1">IFERROR(__xludf.DUMMYFUNCTION("""COMPUTED_VALUE"""),"christinemourad6@gmail.com")</f>
        <v>christinemourad6@gmail.com</v>
      </c>
      <c r="G193" s="2" t="str">
        <f ca="1">IFERROR(__xludf.DUMMYFUNCTION("""COMPUTED_VALUE"""),"01202636991")</f>
        <v>01202636991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 t="str">
        <f ca="1">IFERROR(__xludf.DUMMYFUNCTION("""COMPUTED_VALUE"""),"محمود علاء")</f>
        <v>محمود علاء</v>
      </c>
      <c r="B194" s="2">
        <f ca="1">IFERROR(__xludf.DUMMYFUNCTION("""COMPUTED_VALUE"""),283104384369)</f>
        <v>283104384369</v>
      </c>
      <c r="C194" s="2" t="str">
        <f ca="1">IFERROR(__xludf.DUMMYFUNCTION("""COMPUTED_VALUE"""),"محمود علاء")</f>
        <v>محمود علاء</v>
      </c>
      <c r="D194" s="4" t="str">
        <f ca="1">IFERROR(__xludf.DUMMYFUNCTION("""COMPUTED_VALUE"""),"2083")</f>
        <v>2083</v>
      </c>
      <c r="E194" s="2"/>
      <c r="F194" s="2" t="str">
        <f ca="1">IFERROR(__xludf.DUMMYFUNCTION("""COMPUTED_VALUE"""),"mahmoud.mohameed26@gmail.com")</f>
        <v>mahmoud.mohameed26@gmail.com</v>
      </c>
      <c r="G194" s="2" t="str">
        <f ca="1">IFERROR(__xludf.DUMMYFUNCTION("""COMPUTED_VALUE"""),"01006764019")</f>
        <v>01006764019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 t="str">
        <f ca="1">IFERROR(__xludf.DUMMYFUNCTION("""COMPUTED_VALUE"""),"أحمد داود")</f>
        <v>أحمد داود</v>
      </c>
      <c r="B195" s="2">
        <f ca="1">IFERROR(__xludf.DUMMYFUNCTION("""COMPUTED_VALUE"""),964127341684)</f>
        <v>964127341684</v>
      </c>
      <c r="C195" s="2" t="str">
        <f ca="1">IFERROR(__xludf.DUMMYFUNCTION("""COMPUTED_VALUE"""),"أحمد داود")</f>
        <v>أحمد داود</v>
      </c>
      <c r="D195" s="4" t="str">
        <f ca="1">IFERROR(__xludf.DUMMYFUNCTION("""COMPUTED_VALUE"""),"2071")</f>
        <v>2071</v>
      </c>
      <c r="E195" s="2"/>
      <c r="F195" s="2" t="str">
        <f ca="1">IFERROR(__xludf.DUMMYFUNCTION("""COMPUTED_VALUE"""),"dream201037@gmail.com")</f>
        <v>dream201037@gmail.com</v>
      </c>
      <c r="G195" s="2" t="str">
        <f ca="1">IFERROR(__xludf.DUMMYFUNCTION("""COMPUTED_VALUE"""),"01550085874")</f>
        <v>01550085874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 t="str">
        <f ca="1">IFERROR(__xludf.DUMMYFUNCTION("""COMPUTED_VALUE"""),"أحمد الشرقاوي")</f>
        <v>أحمد الشرقاوي</v>
      </c>
      <c r="B196" s="2">
        <f ca="1">IFERROR(__xludf.DUMMYFUNCTION("""COMPUTED_VALUE"""),148160160523)</f>
        <v>148160160523</v>
      </c>
      <c r="C196" s="2" t="str">
        <f ca="1">IFERROR(__xludf.DUMMYFUNCTION("""COMPUTED_VALUE"""),"أحمد الشرقاوي")</f>
        <v>أحمد الشرقاوي</v>
      </c>
      <c r="D196" s="2" t="str">
        <f ca="1">IFERROR(__xludf.DUMMYFUNCTION("""COMPUTED_VALUE"""),"2068")</f>
        <v>2068</v>
      </c>
      <c r="E196" s="2"/>
      <c r="F196" s="2" t="str">
        <f ca="1">IFERROR(__xludf.DUMMYFUNCTION("""COMPUTED_VALUE"""),"mogeograpgic@gmail.com")</f>
        <v>mogeograpgic@gmail.com</v>
      </c>
      <c r="G196" s="2">
        <f ca="1">IFERROR(__xludf.DUMMYFUNCTION("""COMPUTED_VALUE"""),1144697090)</f>
        <v>1144697090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 t="str">
        <f ca="1">IFERROR(__xludf.DUMMYFUNCTION("""COMPUTED_VALUE"""),"بسيوني مسعد")</f>
        <v>بسيوني مسعد</v>
      </c>
      <c r="B197" s="2">
        <f ca="1">IFERROR(__xludf.DUMMYFUNCTION("""COMPUTED_VALUE"""),435127547073)</f>
        <v>435127547073</v>
      </c>
      <c r="C197" s="2" t="str">
        <f ca="1">IFERROR(__xludf.DUMMYFUNCTION("""COMPUTED_VALUE"""),"بسيوني مسعد")</f>
        <v>بسيوني مسعد</v>
      </c>
      <c r="D197" s="4" t="str">
        <f ca="1">IFERROR(__xludf.DUMMYFUNCTION("""COMPUTED_VALUE"""),"2086")</f>
        <v>2086</v>
      </c>
      <c r="E197" s="2"/>
      <c r="F197" s="2" t="str">
        <f ca="1">IFERROR(__xludf.DUMMYFUNCTION("""COMPUTED_VALUE"""),"bassiouny3311@gmail.com")</f>
        <v>bassiouny3311@gmail.com</v>
      </c>
      <c r="G197" s="2" t="str">
        <f ca="1">IFERROR(__xludf.DUMMYFUNCTION("""COMPUTED_VALUE"""),"+201147654033")</f>
        <v>+201147654033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 t="str">
        <f ca="1">IFERROR(__xludf.DUMMYFUNCTION("""COMPUTED_VALUE"""),"نادر وجدي")</f>
        <v>نادر وجدي</v>
      </c>
      <c r="B198" s="2">
        <f ca="1">IFERROR(__xludf.DUMMYFUNCTION("""COMPUTED_VALUE"""),372149691918)</f>
        <v>372149691918</v>
      </c>
      <c r="C198" s="2" t="str">
        <f ca="1">IFERROR(__xludf.DUMMYFUNCTION("""COMPUTED_VALUE"""),"نادر وجدي")</f>
        <v>نادر وجدي</v>
      </c>
      <c r="D198" s="4" t="str">
        <f ca="1">IFERROR(__xludf.DUMMYFUNCTION("""COMPUTED_VALUE"""),"2084")</f>
        <v>2084</v>
      </c>
      <c r="E198" s="2"/>
      <c r="F198" s="2" t="str">
        <f ca="1">IFERROR(__xludf.DUMMYFUNCTION("""COMPUTED_VALUE"""),"naderwagdy666@gmail.com")</f>
        <v>naderwagdy666@gmail.com</v>
      </c>
      <c r="G198" s="2" t="str">
        <f ca="1">IFERROR(__xludf.DUMMYFUNCTION("""COMPUTED_VALUE"""),"01280490085")</f>
        <v>01280490085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 t="str">
        <f ca="1">IFERROR(__xludf.DUMMYFUNCTION("""COMPUTED_VALUE"""),"نور علام")</f>
        <v>نور علام</v>
      </c>
      <c r="B199" s="2">
        <f ca="1">IFERROR(__xludf.DUMMYFUNCTION("""COMPUTED_VALUE"""),482158476754)</f>
        <v>482158476754</v>
      </c>
      <c r="C199" s="2" t="str">
        <f ca="1">IFERROR(__xludf.DUMMYFUNCTION("""COMPUTED_VALUE"""),"نور علام")</f>
        <v>نور علام</v>
      </c>
      <c r="D199" s="2" t="str">
        <f ca="1">IFERROR(__xludf.DUMMYFUNCTION("""COMPUTED_VALUE"""),"#N/A")</f>
        <v>#N/A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 t="str">
        <f ca="1">IFERROR(__xludf.DUMMYFUNCTION("""COMPUTED_VALUE"""),"إبراهيم طارق")</f>
        <v>إبراهيم طارق</v>
      </c>
      <c r="B200" s="2">
        <f ca="1">IFERROR(__xludf.DUMMYFUNCTION("""COMPUTED_VALUE"""),376107598539)</f>
        <v>376107598539</v>
      </c>
      <c r="C200" s="2" t="str">
        <f ca="1">IFERROR(__xludf.DUMMYFUNCTION("""COMPUTED_VALUE"""),"إبراهيم طارق")</f>
        <v>إبراهيم طارق</v>
      </c>
      <c r="D200" s="4" t="str">
        <f ca="1">IFERROR(__xludf.DUMMYFUNCTION("""COMPUTED_VALUE"""),"2092")</f>
        <v>2092</v>
      </c>
      <c r="E200" s="2" t="str">
        <f ca="1">IFERROR(__xludf.DUMMYFUNCTION("""COMPUTED_VALUE"""),"EG01-EG02-EG03-EG04-EG05-EG06")</f>
        <v>EG01-EG02-EG03-EG04-EG05-EG06</v>
      </c>
      <c r="F200" s="2" t="str">
        <f ca="1">IFERROR(__xludf.DUMMYFUNCTION("""COMPUTED_VALUE"""),"ibrahimelzayan@gmail.com")</f>
        <v>ibrahimelzayan@gmail.com</v>
      </c>
      <c r="G200" s="2" t="str">
        <f ca="1">IFERROR(__xludf.DUMMYFUNCTION("""COMPUTED_VALUE"""),"01141139184")</f>
        <v>01141139184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 t="str">
        <f ca="1">IFERROR(__xludf.DUMMYFUNCTION("""COMPUTED_VALUE"""),"أحمد سالم")</f>
        <v>أحمد سالم</v>
      </c>
      <c r="B201" s="2">
        <f ca="1">IFERROR(__xludf.DUMMYFUNCTION("""COMPUTED_VALUE"""),972182920695)</f>
        <v>972182920695</v>
      </c>
      <c r="C201" s="2" t="str">
        <f ca="1">IFERROR(__xludf.DUMMYFUNCTION("""COMPUTED_VALUE"""),"أحمد سالم")</f>
        <v>أحمد سالم</v>
      </c>
      <c r="D201" s="4" t="str">
        <f ca="1">IFERROR(__xludf.DUMMYFUNCTION("""COMPUTED_VALUE"""),"1137")</f>
        <v>1137</v>
      </c>
      <c r="E201" s="2" t="str">
        <f ca="1">IFERROR(__xludf.DUMMYFUNCTION("""COMPUTED_VALUE"""),"EG04-EG05-EG06-EG07-EG08-EG09-EG10-EG11-EG12")</f>
        <v>EG04-EG05-EG06-EG07-EG08-EG09-EG10-EG11-EG12</v>
      </c>
      <c r="F201" s="2" t="str">
        <f ca="1">IFERROR(__xludf.DUMMYFUNCTION("""COMPUTED_VALUE"""),"ahmedsalem6060@gmail.com")</f>
        <v>ahmedsalem6060@gmail.com</v>
      </c>
      <c r="G201" s="2" t="str">
        <f ca="1">IFERROR(__xludf.DUMMYFUNCTION("""COMPUTED_VALUE"""),"01143409562")</f>
        <v>01143409562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 t="str">
        <f ca="1">IFERROR(__xludf.DUMMYFUNCTION("""COMPUTED_VALUE"""),"ماريا ماجد")</f>
        <v>ماريا ماجد</v>
      </c>
      <c r="B202" s="2">
        <f ca="1">IFERROR(__xludf.DUMMYFUNCTION("""COMPUTED_VALUE"""),107149593948)</f>
        <v>107149593948</v>
      </c>
      <c r="C202" s="2" t="str">
        <f ca="1">IFERROR(__xludf.DUMMYFUNCTION("""COMPUTED_VALUE"""),"ماريا ماجد")</f>
        <v>ماريا ماجد</v>
      </c>
      <c r="D202" s="2">
        <f ca="1">IFERROR(__xludf.DUMMYFUNCTION("""COMPUTED_VALUE"""),2095)</f>
        <v>2095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 t="str">
        <f ca="1">IFERROR(__xludf.DUMMYFUNCTION("""COMPUTED_VALUE"""),"محمد سالم")</f>
        <v>محمد سالم</v>
      </c>
      <c r="B203" s="2">
        <f ca="1">IFERROR(__xludf.DUMMYFUNCTION("""COMPUTED_VALUE"""),709139503259)</f>
        <v>709139503259</v>
      </c>
      <c r="C203" s="2" t="str">
        <f ca="1">IFERROR(__xludf.DUMMYFUNCTION("""COMPUTED_VALUE"""),"محمد سالم")</f>
        <v>محمد سالم</v>
      </c>
      <c r="D203" s="2">
        <f ca="1">IFERROR(__xludf.DUMMYFUNCTION("""COMPUTED_VALUE"""),2096)</f>
        <v>2096</v>
      </c>
      <c r="E203" s="2" t="str">
        <f ca="1">IFERROR(__xludf.DUMMYFUNCTION("""COMPUTED_VALUE"""),"EG10-EG11-G12")</f>
        <v>EG10-EG11-G12</v>
      </c>
      <c r="F203" s="2" t="str">
        <f ca="1">IFERROR(__xludf.DUMMYFUNCTION("""COMPUTED_VALUE"""),"korashy.1411@gmail.com")</f>
        <v>korashy.1411@gmail.com</v>
      </c>
      <c r="G203" s="2" t="str">
        <f ca="1">IFERROR(__xludf.DUMMYFUNCTION("""COMPUTED_VALUE"""),"01126633295")</f>
        <v>01126633295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 t="str">
        <f ca="1">IFERROR(__xludf.DUMMYFUNCTION("""COMPUTED_VALUE"""),"تريزا نجيب")</f>
        <v>تريزا نجيب</v>
      </c>
      <c r="B204" s="2">
        <f ca="1">IFERROR(__xludf.DUMMYFUNCTION("""COMPUTED_VALUE"""),769151943943)</f>
        <v>769151943943</v>
      </c>
      <c r="C204" s="2" t="str">
        <f ca="1">IFERROR(__xludf.DUMMYFUNCTION("""COMPUTED_VALUE"""),"تريزا نجيب")</f>
        <v>تريزا نجيب</v>
      </c>
      <c r="D204" s="4" t="str">
        <f ca="1">IFERROR(__xludf.DUMMYFUNCTION("""COMPUTED_VALUE"""),"2098")</f>
        <v>2098</v>
      </c>
      <c r="E204" s="2" t="str">
        <f ca="1">IFERROR(__xludf.DUMMYFUNCTION("""COMPUTED_VALUE"""),"EG04-EG05-EG06-EG07-EG08-EG09")</f>
        <v>EG04-EG05-EG06-EG07-EG08-EG09</v>
      </c>
      <c r="F204" s="2" t="str">
        <f ca="1">IFERROR(__xludf.DUMMYFUNCTION("""COMPUTED_VALUE"""),"theresanaguib84@gmail.com")</f>
        <v>theresanaguib84@gmail.com</v>
      </c>
      <c r="G204" s="2" t="str">
        <f ca="1">IFERROR(__xludf.DUMMYFUNCTION("""COMPUTED_VALUE"""),"01272245620")</f>
        <v>01272245620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 t="str">
        <f ca="1">IFERROR(__xludf.DUMMYFUNCTION("""COMPUTED_VALUE"""),"شروق أمين")</f>
        <v>شروق أمين</v>
      </c>
      <c r="B205" s="2">
        <f ca="1">IFERROR(__xludf.DUMMYFUNCTION("""COMPUTED_VALUE"""),785160848368)</f>
        <v>785160848368</v>
      </c>
      <c r="C205" s="2" t="str">
        <f ca="1">IFERROR(__xludf.DUMMYFUNCTION("""COMPUTED_VALUE"""),"شروق أمين")</f>
        <v>شروق أمين</v>
      </c>
      <c r="D205" s="2" t="str">
        <f ca="1">IFERROR(__xludf.DUMMYFUNCTION("""COMPUTED_VALUE"""),"#N/A")</f>
        <v>#N/A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 t="str">
        <f ca="1">IFERROR(__xludf.DUMMYFUNCTION("""COMPUTED_VALUE"""),"ماهينور توفيق")</f>
        <v>ماهينور توفيق</v>
      </c>
      <c r="B206" s="2">
        <f ca="1">IFERROR(__xludf.DUMMYFUNCTION("""COMPUTED_VALUE"""),956195390908)</f>
        <v>956195390908</v>
      </c>
      <c r="C206" s="2" t="str">
        <f ca="1">IFERROR(__xludf.DUMMYFUNCTION("""COMPUTED_VALUE"""),"ماهينور توفيق")</f>
        <v>ماهينور توفيق</v>
      </c>
      <c r="D206" s="2" t="str">
        <f ca="1">IFERROR(__xludf.DUMMYFUNCTION("""COMPUTED_VALUE"""),"#N/A")</f>
        <v>#N/A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 t="str">
        <f ca="1">IFERROR(__xludf.DUMMYFUNCTION("""COMPUTED_VALUE"""),"هبة عبد الحميد")</f>
        <v>هبة عبد الحميد</v>
      </c>
      <c r="B207" s="2">
        <f ca="1">IFERROR(__xludf.DUMMYFUNCTION("""COMPUTED_VALUE"""),603187625747)</f>
        <v>603187625747</v>
      </c>
      <c r="C207" s="2" t="str">
        <f ca="1">IFERROR(__xludf.DUMMYFUNCTION("""COMPUTED_VALUE"""),"هبة عبد الحميد")</f>
        <v>هبة عبد الحميد</v>
      </c>
      <c r="D207" s="4" t="str">
        <f ca="1">IFERROR(__xludf.DUMMYFUNCTION("""COMPUTED_VALUE"""),"2103")</f>
        <v>2103</v>
      </c>
      <c r="E207" s="2"/>
      <c r="F207" s="2" t="str">
        <f ca="1">IFERROR(__xludf.DUMMYFUNCTION("""COMPUTED_VALUE"""),"heba.abdelhameed99@gmail.com")</f>
        <v>heba.abdelhameed99@gmail.com</v>
      </c>
      <c r="G207" s="2" t="str">
        <f ca="1">IFERROR(__xludf.DUMMYFUNCTION("""COMPUTED_VALUE"""),"01126571109")</f>
        <v>01126571109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 t="str">
        <f ca="1">IFERROR(__xludf.DUMMYFUNCTION("""COMPUTED_VALUE"""),"إبراهيم رشدي")</f>
        <v>إبراهيم رشدي</v>
      </c>
      <c r="B208" s="2">
        <f ca="1">IFERROR(__xludf.DUMMYFUNCTION("""COMPUTED_VALUE"""),357181684840)</f>
        <v>357181684840</v>
      </c>
      <c r="C208" s="2" t="str">
        <f ca="1">IFERROR(__xludf.DUMMYFUNCTION("""COMPUTED_VALUE"""),"إبراهيم رشدي")</f>
        <v>إبراهيم رشدي</v>
      </c>
      <c r="D208" s="4" t="str">
        <f ca="1">IFERROR(__xludf.DUMMYFUNCTION("""COMPUTED_VALUE"""),"2104")</f>
        <v>2104</v>
      </c>
      <c r="E208" s="2" t="str">
        <f ca="1">IFERROR(__xludf.DUMMYFUNCTION("""COMPUTED_VALUE"""),"EG04-EG05-EG06-EG07-EG08-EG09")</f>
        <v>EG04-EG05-EG06-EG07-EG08-EG09</v>
      </c>
      <c r="F208" s="2" t="str">
        <f ca="1">IFERROR(__xludf.DUMMYFUNCTION("""COMPUTED_VALUE"""),"ibrahimroshdy20202021@gmail.com")</f>
        <v>ibrahimroshdy20202021@gmail.com</v>
      </c>
      <c r="G208" s="2" t="str">
        <f ca="1">IFERROR(__xludf.DUMMYFUNCTION("""COMPUTED_VALUE"""),"01092350359")</f>
        <v>01092350359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 t="str">
        <f ca="1">IFERROR(__xludf.DUMMYFUNCTION("""COMPUTED_VALUE"""),"زكي سعيد")</f>
        <v>زكي سعيد</v>
      </c>
      <c r="B209" s="2">
        <f ca="1">IFERROR(__xludf.DUMMYFUNCTION("""COMPUTED_VALUE"""),424154524098)</f>
        <v>424154524098</v>
      </c>
      <c r="C209" s="2" t="str">
        <f ca="1">IFERROR(__xludf.DUMMYFUNCTION("""COMPUTED_VALUE"""),"زكي سعيد")</f>
        <v>زكي سعيد</v>
      </c>
      <c r="D209" s="4" t="str">
        <f ca="1">IFERROR(__xludf.DUMMYFUNCTION("""COMPUTED_VALUE"""),"2135")</f>
        <v>2135</v>
      </c>
      <c r="E209" s="2"/>
      <c r="F209" s="2" t="str">
        <f ca="1">IFERROR(__xludf.DUMMYFUNCTION("""COMPUTED_VALUE"""),"zakisaeedfrs@gmail.com")</f>
        <v>zakisaeedfrs@gmail.com</v>
      </c>
      <c r="G209" s="2" t="str">
        <f ca="1">IFERROR(__xludf.DUMMYFUNCTION("""COMPUTED_VALUE"""),"01202812574")</f>
        <v>01202812574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 t="str">
        <f ca="1">IFERROR(__xludf.DUMMYFUNCTION("""COMPUTED_VALUE"""),"عبد الله أحمد")</f>
        <v>عبد الله أحمد</v>
      </c>
      <c r="B210" s="2">
        <f ca="1">IFERROR(__xludf.DUMMYFUNCTION("""COMPUTED_VALUE"""),492152627064)</f>
        <v>492152627064</v>
      </c>
      <c r="C210" s="2" t="str">
        <f ca="1">IFERROR(__xludf.DUMMYFUNCTION("""COMPUTED_VALUE"""),"عبد الله أحمد")</f>
        <v>عبد الله أحمد</v>
      </c>
      <c r="D210" s="4" t="str">
        <f ca="1">IFERROR(__xludf.DUMMYFUNCTION("""COMPUTED_VALUE"""),"2134")</f>
        <v>2134</v>
      </c>
      <c r="E210" s="2"/>
      <c r="F210" s="2" t="str">
        <f ca="1">IFERROR(__xludf.DUMMYFUNCTION("""COMPUTED_VALUE"""),"abdo.gemy5@gmail.com")</f>
        <v>abdo.gemy5@gmail.com</v>
      </c>
      <c r="G210" s="2" t="str">
        <f ca="1">IFERROR(__xludf.DUMMYFUNCTION("""COMPUTED_VALUE"""),"01126147349")</f>
        <v>01126147349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 t="str">
        <f ca="1">IFERROR(__xludf.DUMMYFUNCTION("""COMPUTED_VALUE"""),"إسلام زيان")</f>
        <v>إسلام زيان</v>
      </c>
      <c r="B211" s="2">
        <f ca="1">IFERROR(__xludf.DUMMYFUNCTION("""COMPUTED_VALUE"""),617175650841)</f>
        <v>617175650841</v>
      </c>
      <c r="C211" s="2" t="str">
        <f ca="1">IFERROR(__xludf.DUMMYFUNCTION("""COMPUTED_VALUE"""),"إسلام زيان")</f>
        <v>إسلام زيان</v>
      </c>
      <c r="D211" s="4" t="str">
        <f ca="1">IFERROR(__xludf.DUMMYFUNCTION("""COMPUTED_VALUE"""),"2136")</f>
        <v>2136</v>
      </c>
      <c r="E211" s="2" t="str">
        <f ca="1">IFERROR(__xludf.DUMMYFUNCTION("""COMPUTED_VALUE"""),"EG08-EG09-EG10-EG11-EG12")</f>
        <v>EG08-EG09-EG10-EG11-EG12</v>
      </c>
      <c r="F211" s="2" t="str">
        <f ca="1">IFERROR(__xludf.DUMMYFUNCTION("""COMPUTED_VALUE"""),"islamzayan2333@gmail.com")</f>
        <v>islamzayan2333@gmail.com</v>
      </c>
      <c r="G211" s="2" t="str">
        <f ca="1">IFERROR(__xludf.DUMMYFUNCTION("""COMPUTED_VALUE"""),"01012793634")</f>
        <v>01012793634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 t="str">
        <f ca="1">IFERROR(__xludf.DUMMYFUNCTION("""COMPUTED_VALUE"""),"سارة هشام")</f>
        <v>سارة هشام</v>
      </c>
      <c r="B212" s="2">
        <f ca="1">IFERROR(__xludf.DUMMYFUNCTION("""COMPUTED_VALUE"""),502103896890)</f>
        <v>502103896890</v>
      </c>
      <c r="C212" s="2" t="str">
        <f ca="1">IFERROR(__xludf.DUMMYFUNCTION("""COMPUTED_VALUE"""),"سارة هشام")</f>
        <v>سارة هشام</v>
      </c>
      <c r="D212" s="4" t="str">
        <f ca="1">IFERROR(__xludf.DUMMYFUNCTION("""COMPUTED_VALUE"""),"2138")</f>
        <v>2138</v>
      </c>
      <c r="E212" s="2" t="str">
        <f ca="1">IFERROR(__xludf.DUMMYFUNCTION("""COMPUTED_VALUE"""),"EG04-EG05")</f>
        <v>EG04-EG05</v>
      </c>
      <c r="F212" s="2" t="str">
        <f ca="1">IFERROR(__xludf.DUMMYFUNCTION("""COMPUTED_VALUE"""),"sarahhesham7777@gmail.com")</f>
        <v>sarahhesham7777@gmail.com</v>
      </c>
      <c r="G212" s="2" t="str">
        <f ca="1">IFERROR(__xludf.DUMMYFUNCTION("""COMPUTED_VALUE"""),"01024197640")</f>
        <v>01024197640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 t="str">
        <f ca="1">IFERROR(__xludf.DUMMYFUNCTION("""COMPUTED_VALUE"""),"سمر هريدي")</f>
        <v>سمر هريدي</v>
      </c>
      <c r="B213" s="2">
        <f ca="1">IFERROR(__xludf.DUMMYFUNCTION("""COMPUTED_VALUE"""),128175285060)</f>
        <v>128175285060</v>
      </c>
      <c r="C213" s="2" t="str">
        <f ca="1">IFERROR(__xludf.DUMMYFUNCTION("""COMPUTED_VALUE"""),"سمر هريدي")</f>
        <v>سمر هريدي</v>
      </c>
      <c r="D213" s="4" t="str">
        <f ca="1">IFERROR(__xludf.DUMMYFUNCTION("""COMPUTED_VALUE"""),"2145")</f>
        <v>2145</v>
      </c>
      <c r="E213" s="2"/>
      <c r="F213" s="2" t="str">
        <f ca="1">IFERROR(__xludf.DUMMYFUNCTION("""COMPUTED_VALUE"""),"laprofe1307@gmail.com")</f>
        <v>laprofe1307@gmail.com</v>
      </c>
      <c r="G213" s="2" t="str">
        <f ca="1">IFERROR(__xludf.DUMMYFUNCTION("""COMPUTED_VALUE"""),"01066912056")</f>
        <v>01066912056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 t="str">
        <f ca="1">IFERROR(__xludf.DUMMYFUNCTION("""COMPUTED_VALUE"""),"الطيب الطاهر")</f>
        <v>الطيب الطاهر</v>
      </c>
      <c r="B214" s="2">
        <f ca="1">IFERROR(__xludf.DUMMYFUNCTION("""COMPUTED_VALUE"""),524103078030)</f>
        <v>524103078030</v>
      </c>
      <c r="C214" s="2" t="str">
        <f ca="1">IFERROR(__xludf.DUMMYFUNCTION("""COMPUTED_VALUE"""),"الطيب الطاهر")</f>
        <v>الطيب الطاهر</v>
      </c>
      <c r="D214" s="4" t="str">
        <f ca="1">IFERROR(__xludf.DUMMYFUNCTION("""COMPUTED_VALUE"""),"2120")</f>
        <v>2120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 t="str">
        <f ca="1">IFERROR(__xludf.DUMMYFUNCTION("""COMPUTED_VALUE"""),"منة جلال")</f>
        <v>منة جلال</v>
      </c>
      <c r="B215" s="2">
        <f ca="1">IFERROR(__xludf.DUMMYFUNCTION("""COMPUTED_VALUE"""),802195734191)</f>
        <v>802195734191</v>
      </c>
      <c r="C215" s="2" t="str">
        <f ca="1">IFERROR(__xludf.DUMMYFUNCTION("""COMPUTED_VALUE"""),"منة جلال")</f>
        <v>منة جلال</v>
      </c>
      <c r="D215" s="2" t="str">
        <f ca="1">IFERROR(__xludf.DUMMYFUNCTION("""COMPUTED_VALUE"""),"#N/A")</f>
        <v>#N/A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 t="str">
        <f ca="1">IFERROR(__xludf.DUMMYFUNCTION("""COMPUTED_VALUE"""),"أماني السيد")</f>
        <v>أماني السيد</v>
      </c>
      <c r="B216" s="2">
        <f ca="1">IFERROR(__xludf.DUMMYFUNCTION("""COMPUTED_VALUE"""),637175861357)</f>
        <v>637175861357</v>
      </c>
      <c r="C216" s="2" t="str">
        <f ca="1">IFERROR(__xludf.DUMMYFUNCTION("""COMPUTED_VALUE"""),"أماني السيد")</f>
        <v>أماني السيد</v>
      </c>
      <c r="D216" s="4" t="str">
        <f ca="1">IFERROR(__xludf.DUMMYFUNCTION("""COMPUTED_VALUE"""),"2144")</f>
        <v>2144</v>
      </c>
      <c r="E216" s="2" t="str">
        <f ca="1">IFERROR(__xludf.DUMMYFUNCTION("""COMPUTED_VALUE"""),"EG03-EG04-EG05-EG06")</f>
        <v>EG03-EG04-EG05-EG06</v>
      </c>
      <c r="F216" s="2" t="str">
        <f ca="1">IFERROR(__xludf.DUMMYFUNCTION("""COMPUTED_VALUE"""),"amanyelsayed808@gmail.com")</f>
        <v>amanyelsayed808@gmail.com</v>
      </c>
      <c r="G216" s="2" t="str">
        <f ca="1">IFERROR(__xludf.DUMMYFUNCTION("""COMPUTED_VALUE"""),"01008649576")</f>
        <v>01008649576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 t="str">
        <f ca="1">IFERROR(__xludf.DUMMYFUNCTION("""COMPUTED_VALUE"""),"محمد هاني")</f>
        <v>محمد هاني</v>
      </c>
      <c r="B217" s="2">
        <f ca="1">IFERROR(__xludf.DUMMYFUNCTION("""COMPUTED_VALUE"""),964165080713)</f>
        <v>964165080713</v>
      </c>
      <c r="C217" s="2" t="str">
        <f ca="1">IFERROR(__xludf.DUMMYFUNCTION("""COMPUTED_VALUE"""),"محمد هاني")</f>
        <v>محمد هاني</v>
      </c>
      <c r="D217" s="4" t="str">
        <f ca="1">IFERROR(__xludf.DUMMYFUNCTION("""COMPUTED_VALUE"""),"2152")</f>
        <v>2152</v>
      </c>
      <c r="E217" s="2" t="str">
        <f ca="1">IFERROR(__xludf.DUMMYFUNCTION("""COMPUTED_VALUE"""),"EG10-EG11-G12")</f>
        <v>EG10-EG11-G12</v>
      </c>
      <c r="F217" s="2" t="str">
        <f ca="1">IFERROR(__xludf.DUMMYFUNCTION("""COMPUTED_VALUE"""),"muhmdhanii@gmail.com")</f>
        <v>muhmdhanii@gmail.com</v>
      </c>
      <c r="G217" s="2" t="str">
        <f ca="1">IFERROR(__xludf.DUMMYFUNCTION("""COMPUTED_VALUE"""),"01555776125")</f>
        <v>01555776125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 t="str">
        <f ca="1">IFERROR(__xludf.DUMMYFUNCTION("""COMPUTED_VALUE"""),"أحمد السيد")</f>
        <v>أحمد السيد</v>
      </c>
      <c r="B218" s="2">
        <f ca="1">IFERROR(__xludf.DUMMYFUNCTION("""COMPUTED_VALUE"""),159132748372)</f>
        <v>159132748372</v>
      </c>
      <c r="C218" s="2" t="str">
        <f ca="1">IFERROR(__xludf.DUMMYFUNCTION("""COMPUTED_VALUE"""),"أحمد السيد")</f>
        <v>أحمد السيد</v>
      </c>
      <c r="D218" s="2">
        <f ca="1">IFERROR(__xludf.DUMMYFUNCTION("""COMPUTED_VALUE"""),2679)</f>
        <v>2679</v>
      </c>
      <c r="E218" s="2" t="str">
        <f ca="1">IFERROR(__xludf.DUMMYFUNCTION("""COMPUTED_VALUE"""),"EG07-EG08-EG09")</f>
        <v>EG07-EG08-EG09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 t="str">
        <f ca="1">IFERROR(__xludf.DUMMYFUNCTION("""COMPUTED_VALUE"""),"رافد سلمان")</f>
        <v>رافد سلمان</v>
      </c>
      <c r="B219" s="2">
        <f ca="1">IFERROR(__xludf.DUMMYFUNCTION("""COMPUTED_VALUE"""),162140810204)</f>
        <v>162140810204</v>
      </c>
      <c r="C219" s="2" t="str">
        <f ca="1">IFERROR(__xludf.DUMMYFUNCTION("""COMPUTED_VALUE"""),"رافد سلمان")</f>
        <v>رافد سلمان</v>
      </c>
      <c r="D219" s="4" t="str">
        <f ca="1">IFERROR(__xludf.DUMMYFUNCTION("""COMPUTED_VALUE"""),"2153")</f>
        <v>2153</v>
      </c>
      <c r="E219" s="2"/>
      <c r="F219" s="2" t="str">
        <f ca="1">IFERROR(__xludf.DUMMYFUNCTION("""COMPUTED_VALUE"""),"der7afer@gmail.com")</f>
        <v>der7afer@gmail.com</v>
      </c>
      <c r="G219" s="2" t="str">
        <f ca="1">IFERROR(__xludf.DUMMYFUNCTION("""COMPUTED_VALUE"""),"01145433963")</f>
        <v>01145433963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 t="str">
        <f ca="1">IFERROR(__xludf.DUMMYFUNCTION("""COMPUTED_VALUE"""),"رضوى البرقوقي")</f>
        <v>رضوى البرقوقي</v>
      </c>
      <c r="B220" s="2">
        <f ca="1">IFERROR(__xludf.DUMMYFUNCTION("""COMPUTED_VALUE"""),928120793742)</f>
        <v>928120793742</v>
      </c>
      <c r="C220" s="2" t="str">
        <f ca="1">IFERROR(__xludf.DUMMYFUNCTION("""COMPUTED_VALUE"""),"رضوى البرقوقي")</f>
        <v>رضوى البرقوقي</v>
      </c>
      <c r="D220" s="4" t="str">
        <f ca="1">IFERROR(__xludf.DUMMYFUNCTION("""COMPUTED_VALUE"""),"2156")</f>
        <v>2156</v>
      </c>
      <c r="E220" s="2"/>
      <c r="F220" s="2" t="str">
        <f ca="1">IFERROR(__xludf.DUMMYFUNCTION("""COMPUTED_VALUE"""),"radwa1511@gmail.com")</f>
        <v>radwa1511@gmail.com</v>
      </c>
      <c r="G220" s="2" t="str">
        <f ca="1">IFERROR(__xludf.DUMMYFUNCTION("""COMPUTED_VALUE"""),"01118060999")</f>
        <v>01118060999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 t="str">
        <f ca="1">IFERROR(__xludf.DUMMYFUNCTION("""COMPUTED_VALUE"""),"أحمد سيف")</f>
        <v>أحمد سيف</v>
      </c>
      <c r="B221" s="2">
        <f ca="1">IFERROR(__xludf.DUMMYFUNCTION("""COMPUTED_VALUE"""),187120348783)</f>
        <v>187120348783</v>
      </c>
      <c r="C221" s="2" t="str">
        <f ca="1">IFERROR(__xludf.DUMMYFUNCTION("""COMPUTED_VALUE"""),"أحمد سيف")</f>
        <v>أحمد سيف</v>
      </c>
      <c r="D221" s="4" t="str">
        <f ca="1">IFERROR(__xludf.DUMMYFUNCTION("""COMPUTED_VALUE"""),"2085")</f>
        <v>2085</v>
      </c>
      <c r="E221" s="2"/>
      <c r="F221" s="2" t="str">
        <f ca="1">IFERROR(__xludf.DUMMYFUNCTION("""COMPUTED_VALUE"""),"t.ahmedseif@yahoo.com")</f>
        <v>t.ahmedseif@yahoo.com</v>
      </c>
      <c r="G221" s="2" t="str">
        <f ca="1">IFERROR(__xludf.DUMMYFUNCTION("""COMPUTED_VALUE"""),"01006792787")</f>
        <v>01006792787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 t="str">
        <f ca="1">IFERROR(__xludf.DUMMYFUNCTION("""COMPUTED_VALUE"""),"أشرف يوسف")</f>
        <v>أشرف يوسف</v>
      </c>
      <c r="B222" s="2">
        <f ca="1">IFERROR(__xludf.DUMMYFUNCTION("""COMPUTED_VALUE"""),134186426410)</f>
        <v>134186426410</v>
      </c>
      <c r="C222" s="2" t="str">
        <f ca="1">IFERROR(__xludf.DUMMYFUNCTION("""COMPUTED_VALUE"""),"أشرف يوسف")</f>
        <v>أشرف يوسف</v>
      </c>
      <c r="D222" s="2">
        <f ca="1">IFERROR(__xludf.DUMMYFUNCTION("""COMPUTED_VALUE"""),2046)</f>
        <v>2046</v>
      </c>
      <c r="E222" s="2" t="str">
        <f ca="1">IFERROR(__xludf.DUMMYFUNCTION("""COMPUTED_VALUE"""),"EG07-EG08-EG09")</f>
        <v>EG07-EG08-EG09</v>
      </c>
      <c r="F222" s="2" t="str">
        <f ca="1">IFERROR(__xludf.DUMMYFUNCTION("""COMPUTED_VALUE"""),"a0112020620@gmail.com")</f>
        <v>a0112020620@gmail.com</v>
      </c>
      <c r="G222" s="2" t="str">
        <f ca="1">IFERROR(__xludf.DUMMYFUNCTION("""COMPUTED_VALUE"""),"01224567255")</f>
        <v>01224567255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 t="str">
        <f ca="1">IFERROR(__xludf.DUMMYFUNCTION("""COMPUTED_VALUE"""),"محمد يحيى")</f>
        <v>محمد يحيى</v>
      </c>
      <c r="B223" s="2">
        <f ca="1">IFERROR(__xludf.DUMMYFUNCTION("""COMPUTED_VALUE"""),657126746527)</f>
        <v>657126746527</v>
      </c>
      <c r="C223" s="2" t="str">
        <f ca="1">IFERROR(__xludf.DUMMYFUNCTION("""COMPUTED_VALUE"""),"محمد يحيى")</f>
        <v>محمد يحيى</v>
      </c>
      <c r="D223" s="4" t="str">
        <f ca="1">IFERROR(__xludf.DUMMYFUNCTION("""COMPUTED_VALUE"""),"2257")</f>
        <v>2257</v>
      </c>
      <c r="E223" s="2"/>
      <c r="F223" s="2" t="str">
        <f ca="1">IFERROR(__xludf.DUMMYFUNCTION("""COMPUTED_VALUE"""),"mohamedyahya1921@gmail.com")</f>
        <v>mohamedyahya1921@gmail.com</v>
      </c>
      <c r="G223" s="2" t="str">
        <f ca="1">IFERROR(__xludf.DUMMYFUNCTION("""COMPUTED_VALUE"""),"01013531223 - 01123214248")</f>
        <v>01013531223 - 01123214248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 t="str">
        <f ca="1">IFERROR(__xludf.DUMMYFUNCTION("""COMPUTED_VALUE"""),"نورا جادو")</f>
        <v>نورا جادو</v>
      </c>
      <c r="B224" s="2">
        <f ca="1">IFERROR(__xludf.DUMMYFUNCTION("""COMPUTED_VALUE"""),794135291842)</f>
        <v>794135291842</v>
      </c>
      <c r="C224" s="2" t="str">
        <f ca="1">IFERROR(__xludf.DUMMYFUNCTION("""COMPUTED_VALUE"""),"نورا جادو")</f>
        <v>نورا جادو</v>
      </c>
      <c r="D224" s="4" t="str">
        <f ca="1">IFERROR(__xludf.DUMMYFUNCTION("""COMPUTED_VALUE"""),"2137")</f>
        <v>2137</v>
      </c>
      <c r="E224" s="2"/>
      <c r="F224" s="2" t="str">
        <f ca="1">IFERROR(__xludf.DUMMYFUNCTION("""COMPUTED_VALUE"""),"nouragadou2022@gmail.com")</f>
        <v>nouragadou2022@gmail.com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 t="str">
        <f ca="1">IFERROR(__xludf.DUMMYFUNCTION("""COMPUTED_VALUE"""),"نسرين زهران")</f>
        <v>نسرين زهران</v>
      </c>
      <c r="B225" s="2">
        <f ca="1">IFERROR(__xludf.DUMMYFUNCTION("""COMPUTED_VALUE"""),193156013197)</f>
        <v>193156013197</v>
      </c>
      <c r="C225" s="2" t="str">
        <f ca="1">IFERROR(__xludf.DUMMYFUNCTION("""COMPUTED_VALUE"""),"نسرين زهران")</f>
        <v>نسرين زهران</v>
      </c>
      <c r="D225" s="4" t="str">
        <f ca="1">IFERROR(__xludf.DUMMYFUNCTION("""COMPUTED_VALUE"""),"2172")</f>
        <v>2172</v>
      </c>
      <c r="E225" s="2" t="str">
        <f ca="1">IFERROR(__xludf.DUMMYFUNCTION("""COMPUTED_VALUE"""),"EG01-EG02-EG03")</f>
        <v>EG01-EG02-EG03</v>
      </c>
      <c r="F225" s="2" t="str">
        <f ca="1">IFERROR(__xludf.DUMMYFUNCTION("""COMPUTED_VALUE"""),"the.peace20006@gmail.com")</f>
        <v>the.peace20006@gmail.com</v>
      </c>
      <c r="G225" s="2" t="str">
        <f ca="1">IFERROR(__xludf.DUMMYFUNCTION("""COMPUTED_VALUE"""),"01067579926")</f>
        <v>01067579926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 t="str">
        <f ca="1">IFERROR(__xludf.DUMMYFUNCTION("""COMPUTED_VALUE"""),"رحاب حمدي")</f>
        <v>رحاب حمدي</v>
      </c>
      <c r="B226" s="2">
        <f ca="1">IFERROR(__xludf.DUMMYFUNCTION("""COMPUTED_VALUE"""),838198456425)</f>
        <v>838198456425</v>
      </c>
      <c r="C226" s="2" t="str">
        <f ca="1">IFERROR(__xludf.DUMMYFUNCTION("""COMPUTED_VALUE"""),"رحاب حمدي")</f>
        <v>رحاب حمدي</v>
      </c>
      <c r="D226" s="4" t="str">
        <f ca="1">IFERROR(__xludf.DUMMYFUNCTION("""COMPUTED_VALUE"""),"2171")</f>
        <v>2171</v>
      </c>
      <c r="E226" s="2" t="str">
        <f ca="1">IFERROR(__xludf.DUMMYFUNCTION("""COMPUTED_VALUE"""),"EG01-EG02-EG03")</f>
        <v>EG01-EG02-EG03</v>
      </c>
      <c r="F226" s="2" t="str">
        <f ca="1">IFERROR(__xludf.DUMMYFUNCTION("""COMPUTED_VALUE"""),"rehab533@gmail.com")</f>
        <v>rehab533@gmail.com</v>
      </c>
      <c r="G226" s="2" t="str">
        <f ca="1">IFERROR(__xludf.DUMMYFUNCTION("""COMPUTED_VALUE"""),"01019577994")</f>
        <v>01019577994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 t="str">
        <f ca="1">IFERROR(__xludf.DUMMYFUNCTION("""COMPUTED_VALUE"""),"سارة عبد الحميد")</f>
        <v>سارة عبد الحميد</v>
      </c>
      <c r="B227" s="2">
        <f ca="1">IFERROR(__xludf.DUMMYFUNCTION("""COMPUTED_VALUE"""),538160861310)</f>
        <v>538160861310</v>
      </c>
      <c r="C227" s="2" t="str">
        <f ca="1">IFERROR(__xludf.DUMMYFUNCTION("""COMPUTED_VALUE"""),"سارة عبد الحميد")</f>
        <v>سارة عبد الحميد</v>
      </c>
      <c r="D227" s="4" t="str">
        <f ca="1">IFERROR(__xludf.DUMMYFUNCTION("""COMPUTED_VALUE"""),"2178")</f>
        <v>2178</v>
      </c>
      <c r="E227" s="2" t="str">
        <f ca="1">IFERROR(__xludf.DUMMYFUNCTION("""COMPUTED_VALUE"""),"EG01-EG02-EG03")</f>
        <v>EG01-EG02-EG03</v>
      </c>
      <c r="F227" s="2" t="str">
        <f ca="1">IFERROR(__xludf.DUMMYFUNCTION("""COMPUTED_VALUE"""),"sara.mohmed409@gmail.com")</f>
        <v>sara.mohmed409@gmail.com</v>
      </c>
      <c r="G227" s="2" t="str">
        <f ca="1">IFERROR(__xludf.DUMMYFUNCTION("""COMPUTED_VALUE"""),"01155026319")</f>
        <v>01155026319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 t="str">
        <f ca="1">IFERROR(__xludf.DUMMYFUNCTION("""COMPUTED_VALUE"""),"خالد درويش")</f>
        <v>خالد درويش</v>
      </c>
      <c r="B228" s="2">
        <f ca="1">IFERROR(__xludf.DUMMYFUNCTION("""COMPUTED_VALUE"""),456173727324)</f>
        <v>456173727324</v>
      </c>
      <c r="C228" s="2" t="str">
        <f ca="1">IFERROR(__xludf.DUMMYFUNCTION("""COMPUTED_VALUE"""),"خالد درويش")</f>
        <v>خالد درويش</v>
      </c>
      <c r="D228" s="4" t="str">
        <f ca="1">IFERROR(__xludf.DUMMYFUNCTION("""COMPUTED_VALUE"""),"2176")</f>
        <v>2176</v>
      </c>
      <c r="E228" s="2" t="str">
        <f ca="1">IFERROR(__xludf.DUMMYFUNCTION("""COMPUTED_VALUE"""),"EG04-EG05-EG06-EG07-EG08-EG09")</f>
        <v>EG04-EG05-EG06-EG07-EG08-EG09</v>
      </c>
      <c r="F228" s="2" t="str">
        <f ca="1">IFERROR(__xludf.DUMMYFUNCTION("""COMPUTED_VALUE"""),"kdarwish436@gmail.com")</f>
        <v>kdarwish436@gmail.com</v>
      </c>
      <c r="G228" s="2" t="str">
        <f ca="1">IFERROR(__xludf.DUMMYFUNCTION("""COMPUTED_VALUE"""),"01148072407")</f>
        <v>01148072407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 t="str">
        <f ca="1">IFERROR(__xludf.DUMMYFUNCTION("""COMPUTED_VALUE"""),"محمد أنور")</f>
        <v>محمد أنور</v>
      </c>
      <c r="B229" s="2">
        <f ca="1">IFERROR(__xludf.DUMMYFUNCTION("""COMPUTED_VALUE"""),530179690959)</f>
        <v>530179690959</v>
      </c>
      <c r="C229" s="2" t="str">
        <f ca="1">IFERROR(__xludf.DUMMYFUNCTION("""COMPUTED_VALUE"""),"محمد أنور")</f>
        <v>محمد أنور</v>
      </c>
      <c r="D229" s="2">
        <f ca="1">IFERROR(__xludf.DUMMYFUNCTION("""COMPUTED_VALUE"""),2168)</f>
        <v>2168</v>
      </c>
      <c r="E229" s="2" t="str">
        <f ca="1">IFERROR(__xludf.DUMMYFUNCTION("""COMPUTED_VALUE"""),"EG09-EG10-EG11-EG12")</f>
        <v>EG09-EG10-EG11-EG12</v>
      </c>
      <c r="F229" s="2" t="str">
        <f ca="1">IFERROR(__xludf.DUMMYFUNCTION("""COMPUTED_VALUE"""),"samakamudy@gmail.com")</f>
        <v>samakamudy@gmail.com</v>
      </c>
      <c r="G229" s="2" t="str">
        <f ca="1">IFERROR(__xludf.DUMMYFUNCTION("""COMPUTED_VALUE"""),"01289058758")</f>
        <v>01289058758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 t="str">
        <f ca="1">IFERROR(__xludf.DUMMYFUNCTION("""COMPUTED_VALUE"""),"سالم محمد")</f>
        <v>سالم محمد</v>
      </c>
      <c r="B230" s="2">
        <f ca="1">IFERROR(__xludf.DUMMYFUNCTION("""COMPUTED_VALUE"""),138195736921)</f>
        <v>138195736921</v>
      </c>
      <c r="C230" s="2" t="str">
        <f ca="1">IFERROR(__xludf.DUMMYFUNCTION("""COMPUTED_VALUE"""),"سالم محمد")</f>
        <v>سالم محمد</v>
      </c>
      <c r="D230" s="4" t="str">
        <f ca="1">IFERROR(__xludf.DUMMYFUNCTION("""COMPUTED_VALUE"""),"2175")</f>
        <v>2175</v>
      </c>
      <c r="E230" s="2" t="str">
        <f ca="1">IFERROR(__xludf.DUMMYFUNCTION("""COMPUTED_VALUE"""),"EG07-EG08-EG09")</f>
        <v>EG07-EG08-EG09</v>
      </c>
      <c r="F230" s="2" t="str">
        <f ca="1">IFERROR(__xludf.DUMMYFUNCTION("""COMPUTED_VALUE"""),"salem.oikaa@gmail.com")</f>
        <v>salem.oikaa@gmail.com</v>
      </c>
      <c r="G230" s="2" t="str">
        <f ca="1">IFERROR(__xludf.DUMMYFUNCTION("""COMPUTED_VALUE"""),"01127797061 - 01000550304")</f>
        <v>01127797061 - 01000550304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 t="str">
        <f ca="1">IFERROR(__xludf.DUMMYFUNCTION("""COMPUTED_VALUE"""),"شيماء نبيل")</f>
        <v>شيماء نبيل</v>
      </c>
      <c r="B231" s="2">
        <f ca="1">IFERROR(__xludf.DUMMYFUNCTION("""COMPUTED_VALUE"""),852141603272)</f>
        <v>852141603272</v>
      </c>
      <c r="C231" s="2" t="str">
        <f ca="1">IFERROR(__xludf.DUMMYFUNCTION("""COMPUTED_VALUE"""),"شيماء نبيل")</f>
        <v>شيماء نبيل</v>
      </c>
      <c r="D231" s="4" t="str">
        <f ca="1">IFERROR(__xludf.DUMMYFUNCTION("""COMPUTED_VALUE"""),"2179")</f>
        <v>2179</v>
      </c>
      <c r="E231" s="2" t="str">
        <f ca="1">IFERROR(__xludf.DUMMYFUNCTION("""COMPUTED_VALUE"""),"EG01-EG02")</f>
        <v>EG01-EG02</v>
      </c>
      <c r="F231" s="2" t="str">
        <f ca="1">IFERROR(__xludf.DUMMYFUNCTION("""COMPUTED_VALUE"""),"shaimaa.nabil2410@gmail.com")</f>
        <v>shaimaa.nabil2410@gmail.com</v>
      </c>
      <c r="G231" s="2" t="str">
        <f ca="1">IFERROR(__xludf.DUMMYFUNCTION("""COMPUTED_VALUE"""),"01013159595")</f>
        <v>01013159595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 t="str">
        <f ca="1">IFERROR(__xludf.DUMMYFUNCTION("""COMPUTED_VALUE"""),"ندى سعيد")</f>
        <v>ندى سعيد</v>
      </c>
      <c r="B232" s="2">
        <f ca="1">IFERROR(__xludf.DUMMYFUNCTION("""COMPUTED_VALUE"""),435147575802)</f>
        <v>435147575802</v>
      </c>
      <c r="C232" s="2" t="str">
        <f ca="1">IFERROR(__xludf.DUMMYFUNCTION("""COMPUTED_VALUE"""),"ندى سعيد")</f>
        <v>ندى سعيد</v>
      </c>
      <c r="D232" s="4" t="str">
        <f ca="1">IFERROR(__xludf.DUMMYFUNCTION("""COMPUTED_VALUE"""),"2259")</f>
        <v>2259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 t="str">
        <f ca="1">IFERROR(__xludf.DUMMYFUNCTION("""COMPUTED_VALUE"""),"أحمد فتحي")</f>
        <v>أحمد فتحي</v>
      </c>
      <c r="B233" s="2">
        <f ca="1">IFERROR(__xludf.DUMMYFUNCTION("""COMPUTED_VALUE"""),405161986485)</f>
        <v>405161986485</v>
      </c>
      <c r="C233" s="2" t="str">
        <f ca="1">IFERROR(__xludf.DUMMYFUNCTION("""COMPUTED_VALUE"""),"أحمد فتحي")</f>
        <v>أحمد فتحي</v>
      </c>
      <c r="D233" s="4" t="str">
        <f ca="1">IFERROR(__xludf.DUMMYFUNCTION("""COMPUTED_VALUE"""),"2313")</f>
        <v>2313</v>
      </c>
      <c r="E233" s="2" t="str">
        <f ca="1">IFERROR(__xludf.DUMMYFUNCTION("""COMPUTED_VALUE"""),"EG04-EG05-EG06")</f>
        <v>EG04-EG05-EG06</v>
      </c>
      <c r="F233" s="2" t="str">
        <f ca="1">IFERROR(__xludf.DUMMYFUNCTION("""COMPUTED_VALUE"""),"afathy123654@gmail.com")</f>
        <v>afathy123654@gmail.com</v>
      </c>
      <c r="G233" s="2" t="str">
        <f ca="1">IFERROR(__xludf.DUMMYFUNCTION("""COMPUTED_VALUE"""),"01150395089")</f>
        <v>01150395089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 t="str">
        <f ca="1">IFERROR(__xludf.DUMMYFUNCTION("""COMPUTED_VALUE"""),"إسلام عماد")</f>
        <v>إسلام عماد</v>
      </c>
      <c r="B234" s="2">
        <f ca="1">IFERROR(__xludf.DUMMYFUNCTION("""COMPUTED_VALUE"""),527193759458)</f>
        <v>527193759458</v>
      </c>
      <c r="C234" s="2" t="str">
        <f ca="1">IFERROR(__xludf.DUMMYFUNCTION("""COMPUTED_VALUE"""),"إسلام عماد")</f>
        <v>إسلام عماد</v>
      </c>
      <c r="D234" s="4" t="str">
        <f ca="1">IFERROR(__xludf.DUMMYFUNCTION("""COMPUTED_VALUE"""),"2170")</f>
        <v>2170</v>
      </c>
      <c r="E234" s="2" t="str">
        <f ca="1">IFERROR(__xludf.DUMMYFUNCTION("""COMPUTED_VALUE"""),"G11-G12")</f>
        <v>G11-G12</v>
      </c>
      <c r="F234" s="2" t="str">
        <f ca="1">IFERROR(__xludf.DUMMYFUNCTION("""COMPUTED_VALUE"""),"eslamemad1311383@gmail.com")</f>
        <v>eslamemad1311383@gmail.com</v>
      </c>
      <c r="G234" s="2" t="str">
        <f ca="1">IFERROR(__xludf.DUMMYFUNCTION("""COMPUTED_VALUE"""),"01124845066")</f>
        <v>01124845066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 t="str">
        <f ca="1">IFERROR(__xludf.DUMMYFUNCTION("""COMPUTED_VALUE"""),"داليا عربي")</f>
        <v>داليا عربي</v>
      </c>
      <c r="B235" s="2">
        <f ca="1">IFERROR(__xludf.DUMMYFUNCTION("""COMPUTED_VALUE"""),963182417149)</f>
        <v>963182417149</v>
      </c>
      <c r="C235" s="2" t="str">
        <f ca="1">IFERROR(__xludf.DUMMYFUNCTION("""COMPUTED_VALUE"""),"داليا عربي")</f>
        <v>داليا عربي</v>
      </c>
      <c r="D235" s="4" t="str">
        <f ca="1">IFERROR(__xludf.DUMMYFUNCTION("""COMPUTED_VALUE"""),"2173")</f>
        <v>2173</v>
      </c>
      <c r="E235" s="2" t="str">
        <f ca="1">IFERROR(__xludf.DUMMYFUNCTION("""COMPUTED_VALUE"""),"EG07-EG08-EG09")</f>
        <v>EG07-EG08-EG09</v>
      </c>
      <c r="F235" s="2" t="str">
        <f ca="1">IFERROR(__xludf.DUMMYFUNCTION("""COMPUTED_VALUE"""),"daliaaraby810@gmail.com")</f>
        <v>daliaaraby810@gmail.com</v>
      </c>
      <c r="G235" s="2" t="str">
        <f ca="1">IFERROR(__xludf.DUMMYFUNCTION("""COMPUTED_VALUE"""),"01027661151")</f>
        <v>01027661151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 t="str">
        <f ca="1">IFERROR(__xludf.DUMMYFUNCTION("""COMPUTED_VALUE"""),"مريم عطا")</f>
        <v>مريم عطا</v>
      </c>
      <c r="B236" s="2">
        <f ca="1">IFERROR(__xludf.DUMMYFUNCTION("""COMPUTED_VALUE"""),615157028363)</f>
        <v>615157028363</v>
      </c>
      <c r="C236" s="2" t="str">
        <f ca="1">IFERROR(__xludf.DUMMYFUNCTION("""COMPUTED_VALUE"""),"مريم عطا")</f>
        <v>مريم عطا</v>
      </c>
      <c r="D236" s="4" t="str">
        <f ca="1">IFERROR(__xludf.DUMMYFUNCTION("""COMPUTED_VALUE"""),"2169")</f>
        <v>2169</v>
      </c>
      <c r="E236" s="2" t="str">
        <f ca="1">IFERROR(__xludf.DUMMYFUNCTION("""COMPUTED_VALUE"""),"EG04-EG05-EG06")</f>
        <v>EG04-EG05-EG06</v>
      </c>
      <c r="F236" s="2" t="str">
        <f ca="1">IFERROR(__xludf.DUMMYFUNCTION("""COMPUTED_VALUE"""),"mariamjohn2016@gmail.com")</f>
        <v>mariamjohn2016@gmail.com</v>
      </c>
      <c r="G236" s="2" t="str">
        <f ca="1">IFERROR(__xludf.DUMMYFUNCTION("""COMPUTED_VALUE"""),"01204817452")</f>
        <v>01204817452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 t="str">
        <f ca="1">IFERROR(__xludf.DUMMYFUNCTION("""COMPUTED_VALUE"""),"يمنى محمود")</f>
        <v>يمنى محمود</v>
      </c>
      <c r="B237" s="2">
        <f ca="1">IFERROR(__xludf.DUMMYFUNCTION("""COMPUTED_VALUE"""),258179016380)</f>
        <v>258179016380</v>
      </c>
      <c r="C237" s="2" t="str">
        <f ca="1">IFERROR(__xludf.DUMMYFUNCTION("""COMPUTED_VALUE"""),"يمنى محمود")</f>
        <v>يمنى محمود</v>
      </c>
      <c r="D237" s="4" t="str">
        <f ca="1">IFERROR(__xludf.DUMMYFUNCTION("""COMPUTED_VALUE"""),"2174")</f>
        <v>2174</v>
      </c>
      <c r="E237" s="2" t="str">
        <f ca="1">IFERROR(__xludf.DUMMYFUNCTION("""COMPUTED_VALUE"""),"EG07-EG08-EG09-EG10")</f>
        <v>EG07-EG08-EG09-EG10</v>
      </c>
      <c r="F237" s="2" t="str">
        <f ca="1">IFERROR(__xludf.DUMMYFUNCTION("""COMPUTED_VALUE"""),"yumna_elnennah@yahoo.com")</f>
        <v>yumna_elnennah@yahoo.com</v>
      </c>
      <c r="G237" s="2" t="str">
        <f ca="1">IFERROR(__xludf.DUMMYFUNCTION("""COMPUTED_VALUE"""),"01013423508")</f>
        <v>01013423508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 t="str">
        <f ca="1">IFERROR(__xludf.DUMMYFUNCTION("""COMPUTED_VALUE"""),"يسرا عبد الحميد")</f>
        <v>يسرا عبد الحميد</v>
      </c>
      <c r="B238" s="2">
        <f ca="1">IFERROR(__xludf.DUMMYFUNCTION("""COMPUTED_VALUE"""),295194323854)</f>
        <v>295194323854</v>
      </c>
      <c r="C238" s="2" t="str">
        <f ca="1">IFERROR(__xludf.DUMMYFUNCTION("""COMPUTED_VALUE"""),"يسرا عبد الحميد")</f>
        <v>يسرا عبد الحميد</v>
      </c>
      <c r="D238" s="4">
        <f ca="1">IFERROR(__xludf.DUMMYFUNCTION("""COMPUTED_VALUE"""),2167)</f>
        <v>2167</v>
      </c>
      <c r="E238" s="2"/>
      <c r="F238" s="2" t="str">
        <f ca="1">IFERROR(__xludf.DUMMYFUNCTION("""COMPUTED_VALUE"""),"yousramohamed1984@gmail.com")</f>
        <v>yousramohamed1984@gmail.com</v>
      </c>
      <c r="G238" s="2" t="str">
        <f ca="1">IFERROR(__xludf.DUMMYFUNCTION("""COMPUTED_VALUE"""),"01007474664")</f>
        <v>01007474664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 t="str">
        <f ca="1">IFERROR(__xludf.DUMMYFUNCTION("""COMPUTED_VALUE"""),"ماريان حنا")</f>
        <v>ماريان حنا</v>
      </c>
      <c r="B239" s="2">
        <f ca="1">IFERROR(__xludf.DUMMYFUNCTION("""COMPUTED_VALUE"""),458157430479)</f>
        <v>458157430479</v>
      </c>
      <c r="C239" s="2" t="str">
        <f ca="1">IFERROR(__xludf.DUMMYFUNCTION("""COMPUTED_VALUE"""),"ماريان حنا")</f>
        <v>ماريان حنا</v>
      </c>
      <c r="D239" s="4" t="str">
        <f ca="1">IFERROR(__xludf.DUMMYFUNCTION("""COMPUTED_VALUE"""),"2164")</f>
        <v>2164</v>
      </c>
      <c r="E239" s="2" t="str">
        <f ca="1">IFERROR(__xludf.DUMMYFUNCTION("""COMPUTED_VALUE"""),"اعتذرت عن استكمال العام الدراسي معنا ويبدو أنها ستستقيل")</f>
        <v>اعتذرت عن استكمال العام الدراسي معنا ويبدو أنها ستستقيل</v>
      </c>
      <c r="F239" s="2" t="str">
        <f ca="1">IFERROR(__xludf.DUMMYFUNCTION("""COMPUTED_VALUE"""),"maromina1986@gmail.com")</f>
        <v>maromina1986@gmail.com</v>
      </c>
      <c r="G239" s="2" t="str">
        <f ca="1">IFERROR(__xludf.DUMMYFUNCTION("""COMPUTED_VALUE"""),"01282662428")</f>
        <v>01282662428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 t="str">
        <f ca="1">IFERROR(__xludf.DUMMYFUNCTION("""COMPUTED_VALUE"""),"رانا عنتر")</f>
        <v>رانا عنتر</v>
      </c>
      <c r="B240" s="2">
        <f ca="1">IFERROR(__xludf.DUMMYFUNCTION("""COMPUTED_VALUE"""),708179253837)</f>
        <v>708179253837</v>
      </c>
      <c r="C240" s="2" t="str">
        <f ca="1">IFERROR(__xludf.DUMMYFUNCTION("""COMPUTED_VALUE"""),"رانا عنتر")</f>
        <v>رانا عنتر</v>
      </c>
      <c r="D240" s="4" t="str">
        <f ca="1">IFERROR(__xludf.DUMMYFUNCTION("""COMPUTED_VALUE"""),"2160")</f>
        <v>2160</v>
      </c>
      <c r="E240" s="2"/>
      <c r="F240" s="2" t="str">
        <f ca="1">IFERROR(__xludf.DUMMYFUNCTION("""COMPUTED_VALUE"""),"ranaantar33@gmail.com")</f>
        <v>ranaantar33@gmail.com</v>
      </c>
      <c r="G240" s="2" t="str">
        <f ca="1">IFERROR(__xludf.DUMMYFUNCTION("""COMPUTED_VALUE"""),"01128544922")</f>
        <v>01128544922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 t="str">
        <f ca="1">IFERROR(__xludf.DUMMYFUNCTION("""COMPUTED_VALUE"""),"ياسمين صلاح")</f>
        <v>ياسمين صلاح</v>
      </c>
      <c r="B241" s="2">
        <f ca="1">IFERROR(__xludf.DUMMYFUNCTION("""COMPUTED_VALUE"""),687104205132)</f>
        <v>687104205132</v>
      </c>
      <c r="C241" s="2" t="str">
        <f ca="1">IFERROR(__xludf.DUMMYFUNCTION("""COMPUTED_VALUE"""),"ياسمين صلاح")</f>
        <v>ياسمين صلاح</v>
      </c>
      <c r="D241" s="4" t="str">
        <f ca="1">IFERROR(__xludf.DUMMYFUNCTION("""COMPUTED_VALUE"""),"1383")</f>
        <v>1383</v>
      </c>
      <c r="E241" s="2" t="str">
        <f ca="1">IFERROR(__xludf.DUMMYFUNCTION("""COMPUTED_VALUE"""),"EG04-EG05-EG06")</f>
        <v>EG04-EG05-EG06</v>
      </c>
      <c r="F241" s="2" t="str">
        <f ca="1">IFERROR(__xludf.DUMMYFUNCTION("""COMPUTED_VALUE"""),"byasmins4288@gmail.com")</f>
        <v>byasmins4288@gmail.com</v>
      </c>
      <c r="G241" s="2" t="str">
        <f ca="1">IFERROR(__xludf.DUMMYFUNCTION("""COMPUTED_VALUE"""),"01004560430")</f>
        <v>01004560430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 t="str">
        <f ca="1">IFERROR(__xludf.DUMMYFUNCTION("""COMPUTED_VALUE"""),"تقى حسن")</f>
        <v>تقى حسن</v>
      </c>
      <c r="B242" s="2">
        <f ca="1">IFERROR(__xludf.DUMMYFUNCTION("""COMPUTED_VALUE"""),478141716532)</f>
        <v>478141716532</v>
      </c>
      <c r="C242" s="2" t="str">
        <f ca="1">IFERROR(__xludf.DUMMYFUNCTION("""COMPUTED_VALUE"""),"تقى حسن")</f>
        <v>تقى حسن</v>
      </c>
      <c r="D242" s="4" t="str">
        <f ca="1">IFERROR(__xludf.DUMMYFUNCTION("""COMPUTED_VALUE"""),"2069")</f>
        <v>2069</v>
      </c>
      <c r="E242" s="2"/>
      <c r="F242" s="2" t="str">
        <f ca="1">IFERROR(__xludf.DUMMYFUNCTION("""COMPUTED_VALUE"""),"tokahassan5@gmail.com")</f>
        <v>tokahassan5@gmail.com</v>
      </c>
      <c r="G242" s="2" t="str">
        <f ca="1">IFERROR(__xludf.DUMMYFUNCTION("""COMPUTED_VALUE"""),"01012286588")</f>
        <v>01012286588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 t="str">
        <f ca="1">IFERROR(__xludf.DUMMYFUNCTION("""COMPUTED_VALUE"""),"سارة كمال")</f>
        <v>سارة كمال</v>
      </c>
      <c r="B243" s="2">
        <f ca="1">IFERROR(__xludf.DUMMYFUNCTION("""COMPUTED_VALUE"""),435164906319)</f>
        <v>435164906319</v>
      </c>
      <c r="C243" s="2" t="str">
        <f ca="1">IFERROR(__xludf.DUMMYFUNCTION("""COMPUTED_VALUE"""),"سارة كمال")</f>
        <v>سارة كمال</v>
      </c>
      <c r="D243" s="4" t="str">
        <f ca="1">IFERROR(__xludf.DUMMYFUNCTION("""COMPUTED_VALUE"""),"2020")</f>
        <v>2020</v>
      </c>
      <c r="E243" s="2" t="str">
        <f ca="1">IFERROR(__xludf.DUMMYFUNCTION("""COMPUTED_VALUE"""),"اعتذرت عن استكمال العام الدراسي معنا ويبدو أنها ستستقيل")</f>
        <v>اعتذرت عن استكمال العام الدراسي معنا ويبدو أنها ستستقيل</v>
      </c>
      <c r="F243" s="2" t="str">
        <f ca="1">IFERROR(__xludf.DUMMYFUNCTION("""COMPUTED_VALUE"""),"sarakamalrezk@gmail.com")</f>
        <v>sarakamalrezk@gmail.com</v>
      </c>
      <c r="G243" s="2" t="str">
        <f ca="1">IFERROR(__xludf.DUMMYFUNCTION("""COMPUTED_VALUE"""),"0122 695 8654 ")</f>
        <v xml:space="preserve">0122 695 8654 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 t="str">
        <f ca="1">IFERROR(__xludf.DUMMYFUNCTION("""COMPUTED_VALUE"""),"لبنى عبد العزيز")</f>
        <v>لبنى عبد العزيز</v>
      </c>
      <c r="B244" s="2">
        <f ca="1">IFERROR(__xludf.DUMMYFUNCTION("""COMPUTED_VALUE"""),568186930704)</f>
        <v>568186930704</v>
      </c>
      <c r="C244" s="2" t="str">
        <f ca="1">IFERROR(__xludf.DUMMYFUNCTION("""COMPUTED_VALUE"""),"لبنى عبد العزيز")</f>
        <v>لبنى عبد العزيز</v>
      </c>
      <c r="D244" s="4" t="str">
        <f ca="1">IFERROR(__xludf.DUMMYFUNCTION("""COMPUTED_VALUE"""),"2185")</f>
        <v>2185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 t="str">
        <f ca="1">IFERROR(__xludf.DUMMYFUNCTION("""COMPUTED_VALUE"""),"نرمين جلال")</f>
        <v>نرمين جلال</v>
      </c>
      <c r="B245" s="2">
        <f ca="1">IFERROR(__xludf.DUMMYFUNCTION("""COMPUTED_VALUE"""),209148542918)</f>
        <v>209148542918</v>
      </c>
      <c r="C245" s="2" t="str">
        <f ca="1">IFERROR(__xludf.DUMMYFUNCTION("""COMPUTED_VALUE"""),"نرمين جلال")</f>
        <v>نرمين جلال</v>
      </c>
      <c r="D245" s="4" t="str">
        <f ca="1">IFERROR(__xludf.DUMMYFUNCTION("""COMPUTED_VALUE"""),"2191")</f>
        <v>2191</v>
      </c>
      <c r="E245" s="2" t="str">
        <f ca="1">IFERROR(__xludf.DUMMYFUNCTION("""COMPUTED_VALUE"""),"EG01-EG02-EG03-EG04-EG05")</f>
        <v>EG01-EG02-EG03-EG04-EG05</v>
      </c>
      <c r="F245" s="2" t="str">
        <f ca="1">IFERROR(__xludf.DUMMYFUNCTION("""COMPUTED_VALUE"""),"norenosman11@yahoo.com")</f>
        <v>norenosman11@yahoo.com</v>
      </c>
      <c r="G245" s="2" t="str">
        <f ca="1">IFERROR(__xludf.DUMMYFUNCTION("""COMPUTED_VALUE"""),"01285292060")</f>
        <v>01285292060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 t="str">
        <f ca="1">IFERROR(__xludf.DUMMYFUNCTION("""COMPUTED_VALUE"""),"سامح ماجد")</f>
        <v>سامح ماجد</v>
      </c>
      <c r="B246" s="2">
        <f ca="1">IFERROR(__xludf.DUMMYFUNCTION("""COMPUTED_VALUE"""),837194029802)</f>
        <v>837194029802</v>
      </c>
      <c r="C246" s="2" t="str">
        <f ca="1">IFERROR(__xludf.DUMMYFUNCTION("""COMPUTED_VALUE"""),"سامح ماجد")</f>
        <v>سامح ماجد</v>
      </c>
      <c r="D246" s="4" t="str">
        <f ca="1">IFERROR(__xludf.DUMMYFUNCTION("""COMPUTED_VALUE"""),"2196")</f>
        <v>2196</v>
      </c>
      <c r="E246" s="2" t="str">
        <f ca="1">IFERROR(__xludf.DUMMYFUNCTION("""COMPUTED_VALUE"""),"G11-G12")</f>
        <v>G11-G12</v>
      </c>
      <c r="F246" s="2" t="str">
        <f ca="1">IFERROR(__xludf.DUMMYFUNCTION("""COMPUTED_VALUE"""),"samehmaged304@gmail.com")</f>
        <v>samehmaged304@gmail.com</v>
      </c>
      <c r="G246" s="2" t="str">
        <f ca="1">IFERROR(__xludf.DUMMYFUNCTION("""COMPUTED_VALUE"""),"01281097754")</f>
        <v>01281097754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 t="str">
        <f ca="1">IFERROR(__xludf.DUMMYFUNCTION("""COMPUTED_VALUE"""),"محمد حسن")</f>
        <v>محمد حسن</v>
      </c>
      <c r="B247" s="2">
        <f ca="1">IFERROR(__xludf.DUMMYFUNCTION("""COMPUTED_VALUE"""),697161098253)</f>
        <v>697161098253</v>
      </c>
      <c r="C247" s="2" t="str">
        <f ca="1">IFERROR(__xludf.DUMMYFUNCTION("""COMPUTED_VALUE"""),"محمد حسن")</f>
        <v>محمد حسن</v>
      </c>
      <c r="D247" s="4" t="str">
        <f ca="1">IFERROR(__xludf.DUMMYFUNCTION("""COMPUTED_VALUE"""),"2195")</f>
        <v>2195</v>
      </c>
      <c r="E247" s="2" t="str">
        <f ca="1">IFERROR(__xludf.DUMMYFUNCTION("""COMPUTED_VALUE"""),"EG10-EG11-G12")</f>
        <v>EG10-EG11-G12</v>
      </c>
      <c r="F247" s="2" t="str">
        <f ca="1">IFERROR(__xludf.DUMMYFUNCTION("""COMPUTED_VALUE"""),"alhassan.physics@gmail.com")</f>
        <v>alhassan.physics@gmail.com</v>
      </c>
      <c r="G247" s="2" t="str">
        <f ca="1">IFERROR(__xludf.DUMMYFUNCTION("""COMPUTED_VALUE"""),"01275338309")</f>
        <v>01275338309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 t="str">
        <f ca="1">IFERROR(__xludf.DUMMYFUNCTION("""COMPUTED_VALUE"""),"إسراء السيد")</f>
        <v>إسراء السيد</v>
      </c>
      <c r="B248" s="2">
        <f ca="1">IFERROR(__xludf.DUMMYFUNCTION("""COMPUTED_VALUE"""),516123085380)</f>
        <v>516123085380</v>
      </c>
      <c r="C248" s="2" t="str">
        <f ca="1">IFERROR(__xludf.DUMMYFUNCTION("""COMPUTED_VALUE"""),"إسراء السيد")</f>
        <v>إسراء السيد</v>
      </c>
      <c r="D248" s="2" t="str">
        <f ca="1">IFERROR(__xludf.DUMMYFUNCTION("""COMPUTED_VALUE"""),"#N/A")</f>
        <v>#N/A</v>
      </c>
      <c r="E248" s="2"/>
      <c r="F248" s="2" t="str">
        <f ca="1">IFERROR(__xludf.DUMMYFUNCTION("""COMPUTED_VALUE"""),"israaibrahim182@gmail.com")</f>
        <v>israaibrahim182@gmail.com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 t="str">
        <f ca="1">IFERROR(__xludf.DUMMYFUNCTION("""COMPUTED_VALUE"""),"طه عبد الرازق")</f>
        <v>طه عبد الرازق</v>
      </c>
      <c r="B249" s="2">
        <f ca="1">IFERROR(__xludf.DUMMYFUNCTION("""COMPUTED_VALUE"""),506172862613)</f>
        <v>506172862613</v>
      </c>
      <c r="C249" s="2" t="str">
        <f ca="1">IFERROR(__xludf.DUMMYFUNCTION("""COMPUTED_VALUE"""),"طه عبد الرازق")</f>
        <v>طه عبد الرازق</v>
      </c>
      <c r="D249" s="4" t="str">
        <f ca="1">IFERROR(__xludf.DUMMYFUNCTION("""COMPUTED_VALUE"""),"2209")</f>
        <v>2209</v>
      </c>
      <c r="E249" s="2" t="str">
        <f ca="1">IFERROR(__xludf.DUMMYFUNCTION("""COMPUTED_VALUE"""),"EG10-EG11-G12")</f>
        <v>EG10-EG11-G12</v>
      </c>
      <c r="F249" s="2" t="str">
        <f ca="1">IFERROR(__xludf.DUMMYFUNCTION("""COMPUTED_VALUE"""),"tahaabdalrazek97@gmail.com")</f>
        <v>tahaabdalrazek97@gmail.com</v>
      </c>
      <c r="G249" s="2" t="str">
        <f ca="1">IFERROR(__xludf.DUMMYFUNCTION("""COMPUTED_VALUE"""),"01150011597")</f>
        <v>01150011597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 t="str">
        <f ca="1">IFERROR(__xludf.DUMMYFUNCTION("""COMPUTED_VALUE"""),"مهند مجدي")</f>
        <v>مهند مجدي</v>
      </c>
      <c r="B250" s="2">
        <f ca="1">IFERROR(__xludf.DUMMYFUNCTION("""COMPUTED_VALUE"""),747194232493)</f>
        <v>747194232493</v>
      </c>
      <c r="C250" s="2" t="str">
        <f ca="1">IFERROR(__xludf.DUMMYFUNCTION("""COMPUTED_VALUE"""),"مهند مجدي")</f>
        <v>مهند مجدي</v>
      </c>
      <c r="D250" s="4" t="str">
        <f ca="1">IFERROR(__xludf.DUMMYFUNCTION("""COMPUTED_VALUE"""),"2181")</f>
        <v>2181</v>
      </c>
      <c r="E250" s="2" t="str">
        <f ca="1">IFERROR(__xludf.DUMMYFUNCTION("""COMPUTED_VALUE"""),"EG07-EG08-EG09-EG10-EG11")</f>
        <v>EG07-EG08-EG09-EG10-EG11</v>
      </c>
      <c r="F250" s="2" t="str">
        <f ca="1">IFERROR(__xludf.DUMMYFUNCTION("""COMPUTED_VALUE"""),"muhannad.m.m.khalil@gmail.com")</f>
        <v>muhannad.m.m.khalil@gmail.com</v>
      </c>
      <c r="G250" s="2" t="str">
        <f ca="1">IFERROR(__xludf.DUMMYFUNCTION("""COMPUTED_VALUE"""),"01114420263")</f>
        <v>01114420263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 t="str">
        <f ca="1">IFERROR(__xludf.DUMMYFUNCTION("""COMPUTED_VALUE"""),"جوزيف ميشيل")</f>
        <v>جوزيف ميشيل</v>
      </c>
      <c r="B251" s="2">
        <f ca="1">IFERROR(__xludf.DUMMYFUNCTION("""COMPUTED_VALUE"""),789173210154)</f>
        <v>789173210154</v>
      </c>
      <c r="C251" s="2" t="str">
        <f ca="1">IFERROR(__xludf.DUMMYFUNCTION("""COMPUTED_VALUE"""),"جوزيف ميشيل")</f>
        <v>جوزيف ميشيل</v>
      </c>
      <c r="D251" s="4" t="str">
        <f ca="1">IFERROR(__xludf.DUMMYFUNCTION("""COMPUTED_VALUE"""),"2201")</f>
        <v>2201</v>
      </c>
      <c r="E251" s="2" t="str">
        <f ca="1">IFERROR(__xludf.DUMMYFUNCTION("""COMPUTED_VALUE"""),"EG10-EG11-G12")</f>
        <v>EG10-EG11-G12</v>
      </c>
      <c r="F251" s="2" t="str">
        <f ca="1">IFERROR(__xludf.DUMMYFUNCTION("""COMPUTED_VALUE"""),"jockey.jojo87@gmail.com")</f>
        <v>jockey.jojo87@gmail.com</v>
      </c>
      <c r="G251" s="2" t="str">
        <f ca="1">IFERROR(__xludf.DUMMYFUNCTION("""COMPUTED_VALUE"""),"01225423098")</f>
        <v>01225423098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 t="str">
        <f ca="1">IFERROR(__xludf.DUMMYFUNCTION("""COMPUTED_VALUE"""),"صلاح سالمان")</f>
        <v>صلاح سالمان</v>
      </c>
      <c r="B252" s="2">
        <f ca="1">IFERROR(__xludf.DUMMYFUNCTION("""COMPUTED_VALUE"""),472109857194)</f>
        <v>472109857194</v>
      </c>
      <c r="C252" s="2" t="str">
        <f ca="1">IFERROR(__xludf.DUMMYFUNCTION("""COMPUTED_VALUE"""),"صلاح سالمان")</f>
        <v>صلاح سالمان</v>
      </c>
      <c r="D252" s="4" t="str">
        <f ca="1">IFERROR(__xludf.DUMMYFUNCTION("""COMPUTED_VALUE"""),"2208")</f>
        <v>2208</v>
      </c>
      <c r="E252" s="2" t="str">
        <f ca="1">IFERROR(__xludf.DUMMYFUNCTION("""COMPUTED_VALUE"""),"EG10-EG11-G12")</f>
        <v>EG10-EG11-G12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 t="str">
        <f ca="1">IFERROR(__xludf.DUMMYFUNCTION("""COMPUTED_VALUE"""),"دسوقي إبراهيم")</f>
        <v>دسوقي إبراهيم</v>
      </c>
      <c r="B253" s="2">
        <f ca="1">IFERROR(__xludf.DUMMYFUNCTION("""COMPUTED_VALUE"""),893140536419)</f>
        <v>893140536419</v>
      </c>
      <c r="C253" s="2" t="str">
        <f ca="1">IFERROR(__xludf.DUMMYFUNCTION("""COMPUTED_VALUE"""),"دسوقي إبراهيم")</f>
        <v>دسوقي إبراهيم</v>
      </c>
      <c r="D253" s="4" t="str">
        <f ca="1">IFERROR(__xludf.DUMMYFUNCTION("""COMPUTED_VALUE"""),"2199")</f>
        <v>2199</v>
      </c>
      <c r="E253" s="2" t="str">
        <f ca="1">IFERROR(__xludf.DUMMYFUNCTION("""COMPUTED_VALUE"""),"EG10-EG11-G12")</f>
        <v>EG10-EG11-G12</v>
      </c>
      <c r="F253" s="2" t="str">
        <f ca="1">IFERROR(__xludf.DUMMYFUNCTION("""COMPUTED_VALUE"""),"ebrahim2721976@gmail.com")</f>
        <v>ebrahim2721976@gmail.com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 t="str">
        <f ca="1">IFERROR(__xludf.DUMMYFUNCTION("""COMPUTED_VALUE"""),"محمد الهناوي")</f>
        <v>محمد الهناوي</v>
      </c>
      <c r="B254" s="2">
        <f ca="1">IFERROR(__xludf.DUMMYFUNCTION("""COMPUTED_VALUE"""),568127010526)</f>
        <v>568127010526</v>
      </c>
      <c r="C254" s="2" t="str">
        <f ca="1">IFERROR(__xludf.DUMMYFUNCTION("""COMPUTED_VALUE"""),"محمد الهناوي")</f>
        <v>محمد الهناوي</v>
      </c>
      <c r="D254" s="4">
        <f ca="1">IFERROR(__xludf.DUMMYFUNCTION("""COMPUTED_VALUE"""),2184)</f>
        <v>2184</v>
      </c>
      <c r="E254" s="2" t="str">
        <f ca="1">IFERROR(__xludf.DUMMYFUNCTION("""COMPUTED_VALUE"""),"EG04-EG05-EG06")</f>
        <v>EG04-EG05-EG06</v>
      </c>
      <c r="F254" s="2" t="str">
        <f ca="1">IFERROR(__xludf.DUMMYFUNCTION("""COMPUTED_VALUE"""),"ma6515149@gmail.com")</f>
        <v>ma6515149@gmail.com</v>
      </c>
      <c r="G254" s="2" t="str">
        <f ca="1">IFERROR(__xludf.DUMMYFUNCTION("""COMPUTED_VALUE"""),"01208476617")</f>
        <v>01208476617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 t="str">
        <f ca="1">IFERROR(__xludf.DUMMYFUNCTION("""COMPUTED_VALUE"""),"رمضان عبد القادر")</f>
        <v>رمضان عبد القادر</v>
      </c>
      <c r="B255" s="2">
        <f ca="1">IFERROR(__xludf.DUMMYFUNCTION("""COMPUTED_VALUE"""),487134793715)</f>
        <v>487134793715</v>
      </c>
      <c r="C255" s="2" t="str">
        <f ca="1">IFERROR(__xludf.DUMMYFUNCTION("""COMPUTED_VALUE"""),"رمضان عبد القادر")</f>
        <v>رمضان عبد القادر</v>
      </c>
      <c r="D255" s="4" t="str">
        <f ca="1">IFERROR(__xludf.DUMMYFUNCTION("""COMPUTED_VALUE"""),"2193")</f>
        <v>2193</v>
      </c>
      <c r="E255" s="2"/>
      <c r="F255" s="2" t="str">
        <f ca="1">IFERROR(__xludf.DUMMYFUNCTION("""COMPUTED_VALUE"""),"ramadanelkader@gmail.com")</f>
        <v>ramadanelkader@gmail.com</v>
      </c>
      <c r="G255" s="2" t="str">
        <f ca="1">IFERROR(__xludf.DUMMYFUNCTION("""COMPUTED_VALUE"""),"01005716822")</f>
        <v>01005716822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 t="str">
        <f ca="1">IFERROR(__xludf.DUMMYFUNCTION("""COMPUTED_VALUE"""),"روماني إبراهيم")</f>
        <v>روماني إبراهيم</v>
      </c>
      <c r="B256" s="2">
        <f ca="1">IFERROR(__xludf.DUMMYFUNCTION("""COMPUTED_VALUE"""),874140534821)</f>
        <v>874140534821</v>
      </c>
      <c r="C256" s="2" t="str">
        <f ca="1">IFERROR(__xludf.DUMMYFUNCTION("""COMPUTED_VALUE"""),"روماني إبراهيم")</f>
        <v>روماني إبراهيم</v>
      </c>
      <c r="D256" s="4" t="str">
        <f ca="1">IFERROR(__xludf.DUMMYFUNCTION("""COMPUTED_VALUE"""),"2206")</f>
        <v>2206</v>
      </c>
      <c r="E256" s="2" t="str">
        <f ca="1">IFERROR(__xludf.DUMMYFUNCTION("""COMPUTED_VALUE"""),"EG10-EG11-G12")</f>
        <v>EG10-EG11-G12</v>
      </c>
      <c r="F256" s="2" t="str">
        <f ca="1">IFERROR(__xludf.DUMMYFUNCTION("""COMPUTED_VALUE"""),"mr.romany82@gmail.com")</f>
        <v>mr.romany82@gmail.com</v>
      </c>
      <c r="G256" s="2" t="str">
        <f ca="1">IFERROR(__xludf.DUMMYFUNCTION("""COMPUTED_VALUE"""),"01225653656")</f>
        <v>01225653656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 t="str">
        <f ca="1">IFERROR(__xludf.DUMMYFUNCTION("""COMPUTED_VALUE"""),"ندى أسامة")</f>
        <v>ندى أسامة</v>
      </c>
      <c r="B257" s="2">
        <f ca="1">IFERROR(__xludf.DUMMYFUNCTION("""COMPUTED_VALUE"""),265195735907)</f>
        <v>265195735907</v>
      </c>
      <c r="C257" s="2" t="str">
        <f ca="1">IFERROR(__xludf.DUMMYFUNCTION("""COMPUTED_VALUE"""),"ندى أسامة")</f>
        <v>ندى أسامة</v>
      </c>
      <c r="D257" s="4" t="str">
        <f ca="1">IFERROR(__xludf.DUMMYFUNCTION("""COMPUTED_VALUE"""),"2207")</f>
        <v>2207</v>
      </c>
      <c r="E257" s="2" t="str">
        <f ca="1">IFERROR(__xludf.DUMMYFUNCTION("""COMPUTED_VALUE"""),"EG04-EG05")</f>
        <v>EG04-EG05</v>
      </c>
      <c r="F257" s="2" t="str">
        <f ca="1">IFERROR(__xludf.DUMMYFUNCTION("""COMPUTED_VALUE"""),"nadaaosama1@gmail.com")</f>
        <v>nadaaosama1@gmail.com</v>
      </c>
      <c r="G257" s="2" t="str">
        <f ca="1">IFERROR(__xludf.DUMMYFUNCTION("""COMPUTED_VALUE"""),"01208990138")</f>
        <v>01208990138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 t="str">
        <f ca="1">IFERROR(__xludf.DUMMYFUNCTION("""COMPUTED_VALUE"""),"محمد مجدي")</f>
        <v>محمد مجدي</v>
      </c>
      <c r="B258" s="2">
        <f ca="1">IFERROR(__xludf.DUMMYFUNCTION("""COMPUTED_VALUE"""),864108372349)</f>
        <v>864108372349</v>
      </c>
      <c r="C258" s="2" t="str">
        <f ca="1">IFERROR(__xludf.DUMMYFUNCTION("""COMPUTED_VALUE"""),"محمد مجدي")</f>
        <v>محمد مجدي</v>
      </c>
      <c r="D258" s="4" t="str">
        <f ca="1">IFERROR(__xludf.DUMMYFUNCTION("""COMPUTED_VALUE"""),"2192")</f>
        <v>2192</v>
      </c>
      <c r="E258" s="2" t="str">
        <f ca="1">IFERROR(__xludf.DUMMYFUNCTION("""COMPUTED_VALUE"""),"EG07-EG08-EG09-EG10-EG11")</f>
        <v>EG07-EG08-EG09-EG10-EG11</v>
      </c>
      <c r="F258" s="2" t="str">
        <f ca="1">IFERROR(__xludf.DUMMYFUNCTION("""COMPUTED_VALUE"""),"mohamedmagdi8000@gmail.com")</f>
        <v>mohamedmagdi8000@gmail.com</v>
      </c>
      <c r="G258" s="2" t="str">
        <f ca="1">IFERROR(__xludf.DUMMYFUNCTION("""COMPUTED_VALUE"""),"01119389015")</f>
        <v>01119389015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 t="str">
        <f ca="1">IFERROR(__xludf.DUMMYFUNCTION("""COMPUTED_VALUE"""),"أماني بسيوني")</f>
        <v>أماني بسيوني</v>
      </c>
      <c r="B259" s="2">
        <f ca="1">IFERROR(__xludf.DUMMYFUNCTION("""COMPUTED_VALUE"""),374175473593)</f>
        <v>374175473593</v>
      </c>
      <c r="C259" s="2" t="str">
        <f ca="1">IFERROR(__xludf.DUMMYFUNCTION("""COMPUTED_VALUE"""),"أماني بسيوني")</f>
        <v>أماني بسيوني</v>
      </c>
      <c r="D259" s="4" t="str">
        <f ca="1">IFERROR(__xludf.DUMMYFUNCTION("""COMPUTED_VALUE"""),"2194")</f>
        <v>2194</v>
      </c>
      <c r="E259" s="2" t="str">
        <f ca="1">IFERROR(__xludf.DUMMYFUNCTION("""COMPUTED_VALUE"""),"EG10-EG11-G12")</f>
        <v>EG10-EG11-G12</v>
      </c>
      <c r="F259" s="2" t="str">
        <f ca="1">IFERROR(__xludf.DUMMYFUNCTION("""COMPUTED_VALUE"""),"amanybasuni160184@gmail.com")</f>
        <v>amanybasuni160184@gmail.com</v>
      </c>
      <c r="G259" s="2" t="str">
        <f ca="1">IFERROR(__xludf.DUMMYFUNCTION("""COMPUTED_VALUE"""),"01116571264")</f>
        <v>01116571264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 t="str">
        <f ca="1">IFERROR(__xludf.DUMMYFUNCTION("""COMPUTED_VALUE"""),"طارق إسماعيل")</f>
        <v>طارق إسماعيل</v>
      </c>
      <c r="B260" s="2">
        <f ca="1">IFERROR(__xludf.DUMMYFUNCTION("""COMPUTED_VALUE"""),486174535434)</f>
        <v>486174535434</v>
      </c>
      <c r="C260" s="2" t="str">
        <f ca="1">IFERROR(__xludf.DUMMYFUNCTION("""COMPUTED_VALUE"""),"طارق إسماعيل")</f>
        <v>طارق إسماعيل</v>
      </c>
      <c r="D260" s="4" t="str">
        <f ca="1">IFERROR(__xludf.DUMMYFUNCTION("""COMPUTED_VALUE"""),"2067")</f>
        <v>2067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 t="str">
        <f ca="1">IFERROR(__xludf.DUMMYFUNCTION("""COMPUTED_VALUE"""),"دعاء مرزوق")</f>
        <v>دعاء مرزوق</v>
      </c>
      <c r="B261" s="2">
        <f ca="1">IFERROR(__xludf.DUMMYFUNCTION("""COMPUTED_VALUE"""),819194140830)</f>
        <v>819194140830</v>
      </c>
      <c r="C261" s="2" t="str">
        <f ca="1">IFERROR(__xludf.DUMMYFUNCTION("""COMPUTED_VALUE"""),"دعاء مرزوق")</f>
        <v>دعاء مرزوق</v>
      </c>
      <c r="D261" s="4" t="str">
        <f ca="1">IFERROR(__xludf.DUMMYFUNCTION("""COMPUTED_VALUE"""),"2182")</f>
        <v>2182</v>
      </c>
      <c r="E261" s="2" t="str">
        <f ca="1">IFERROR(__xludf.DUMMYFUNCTION("""COMPUTED_VALUE"""),"EG04-EG05-EG06-EG07-EG08-EG09")</f>
        <v>EG04-EG05-EG06-EG07-EG08-EG09</v>
      </c>
      <c r="F261" s="2" t="str">
        <f ca="1">IFERROR(__xludf.DUMMYFUNCTION("""COMPUTED_VALUE"""),"doaamarzouk992@gmail.com")</f>
        <v>doaamarzouk992@gmail.com</v>
      </c>
      <c r="G261" s="2" t="str">
        <f ca="1">IFERROR(__xludf.DUMMYFUNCTION("""COMPUTED_VALUE"""),"01002287489")</f>
        <v>01002287489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 t="str">
        <f ca="1">IFERROR(__xludf.DUMMYFUNCTION("""COMPUTED_VALUE"""),"أحمد السمري")</f>
        <v>أحمد السمري</v>
      </c>
      <c r="B262" s="2">
        <f ca="1">IFERROR(__xludf.DUMMYFUNCTION("""COMPUTED_VALUE"""),427185258450)</f>
        <v>427185258450</v>
      </c>
      <c r="C262" s="2" t="str">
        <f ca="1">IFERROR(__xludf.DUMMYFUNCTION("""COMPUTED_VALUE"""),"أحمد السمري")</f>
        <v>أحمد السمري</v>
      </c>
      <c r="D262" s="4" t="str">
        <f ca="1">IFERROR(__xludf.DUMMYFUNCTION("""COMPUTED_VALUE"""),"2236")</f>
        <v>2236</v>
      </c>
      <c r="E262" s="2" t="str">
        <f ca="1">IFERROR(__xludf.DUMMYFUNCTION("""COMPUTED_VALUE"""),"EG10-EG11")</f>
        <v>EG10-EG11</v>
      </c>
      <c r="F262" s="2" t="str">
        <f ca="1">IFERROR(__xludf.DUMMYFUNCTION("""COMPUTED_VALUE"""),"ahmedsmry12@gmail.com")</f>
        <v>ahmedsmry12@gmail.com</v>
      </c>
      <c r="G262" s="2" t="str">
        <f ca="1">IFERROR(__xludf.DUMMYFUNCTION("""COMPUTED_VALUE"""),"01118803888")</f>
        <v>01118803888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 t="str">
        <f ca="1">IFERROR(__xludf.DUMMYFUNCTION("""COMPUTED_VALUE"""),"نرمين صبري")</f>
        <v>نرمين صبري</v>
      </c>
      <c r="B263" s="2">
        <f ca="1">IFERROR(__xludf.DUMMYFUNCTION("""COMPUTED_VALUE"""),162170576960)</f>
        <v>162170576960</v>
      </c>
      <c r="C263" s="2" t="str">
        <f ca="1">IFERROR(__xludf.DUMMYFUNCTION("""COMPUTED_VALUE"""),"نرمين صبري")</f>
        <v>نرمين صبري</v>
      </c>
      <c r="D263" s="4" t="str">
        <f ca="1">IFERROR(__xludf.DUMMYFUNCTION("""COMPUTED_VALUE"""),"2215")</f>
        <v>2215</v>
      </c>
      <c r="E263" s="2"/>
      <c r="F263" s="2" t="str">
        <f ca="1">IFERROR(__xludf.DUMMYFUNCTION("""COMPUTED_VALUE"""),"nermeensabry992@gmail.com")</f>
        <v>nermeensabry992@gmail.com</v>
      </c>
      <c r="G263" s="2" t="str">
        <f ca="1">IFERROR(__xludf.DUMMYFUNCTION("""COMPUTED_VALUE"""),"01284529778")</f>
        <v>01284529778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 t="str">
        <f ca="1">IFERROR(__xludf.DUMMYFUNCTION("""COMPUTED_VALUE"""),"دعاء عرابي")</f>
        <v>دعاء عرابي</v>
      </c>
      <c r="B264" s="2">
        <f ca="1">IFERROR(__xludf.DUMMYFUNCTION("""COMPUTED_VALUE"""),819130827826)</f>
        <v>819130827826</v>
      </c>
      <c r="C264" s="2" t="str">
        <f ca="1">IFERROR(__xludf.DUMMYFUNCTION("""COMPUTED_VALUE"""),"دعاء عرابي")</f>
        <v>دعاء عرابي</v>
      </c>
      <c r="D264" s="4" t="str">
        <f ca="1">IFERROR(__xludf.DUMMYFUNCTION("""COMPUTED_VALUE"""),"2059")</f>
        <v>2059</v>
      </c>
      <c r="E264" s="2" t="str">
        <f ca="1">IFERROR(__xludf.DUMMYFUNCTION("""COMPUTED_VALUE"""),"EG10-EG11-G12")</f>
        <v>EG10-EG11-G12</v>
      </c>
      <c r="F264" s="2" t="str">
        <f ca="1">IFERROR(__xludf.DUMMYFUNCTION("""COMPUTED_VALUE"""),"doaasaber.chem@gmail.com")</f>
        <v>doaasaber.chem@gmail.com</v>
      </c>
      <c r="G264" s="2" t="str">
        <f ca="1">IFERROR(__xludf.DUMMYFUNCTION("""COMPUTED_VALUE"""),"01211523112")</f>
        <v>01211523112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 t="str">
        <f ca="1">IFERROR(__xludf.DUMMYFUNCTION("""COMPUTED_VALUE"""),"إنجي نبيل")</f>
        <v>إنجي نبيل</v>
      </c>
      <c r="B265" s="2">
        <f ca="1">IFERROR(__xludf.DUMMYFUNCTION("""COMPUTED_VALUE"""),862161701563)</f>
        <v>862161701563</v>
      </c>
      <c r="C265" s="2" t="str">
        <f ca="1">IFERROR(__xludf.DUMMYFUNCTION("""COMPUTED_VALUE"""),"إنجي نبيل")</f>
        <v>إنجي نبيل</v>
      </c>
      <c r="D265" s="4" t="str">
        <f ca="1">IFERROR(__xludf.DUMMYFUNCTION("""COMPUTED_VALUE"""),"2213")</f>
        <v>2213</v>
      </c>
      <c r="E265" s="2" t="str">
        <f ca="1">IFERROR(__xludf.DUMMYFUNCTION("""COMPUTED_VALUE"""),"EG07-EG08-EG09")</f>
        <v>EG07-EG08-EG09</v>
      </c>
      <c r="F265" s="2" t="str">
        <f ca="1">IFERROR(__xludf.DUMMYFUNCTION("""COMPUTED_VALUE"""),"enabil24@gmail.com")</f>
        <v>enabil24@gmail.com</v>
      </c>
      <c r="G265" s="2" t="str">
        <f ca="1">IFERROR(__xludf.DUMMYFUNCTION("""COMPUTED_VALUE"""),"01204477722")</f>
        <v>01204477722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 t="str">
        <f ca="1">IFERROR(__xludf.DUMMYFUNCTION("""COMPUTED_VALUE"""),"نورين طه")</f>
        <v>نورين طه</v>
      </c>
      <c r="B266" s="2">
        <f ca="1">IFERROR(__xludf.DUMMYFUNCTION("""COMPUTED_VALUE"""),862194859079)</f>
        <v>862194859079</v>
      </c>
      <c r="C266" s="2" t="str">
        <f ca="1">IFERROR(__xludf.DUMMYFUNCTION("""COMPUTED_VALUE"""),"نورين طه")</f>
        <v>نورين طه</v>
      </c>
      <c r="D266" s="4" t="str">
        <f ca="1">IFERROR(__xludf.DUMMYFUNCTION("""COMPUTED_VALUE"""),"2211")</f>
        <v>2211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 t="str">
        <f ca="1">IFERROR(__xludf.DUMMYFUNCTION("""COMPUTED_VALUE"""),"مروى يوسف")</f>
        <v>مروى يوسف</v>
      </c>
      <c r="B267" s="2">
        <f ca="1">IFERROR(__xludf.DUMMYFUNCTION("""COMPUTED_VALUE"""),489123510390)</f>
        <v>489123510390</v>
      </c>
      <c r="C267" s="2" t="str">
        <f ca="1">IFERROR(__xludf.DUMMYFUNCTION("""COMPUTED_VALUE"""),"مروى يوسف")</f>
        <v>مروى يوسف</v>
      </c>
      <c r="D267" s="4" t="str">
        <f ca="1">IFERROR(__xludf.DUMMYFUNCTION("""COMPUTED_VALUE"""),"2183")</f>
        <v>2183</v>
      </c>
      <c r="E267" s="2" t="str">
        <f ca="1">IFERROR(__xludf.DUMMYFUNCTION("""COMPUTED_VALUE"""),"EG04-EG05-EG06-EG07-EG08-EG09-EG10-EG11")</f>
        <v>EG04-EG05-EG06-EG07-EG08-EG09-EG10-EG11</v>
      </c>
      <c r="F267" s="2" t="str">
        <f ca="1">IFERROR(__xludf.DUMMYFUNCTION("""COMPUTED_VALUE"""),"marumoh44@gmail.com")</f>
        <v>marumoh44@gmail.com</v>
      </c>
      <c r="G267" s="2" t="str">
        <f ca="1">IFERROR(__xludf.DUMMYFUNCTION("""COMPUTED_VALUE"""),"01550859370")</f>
        <v>01550859370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 t="str">
        <f ca="1">IFERROR(__xludf.DUMMYFUNCTION("""COMPUTED_VALUE"""),"جوزيف حنا")</f>
        <v>جوزيف حنا</v>
      </c>
      <c r="B268" s="2">
        <f ca="1">IFERROR(__xludf.DUMMYFUNCTION("""COMPUTED_VALUE"""),412128504012)</f>
        <v>412128504012</v>
      </c>
      <c r="C268" s="2" t="str">
        <f ca="1">IFERROR(__xludf.DUMMYFUNCTION("""COMPUTED_VALUE"""),"جوزيف حنا")</f>
        <v>جوزيف حنا</v>
      </c>
      <c r="D268" s="4" t="str">
        <f ca="1">IFERROR(__xludf.DUMMYFUNCTION("""COMPUTED_VALUE"""),"2261")</f>
        <v>2261</v>
      </c>
      <c r="E268" s="2"/>
      <c r="F268" s="2" t="str">
        <f ca="1">IFERROR(__xludf.DUMMYFUNCTION("""COMPUTED_VALUE"""),"jo4391170@gmail.com")</f>
        <v>jo4391170@gmail.com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 t="str">
        <f ca="1">IFERROR(__xludf.DUMMYFUNCTION("""COMPUTED_VALUE"""),"عبد الرحمن السيد")</f>
        <v>عبد الرحمن السيد</v>
      </c>
      <c r="B269" s="2">
        <f ca="1">IFERROR(__xludf.DUMMYFUNCTION("""COMPUTED_VALUE"""),809169821473)</f>
        <v>809169821473</v>
      </c>
      <c r="C269" s="2" t="str">
        <f ca="1">IFERROR(__xludf.DUMMYFUNCTION("""COMPUTED_VALUE"""),"عبد الرحمن السيد")</f>
        <v>عبد الرحمن السيد</v>
      </c>
      <c r="D269" s="4" t="str">
        <f ca="1">IFERROR(__xludf.DUMMYFUNCTION("""COMPUTED_VALUE"""),"2200")</f>
        <v>2200</v>
      </c>
      <c r="E269" s="2" t="str">
        <f ca="1">IFERROR(__xludf.DUMMYFUNCTION("""COMPUTED_VALUE"""),"G11-G12")</f>
        <v>G11-G12</v>
      </c>
      <c r="F269" s="2" t="str">
        <f ca="1">IFERROR(__xludf.DUMMYFUNCTION("""COMPUTED_VALUE"""),"abdelrhman.elsayed96@gmail.com")</f>
        <v>abdelrhman.elsayed96@gmail.com</v>
      </c>
      <c r="G269" s="2" t="str">
        <f ca="1">IFERROR(__xludf.DUMMYFUNCTION("""COMPUTED_VALUE"""),"01009944752")</f>
        <v>01009944752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 t="str">
        <f ca="1">IFERROR(__xludf.DUMMYFUNCTION("""COMPUTED_VALUE"""),"ناهد فتحي")</f>
        <v>ناهد فتحي</v>
      </c>
      <c r="B270" s="2">
        <f ca="1">IFERROR(__xludf.DUMMYFUNCTION("""COMPUTED_VALUE"""),357106149247)</f>
        <v>357106149247</v>
      </c>
      <c r="C270" s="2" t="str">
        <f ca="1">IFERROR(__xludf.DUMMYFUNCTION("""COMPUTED_VALUE"""),"ناهد فتحي")</f>
        <v>ناهد فتحي</v>
      </c>
      <c r="D270" s="4">
        <f ca="1">IFERROR(__xludf.DUMMYFUNCTION("""COMPUTED_VALUE"""),2224)</f>
        <v>2224</v>
      </c>
      <c r="E270" s="2"/>
      <c r="F270" s="2" t="str">
        <f ca="1">IFERROR(__xludf.DUMMYFUNCTION("""COMPUTED_VALUE"""),"‪nahedfathy192@gmail.com")</f>
        <v>‪nahedfathy192@gmail.com</v>
      </c>
      <c r="G270" s="2" t="str">
        <f ca="1">IFERROR(__xludf.DUMMYFUNCTION("""COMPUTED_VALUE"""),"01025801482")</f>
        <v>01025801482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 t="str">
        <f ca="1">IFERROR(__xludf.DUMMYFUNCTION("""COMPUTED_VALUE"""),"مصطفى رجب")</f>
        <v>مصطفى رجب</v>
      </c>
      <c r="B271" s="2">
        <f ca="1">IFERROR(__xludf.DUMMYFUNCTION("""COMPUTED_VALUE"""),164127957037)</f>
        <v>164127957037</v>
      </c>
      <c r="C271" s="2" t="str">
        <f ca="1">IFERROR(__xludf.DUMMYFUNCTION("""COMPUTED_VALUE"""),"مصطفى رجب")</f>
        <v>مصطفى رجب</v>
      </c>
      <c r="D271" s="4" t="str">
        <f ca="1">IFERROR(__xludf.DUMMYFUNCTION("""COMPUTED_VALUE"""),"2234")</f>
        <v>2234</v>
      </c>
      <c r="E271" s="2" t="str">
        <f ca="1">IFERROR(__xludf.DUMMYFUNCTION("""COMPUTED_VALUE"""),"EG07-EG08-EG09")</f>
        <v>EG07-EG08-EG09</v>
      </c>
      <c r="F271" s="2" t="str">
        <f ca="1">IFERROR(__xludf.DUMMYFUNCTION("""COMPUTED_VALUE"""),"mostafa.hero0001@gmail.com")</f>
        <v>mostafa.hero0001@gmail.com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 t="str">
        <f ca="1">IFERROR(__xludf.DUMMYFUNCTION("""COMPUTED_VALUE"""),"محمود الصعيدي")</f>
        <v>محمود الصعيدي</v>
      </c>
      <c r="B272" s="2">
        <f ca="1">IFERROR(__xludf.DUMMYFUNCTION("""COMPUTED_VALUE"""),836130414695)</f>
        <v>836130414695</v>
      </c>
      <c r="C272" s="2" t="str">
        <f ca="1">IFERROR(__xludf.DUMMYFUNCTION("""COMPUTED_VALUE"""),"محمود الصعيدي")</f>
        <v>محمود الصعيدي</v>
      </c>
      <c r="D272" s="4">
        <f ca="1">IFERROR(__xludf.DUMMYFUNCTION("""COMPUTED_VALUE"""),2220)</f>
        <v>2220</v>
      </c>
      <c r="E272" s="2" t="str">
        <f ca="1">IFERROR(__xludf.DUMMYFUNCTION("""COMPUTED_VALUE"""),"EG07-EG08-EG09")</f>
        <v>EG07-EG08-EG09</v>
      </c>
      <c r="F272" s="2" t="str">
        <f ca="1">IFERROR(__xludf.DUMMYFUNCTION("""COMPUTED_VALUE"""),"elseadim@gmail.com")</f>
        <v>elseadim@gmail.com</v>
      </c>
      <c r="G272" s="2" t="str">
        <f ca="1">IFERROR(__xludf.DUMMYFUNCTION("""COMPUTED_VALUE"""),"01032561184")</f>
        <v>01032561184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 t="str">
        <f ca="1">IFERROR(__xludf.DUMMYFUNCTION("""COMPUTED_VALUE"""),"حسام نور الدين")</f>
        <v>حسام نور الدين</v>
      </c>
      <c r="B273" s="2">
        <f ca="1">IFERROR(__xludf.DUMMYFUNCTION("""COMPUTED_VALUE"""),157185923195)</f>
        <v>157185923195</v>
      </c>
      <c r="C273" s="2" t="str">
        <f ca="1">IFERROR(__xludf.DUMMYFUNCTION("""COMPUTED_VALUE"""),"حسام نور الدين")</f>
        <v>حسام نور الدين</v>
      </c>
      <c r="D273" s="4" t="str">
        <f ca="1">IFERROR(__xludf.DUMMYFUNCTION("""COMPUTED_VALUE"""),"2197")</f>
        <v>2197</v>
      </c>
      <c r="E273" s="2" t="str">
        <f ca="1">IFERROR(__xludf.DUMMYFUNCTION("""COMPUTED_VALUE"""),"EG07-EG08-EG09-EG10-EG11")</f>
        <v>EG07-EG08-EG09-EG10-EG11</v>
      </c>
      <c r="F273" s="2" t="str">
        <f ca="1">IFERROR(__xludf.DUMMYFUNCTION("""COMPUTED_VALUE"""),"hossamnourahmed@gmail.com")</f>
        <v>hossamnourahmed@gmail.com</v>
      </c>
      <c r="G273" s="2" t="str">
        <f ca="1">IFERROR(__xludf.DUMMYFUNCTION("""COMPUTED_VALUE"""),"01141205561")</f>
        <v>01141205561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 t="str">
        <f ca="1">IFERROR(__xludf.DUMMYFUNCTION("""COMPUTED_VALUE"""),"الشيماء عبد الرحمن")</f>
        <v>الشيماء عبد الرحمن</v>
      </c>
      <c r="B274" s="2">
        <f ca="1">IFERROR(__xludf.DUMMYFUNCTION("""COMPUTED_VALUE"""),508196965395)</f>
        <v>508196965395</v>
      </c>
      <c r="C274" s="2" t="str">
        <f ca="1">IFERROR(__xludf.DUMMYFUNCTION("""COMPUTED_VALUE"""),"الشيماء عبد الرحمن")</f>
        <v>الشيماء عبد الرحمن</v>
      </c>
      <c r="D274" s="4" t="str">
        <f ca="1">IFERROR(__xludf.DUMMYFUNCTION("""COMPUTED_VALUE"""),"2219")</f>
        <v>2219</v>
      </c>
      <c r="E274" s="2" t="str">
        <f ca="1">IFERROR(__xludf.DUMMYFUNCTION("""COMPUTED_VALUE"""),"EG04-EG05-EG06")</f>
        <v>EG04-EG05-EG06</v>
      </c>
      <c r="F274" s="2" t="str">
        <f ca="1">IFERROR(__xludf.DUMMYFUNCTION("""COMPUTED_VALUE"""),"shimmaabdalrhman@gmail.com")</f>
        <v>shimmaabdalrhman@gmail.com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 t="str">
        <f ca="1">IFERROR(__xludf.DUMMYFUNCTION("""COMPUTED_VALUE"""),"حسني الهاشمي")</f>
        <v>حسني الهاشمي</v>
      </c>
      <c r="B275" s="2">
        <f ca="1">IFERROR(__xludf.DUMMYFUNCTION("""COMPUTED_VALUE"""),926164261364)</f>
        <v>926164261364</v>
      </c>
      <c r="C275" s="2" t="str">
        <f ca="1">IFERROR(__xludf.DUMMYFUNCTION("""COMPUTED_VALUE"""),"حسني الهاشمي")</f>
        <v>حسني الهاشمي</v>
      </c>
      <c r="D275" s="4">
        <f ca="1">IFERROR(__xludf.DUMMYFUNCTION("""COMPUTED_VALUE"""),2217)</f>
        <v>2217</v>
      </c>
      <c r="E275" s="2" t="str">
        <f ca="1">IFERROR(__xludf.DUMMYFUNCTION("""COMPUTED_VALUE"""),"Philosophy EG10-EG11-EG12
 Psychology EG11-EG12")</f>
        <v>Philosophy EG10-EG11-EG12
 Psychology EG11-EG12</v>
      </c>
      <c r="F275" s="2" t="str">
        <f ca="1">IFERROR(__xludf.DUMMYFUNCTION("""COMPUTED_VALUE"""),"hosni_edu@msn.com")</f>
        <v>hosni_edu@msn.com</v>
      </c>
      <c r="G275" s="2" t="str">
        <f ca="1">IFERROR(__xludf.DUMMYFUNCTION("""COMPUTED_VALUE"""),"01143344200")</f>
        <v>01143344200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 t="str">
        <f ca="1">IFERROR(__xludf.DUMMYFUNCTION("""COMPUTED_VALUE"""),"فاطمة دهب")</f>
        <v>فاطمة دهب</v>
      </c>
      <c r="B276" s="2">
        <f ca="1">IFERROR(__xludf.DUMMYFUNCTION("""COMPUTED_VALUE"""),586103986059)</f>
        <v>586103986059</v>
      </c>
      <c r="C276" s="2" t="str">
        <f ca="1">IFERROR(__xludf.DUMMYFUNCTION("""COMPUTED_VALUE"""),"فاطمة دهب")</f>
        <v>فاطمة دهب</v>
      </c>
      <c r="D276" s="4" t="str">
        <f ca="1">IFERROR(__xludf.DUMMYFUNCTION("""COMPUTED_VALUE"""),"2218")</f>
        <v>2218</v>
      </c>
      <c r="E276" s="2" t="str">
        <f ca="1">IFERROR(__xludf.DUMMYFUNCTION("""COMPUTED_VALUE"""),"EG07-EG08-EG9-EG10-EG11")</f>
        <v>EG07-EG08-EG9-EG10-EG11</v>
      </c>
      <c r="F276" s="2" t="str">
        <f ca="1">IFERROR(__xludf.DUMMYFUNCTION("""COMPUTED_VALUE"""),"fatmadahab55@gmail.com")</f>
        <v>fatmadahab55@gmail.com</v>
      </c>
      <c r="G276" s="2" t="str">
        <f ca="1">IFERROR(__xludf.DUMMYFUNCTION("""COMPUTED_VALUE"""),"01147619592")</f>
        <v>01147619592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 t="str">
        <f ca="1">IFERROR(__xludf.DUMMYFUNCTION("""COMPUTED_VALUE"""),"أسماء محمود")</f>
        <v>أسماء محمود</v>
      </c>
      <c r="B277" s="2">
        <f ca="1">IFERROR(__xludf.DUMMYFUNCTION("""COMPUTED_VALUE"""),952162913989)</f>
        <v>952162913989</v>
      </c>
      <c r="C277" s="2" t="str">
        <f ca="1">IFERROR(__xludf.DUMMYFUNCTION("""COMPUTED_VALUE"""),"أسماء محمود")</f>
        <v>أسماء محمود</v>
      </c>
      <c r="D277" s="4">
        <f ca="1">IFERROR(__xludf.DUMMYFUNCTION("""COMPUTED_VALUE"""),2223)</f>
        <v>2223</v>
      </c>
      <c r="E277" s="2" t="str">
        <f ca="1">IFERROR(__xludf.DUMMYFUNCTION("""COMPUTED_VALUE"""),"EG04-EG05-EG06-EG07-EG08")</f>
        <v>EG04-EG05-EG06-EG07-EG08</v>
      </c>
      <c r="F277" s="2" t="str">
        <f ca="1">IFERROR(__xludf.DUMMYFUNCTION("""COMPUTED_VALUE"""),"asmmasalim22@gmail.com")</f>
        <v>asmmasalim22@gmail.com</v>
      </c>
      <c r="G277" s="2" t="str">
        <f ca="1">IFERROR(__xludf.DUMMYFUNCTION("""COMPUTED_VALUE"""),"01033304652")</f>
        <v>01033304652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 t="str">
        <f ca="1">IFERROR(__xludf.DUMMYFUNCTION("""COMPUTED_VALUE"""),"محمد هدية")</f>
        <v>محمد هدية</v>
      </c>
      <c r="B278" s="2">
        <f ca="1">IFERROR(__xludf.DUMMYFUNCTION("""COMPUTED_VALUE"""),316181624372)</f>
        <v>316181624372</v>
      </c>
      <c r="C278" s="2" t="str">
        <f ca="1">IFERROR(__xludf.DUMMYFUNCTION("""COMPUTED_VALUE"""),"محمد هدية")</f>
        <v>محمد هدية</v>
      </c>
      <c r="D278" s="4" t="str">
        <f ca="1">IFERROR(__xludf.DUMMYFUNCTION("""COMPUTED_VALUE"""),"1734")</f>
        <v>1734</v>
      </c>
      <c r="E278" s="2" t="str">
        <f ca="1">IFERROR(__xludf.DUMMYFUNCTION("""COMPUTED_VALUE"""),"EG07-EG08-EG09")</f>
        <v>EG07-EG08-EG09</v>
      </c>
      <c r="F278" s="2" t="str">
        <f ca="1">IFERROR(__xludf.DUMMYFUNCTION("""COMPUTED_VALUE"""),"mohamed291284@gmail.com")</f>
        <v>mohamed291284@gmail.com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 t="str">
        <f ca="1">IFERROR(__xludf.DUMMYFUNCTION("""COMPUTED_VALUE"""),"ريهام مصطفى")</f>
        <v>ريهام مصطفى</v>
      </c>
      <c r="B279" s="2">
        <f ca="1">IFERROR(__xludf.DUMMYFUNCTION("""COMPUTED_VALUE"""),754121315321)</f>
        <v>754121315321</v>
      </c>
      <c r="C279" s="2" t="str">
        <f ca="1">IFERROR(__xludf.DUMMYFUNCTION("""COMPUTED_VALUE"""),"ريهام مصطفى")</f>
        <v>ريهام مصطفى</v>
      </c>
      <c r="D279" s="4">
        <f ca="1">IFERROR(__xludf.DUMMYFUNCTION("""COMPUTED_VALUE"""),2222)</f>
        <v>2222</v>
      </c>
      <c r="E279" s="2" t="str">
        <f ca="1">IFERROR(__xludf.DUMMYFUNCTION("""COMPUTED_VALUE"""),"EG04-EG05-EG06")</f>
        <v>EG04-EG05-EG06</v>
      </c>
      <c r="F279" s="2" t="str">
        <f ca="1">IFERROR(__xludf.DUMMYFUNCTION("""COMPUTED_VALUE"""),"reham_2013@yahoo.com")</f>
        <v>reham_2013@yahoo.com</v>
      </c>
      <c r="G279" s="2" t="str">
        <f ca="1">IFERROR(__xludf.DUMMYFUNCTION("""COMPUTED_VALUE"""),"01152340498")</f>
        <v>01152340498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 t="str">
        <f ca="1">IFERROR(__xludf.DUMMYFUNCTION("""COMPUTED_VALUE"""),"محمود السايح")</f>
        <v>محمود السايح</v>
      </c>
      <c r="B280" s="2">
        <f ca="1">IFERROR(__xludf.DUMMYFUNCTION("""COMPUTED_VALUE"""),850173474604)</f>
        <v>850173474604</v>
      </c>
      <c r="C280" s="2" t="str">
        <f ca="1">IFERROR(__xludf.DUMMYFUNCTION("""COMPUTED_VALUE"""),"محمود السايح")</f>
        <v>محمود السايح</v>
      </c>
      <c r="D280" s="2">
        <f ca="1">IFERROR(__xludf.DUMMYFUNCTION("""COMPUTED_VALUE"""),2235)</f>
        <v>2235</v>
      </c>
      <c r="E280" s="2"/>
      <c r="F280" s="2" t="str">
        <f ca="1">IFERROR(__xludf.DUMMYFUNCTION("""COMPUTED_VALUE"""),"mahmouedalsayh5@gmail.com")</f>
        <v>mahmouedalsayh5@gmail.com</v>
      </c>
      <c r="G280" s="2" t="str">
        <f ca="1">IFERROR(__xludf.DUMMYFUNCTION("""COMPUTED_VALUE"""),"01003104577")</f>
        <v>01003104577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 t="str">
        <f ca="1">IFERROR(__xludf.DUMMYFUNCTION("""COMPUTED_VALUE"""),"رنا عبد الحميد")</f>
        <v>رنا عبد الحميد</v>
      </c>
      <c r="B281" s="2">
        <f ca="1">IFERROR(__xludf.DUMMYFUNCTION("""COMPUTED_VALUE"""),126140183639)</f>
        <v>126140183639</v>
      </c>
      <c r="C281" s="2" t="str">
        <f ca="1">IFERROR(__xludf.DUMMYFUNCTION("""COMPUTED_VALUE"""),"رنا عبد الحميد")</f>
        <v>رنا عبد الحميد</v>
      </c>
      <c r="D281" s="4" t="str">
        <f ca="1">IFERROR(__xludf.DUMMYFUNCTION("""COMPUTED_VALUE"""),"2221")</f>
        <v>2221</v>
      </c>
      <c r="E281" s="2" t="str">
        <f ca="1">IFERROR(__xludf.DUMMYFUNCTION("""COMPUTED_VALUE"""),"EG04-EG05-EG06-EG07-EG08")</f>
        <v>EG04-EG05-EG06-EG07-EG08</v>
      </c>
      <c r="F281" s="2" t="str">
        <f ca="1">IFERROR(__xludf.DUMMYFUNCTION("""COMPUTED_VALUE"""),"mis.rana811@gmail.com")</f>
        <v>mis.rana811@gmail.com</v>
      </c>
      <c r="G281" s="2" t="str">
        <f ca="1">IFERROR(__xludf.DUMMYFUNCTION("""COMPUTED_VALUE"""),"01211401694")</f>
        <v>01211401694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 t="str">
        <f ca="1">IFERROR(__xludf.DUMMYFUNCTION("""COMPUTED_VALUE"""),"نورهان صادق")</f>
        <v>نورهان صادق</v>
      </c>
      <c r="B282" s="2">
        <f ca="1">IFERROR(__xludf.DUMMYFUNCTION("""COMPUTED_VALUE"""),980129038038)</f>
        <v>980129038038</v>
      </c>
      <c r="C282" s="2" t="str">
        <f ca="1">IFERROR(__xludf.DUMMYFUNCTION("""COMPUTED_VALUE"""),"نورهان صادق")</f>
        <v>نورهان صادق</v>
      </c>
      <c r="D282" s="2">
        <f ca="1">IFERROR(__xludf.DUMMYFUNCTION("""COMPUTED_VALUE"""),2238)</f>
        <v>2238</v>
      </c>
      <c r="E282" s="2" t="str">
        <f ca="1">IFERROR(__xludf.DUMMYFUNCTION("""COMPUTED_VALUE"""),"EG04-EG05-EG06")</f>
        <v>EG04-EG05-EG06</v>
      </c>
      <c r="F282" s="2" t="str">
        <f ca="1">IFERROR(__xludf.DUMMYFUNCTION("""COMPUTED_VALUE"""),"noursadek219@gmail.com")</f>
        <v>noursadek219@gmail.com</v>
      </c>
      <c r="G282" s="2" t="str">
        <f ca="1">IFERROR(__xludf.DUMMYFUNCTION("""COMPUTED_VALUE"""),"01200935348")</f>
        <v>01200935348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 t="str">
        <f ca="1">IFERROR(__xludf.DUMMYFUNCTION("""COMPUTED_VALUE"""),"محمد الصاوي")</f>
        <v>محمد الصاوي</v>
      </c>
      <c r="B283" s="2">
        <f ca="1">IFERROR(__xludf.DUMMYFUNCTION("""COMPUTED_VALUE"""),602141491647)</f>
        <v>602141491647</v>
      </c>
      <c r="C283" s="2" t="str">
        <f ca="1">IFERROR(__xludf.DUMMYFUNCTION("""COMPUTED_VALUE"""),"محمد الصاوي")</f>
        <v>محمد الصاوي</v>
      </c>
      <c r="D283" s="2">
        <f ca="1">IFERROR(__xludf.DUMMYFUNCTION("""COMPUTED_VALUE"""),2237)</f>
        <v>2237</v>
      </c>
      <c r="E283" s="2" t="str">
        <f ca="1">IFERROR(__xludf.DUMMYFUNCTION("""COMPUTED_VALUE"""),"EG10-EG11-G12")</f>
        <v>EG10-EG11-G12</v>
      </c>
      <c r="F283" s="2" t="str">
        <f ca="1">IFERROR(__xludf.DUMMYFUNCTION("""COMPUTED_VALUE"""),"moelsawy251@gmail.com")</f>
        <v>moelsawy251@gmail.com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 t="str">
        <f ca="1">IFERROR(__xludf.DUMMYFUNCTION("""COMPUTED_VALUE"""),"دينا سليمان")</f>
        <v>دينا سليمان</v>
      </c>
      <c r="B284" s="2">
        <f ca="1">IFERROR(__xludf.DUMMYFUNCTION("""COMPUTED_VALUE"""),932148693706)</f>
        <v>932148693706</v>
      </c>
      <c r="C284" s="2" t="str">
        <f ca="1">IFERROR(__xludf.DUMMYFUNCTION("""COMPUTED_VALUE"""),"دينا سليمان")</f>
        <v>دينا سليمان</v>
      </c>
      <c r="D284" s="2">
        <f ca="1">IFERROR(__xludf.DUMMYFUNCTION("""COMPUTED_VALUE"""),2233)</f>
        <v>2233</v>
      </c>
      <c r="E284" s="2" t="str">
        <f ca="1">IFERROR(__xludf.DUMMYFUNCTION("""COMPUTED_VALUE"""),"Science: EG04-EG05-EG06
العلوم: EG07-EG08-EG09-
الأحياء: G11-G12")</f>
        <v>Science: EG04-EG05-EG06
العلوم: EG07-EG08-EG09-
الأحياء: G11-G12</v>
      </c>
      <c r="F284" s="2" t="str">
        <f ca="1">IFERROR(__xludf.DUMMYFUNCTION("""COMPUTED_VALUE"""),"doddaheart2003@gmail.com")</f>
        <v>doddaheart2003@gmail.com</v>
      </c>
      <c r="G284" s="2" t="str">
        <f ca="1">IFERROR(__xludf.DUMMYFUNCTION("""COMPUTED_VALUE"""),"0111105994")</f>
        <v>0111105994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 t="str">
        <f ca="1">IFERROR(__xludf.DUMMYFUNCTION("""COMPUTED_VALUE"""),"الشيماء جمال")</f>
        <v>الشيماء جمال</v>
      </c>
      <c r="B285" s="2">
        <f ca="1">IFERROR(__xludf.DUMMYFUNCTION("""COMPUTED_VALUE"""),572181296785)</f>
        <v>572181296785</v>
      </c>
      <c r="C285" s="2" t="str">
        <f ca="1">IFERROR(__xludf.DUMMYFUNCTION("""COMPUTED_VALUE"""),"الشيماء جمال")</f>
        <v>الشيماء جمال</v>
      </c>
      <c r="D285" s="4" t="str">
        <f ca="1">IFERROR(__xludf.DUMMYFUNCTION("""COMPUTED_VALUE"""),"2240")</f>
        <v>2240</v>
      </c>
      <c r="E285" s="2"/>
      <c r="F285" s="2" t="str">
        <f ca="1">IFERROR(__xludf.DUMMYFUNCTION("""COMPUTED_VALUE"""),"alshaimaag062@gmail.com")</f>
        <v>alshaimaag062@gmail.com</v>
      </c>
      <c r="G285" s="2" t="str">
        <f ca="1">IFERROR(__xludf.DUMMYFUNCTION("""COMPUTED_VALUE"""),"01094815086")</f>
        <v>01094815086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 t="str">
        <f ca="1">IFERROR(__xludf.DUMMYFUNCTION("""COMPUTED_VALUE"""),"إسراء مرسي")</f>
        <v>إسراء مرسي</v>
      </c>
      <c r="B286" s="2">
        <f ca="1">IFERROR(__xludf.DUMMYFUNCTION("""COMPUTED_VALUE"""),943182573596)</f>
        <v>943182573596</v>
      </c>
      <c r="C286" s="2" t="str">
        <f ca="1">IFERROR(__xludf.DUMMYFUNCTION("""COMPUTED_VALUE"""),"إسراء مرسي")</f>
        <v>إسراء مرسي</v>
      </c>
      <c r="D286" s="2" t="str">
        <f ca="1">IFERROR(__xludf.DUMMYFUNCTION("""COMPUTED_VALUE"""),"#N/A")</f>
        <v>#N/A</v>
      </c>
      <c r="E286" s="2"/>
      <c r="F286" s="2" t="str">
        <f ca="1">IFERROR(__xludf.DUMMYFUNCTION("""COMPUTED_VALUE"""),"esraamorsy78@gmail.com")</f>
        <v>esraamorsy78@gmail.com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 t="str">
        <f ca="1">IFERROR(__xludf.DUMMYFUNCTION("""COMPUTED_VALUE"""),"أسماء أشرف")</f>
        <v>أسماء أشرف</v>
      </c>
      <c r="B287" s="2">
        <f ca="1">IFERROR(__xludf.DUMMYFUNCTION("""COMPUTED_VALUE"""),363152838573)</f>
        <v>363152838573</v>
      </c>
      <c r="C287" s="2" t="str">
        <f ca="1">IFERROR(__xludf.DUMMYFUNCTION("""COMPUTED_VALUE"""),"أسماء أشرف")</f>
        <v>أسماء أشرف</v>
      </c>
      <c r="D287" s="4" t="str">
        <f ca="1">IFERROR(__xludf.DUMMYFUNCTION("""COMPUTED_VALUE"""),"2310")</f>
        <v>2310</v>
      </c>
      <c r="E287" s="2"/>
      <c r="F287" s="2" t="str">
        <f ca="1">IFERROR(__xludf.DUMMYFUNCTION("""COMPUTED_VALUE"""),"asmaaashraf.aa@gmail.com")</f>
        <v>asmaaashraf.aa@gmail.com</v>
      </c>
      <c r="G287" s="2" t="str">
        <f ca="1">IFERROR(__xludf.DUMMYFUNCTION("""COMPUTED_VALUE"""),"01015511375")</f>
        <v>01015511375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 t="str">
        <f ca="1">IFERROR(__xludf.DUMMYFUNCTION("""COMPUTED_VALUE"""),"فاطمة حمدي")</f>
        <v>فاطمة حمدي</v>
      </c>
      <c r="B288" s="2">
        <f ca="1">IFERROR(__xludf.DUMMYFUNCTION("""COMPUTED_VALUE"""),560197507192)</f>
        <v>560197507192</v>
      </c>
      <c r="C288" s="2" t="str">
        <f ca="1">IFERROR(__xludf.DUMMYFUNCTION("""COMPUTED_VALUE"""),"فاطمة حمدي")</f>
        <v>فاطمة حمدي</v>
      </c>
      <c r="D288" s="4" t="str">
        <f ca="1">IFERROR(__xludf.DUMMYFUNCTION("""COMPUTED_VALUE"""),"2245")</f>
        <v>2245</v>
      </c>
      <c r="E288" s="2"/>
      <c r="F288" s="2" t="str">
        <f ca="1">IFERROR(__xludf.DUMMYFUNCTION("""COMPUTED_VALUE"""),"samarhamdy793@gmail.com")</f>
        <v>samarhamdy793@gmail.com</v>
      </c>
      <c r="G288" s="2" t="str">
        <f ca="1">IFERROR(__xludf.DUMMYFUNCTION("""COMPUTED_VALUE"""),"01204852813")</f>
        <v>01204852813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 t="str">
        <f ca="1">IFERROR(__xludf.DUMMYFUNCTION("""COMPUTED_VALUE"""),"سارة عثمان")</f>
        <v>سارة عثمان</v>
      </c>
      <c r="B289" s="2">
        <f ca="1">IFERROR(__xludf.DUMMYFUNCTION("""COMPUTED_VALUE"""),427179795127)</f>
        <v>427179795127</v>
      </c>
      <c r="C289" s="2" t="str">
        <f ca="1">IFERROR(__xludf.DUMMYFUNCTION("""COMPUTED_VALUE"""),"سارة عثمان")</f>
        <v>سارة عثمان</v>
      </c>
      <c r="D289" s="4" t="str">
        <f ca="1">IFERROR(__xludf.DUMMYFUNCTION("""COMPUTED_VALUE"""),"2248")</f>
        <v>2248</v>
      </c>
      <c r="E289" s="2"/>
      <c r="F289" s="2" t="str">
        <f ca="1">IFERROR(__xludf.DUMMYFUNCTION("""COMPUTED_VALUE"""),"sa.othman8@gmail.com")</f>
        <v>sa.othman8@gmail.com</v>
      </c>
      <c r="G289" s="2" t="str">
        <f ca="1">IFERROR(__xludf.DUMMYFUNCTION("""COMPUTED_VALUE"""),"01022637927")</f>
        <v>01022637927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 t="str">
        <f ca="1">IFERROR(__xludf.DUMMYFUNCTION("""COMPUTED_VALUE"""),"مروة عبد الشافي")</f>
        <v>مروة عبد الشافي</v>
      </c>
      <c r="B290" s="2">
        <f ca="1">IFERROR(__xludf.DUMMYFUNCTION("""COMPUTED_VALUE"""),797175802139)</f>
        <v>797175802139</v>
      </c>
      <c r="C290" s="2" t="str">
        <f ca="1">IFERROR(__xludf.DUMMYFUNCTION("""COMPUTED_VALUE"""),"مروة عبد الشافي")</f>
        <v>مروة عبد الشافي</v>
      </c>
      <c r="D290" s="4" t="str">
        <f ca="1">IFERROR(__xludf.DUMMYFUNCTION("""COMPUTED_VALUE"""),"2266")</f>
        <v>2266</v>
      </c>
      <c r="E290" s="2"/>
      <c r="F290" s="2" t="str">
        <f ca="1">IFERROR(__xludf.DUMMYFUNCTION("""COMPUTED_VALUE"""),"marmar.elmahdy@gmail.com")</f>
        <v>marmar.elmahdy@gmail.com</v>
      </c>
      <c r="G290" s="2" t="str">
        <f ca="1">IFERROR(__xludf.DUMMYFUNCTION("""COMPUTED_VALUE"""),"01061732805-01289867044")</f>
        <v>01061732805-01289867044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 t="str">
        <f ca="1">IFERROR(__xludf.DUMMYFUNCTION("""COMPUTED_VALUE"""),"ياسمين محروس")</f>
        <v>ياسمين محروس</v>
      </c>
      <c r="B291" s="2">
        <f ca="1">IFERROR(__xludf.DUMMYFUNCTION("""COMPUTED_VALUE"""),387193739376)</f>
        <v>387193739376</v>
      </c>
      <c r="C291" s="2" t="str">
        <f ca="1">IFERROR(__xludf.DUMMYFUNCTION("""COMPUTED_VALUE"""),"ياسمين محروس")</f>
        <v>ياسمين محروس</v>
      </c>
      <c r="D291" s="4" t="str">
        <f ca="1">IFERROR(__xludf.DUMMYFUNCTION("""COMPUTED_VALUE"""),"2246")</f>
        <v>2246</v>
      </c>
      <c r="E291" s="2" t="str">
        <f ca="1">IFERROR(__xludf.DUMMYFUNCTION("""COMPUTED_VALUE"""),"EG01-EG02-EG03-EG04-EG05-EG06-")</f>
        <v>EG01-EG02-EG03-EG04-EG05-EG06-</v>
      </c>
      <c r="F291" s="2" t="str">
        <f ca="1">IFERROR(__xludf.DUMMYFUNCTION("""COMPUTED_VALUE"""),"yoyotamer2345@gmail.com")</f>
        <v>yoyotamer2345@gmail.com</v>
      </c>
      <c r="G291" s="2" t="str">
        <f ca="1">IFERROR(__xludf.DUMMYFUNCTION("""COMPUTED_VALUE"""),"01114556924")</f>
        <v>01114556924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 t="str">
        <f ca="1">IFERROR(__xludf.DUMMYFUNCTION("""COMPUTED_VALUE"""),"حسام أحمد")</f>
        <v>حسام أحمد</v>
      </c>
      <c r="B292" s="2">
        <f ca="1">IFERROR(__xludf.DUMMYFUNCTION("""COMPUTED_VALUE"""),480107524608)</f>
        <v>480107524608</v>
      </c>
      <c r="C292" s="2" t="str">
        <f ca="1">IFERROR(__xludf.DUMMYFUNCTION("""COMPUTED_VALUE"""),"حسام أحمد")</f>
        <v>حسام أحمد</v>
      </c>
      <c r="D292" s="4" t="str">
        <f ca="1">IFERROR(__xludf.DUMMYFUNCTION("""COMPUTED_VALUE"""),"2214")</f>
        <v>2214</v>
      </c>
      <c r="E292" s="2" t="str">
        <f ca="1">IFERROR(__xludf.DUMMYFUNCTION("""COMPUTED_VALUE"""),"EG04-EG05-EG06-EG07")</f>
        <v>EG04-EG05-EG06-EG07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 t="str">
        <f ca="1">IFERROR(__xludf.DUMMYFUNCTION("""COMPUTED_VALUE"""),"مها عبد الله")</f>
        <v>مها عبد الله</v>
      </c>
      <c r="B293" s="2">
        <f ca="1">IFERROR(__xludf.DUMMYFUNCTION("""COMPUTED_VALUE"""),865121843486)</f>
        <v>865121843486</v>
      </c>
      <c r="C293" s="2" t="str">
        <f ca="1">IFERROR(__xludf.DUMMYFUNCTION("""COMPUTED_VALUE"""),"مها عبد الله")</f>
        <v>مها عبد الله</v>
      </c>
      <c r="D293" s="4" t="str">
        <f ca="1">IFERROR(__xludf.DUMMYFUNCTION("""COMPUTED_VALUE"""),"2244")</f>
        <v>2244</v>
      </c>
      <c r="E293" s="2"/>
      <c r="F293" s="2" t="str">
        <f ca="1">IFERROR(__xludf.DUMMYFUNCTION("""COMPUTED_VALUE"""),"mahahimony@gmail.com")</f>
        <v>mahahimony@gmail.com</v>
      </c>
      <c r="G293" s="2" t="str">
        <f ca="1">IFERROR(__xludf.DUMMYFUNCTION("""COMPUTED_VALUE"""),"01156615561")</f>
        <v>01156615561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 t="str">
        <f ca="1">IFERROR(__xludf.DUMMYFUNCTION("""COMPUTED_VALUE"""),"طارق سمير")</f>
        <v>طارق سمير</v>
      </c>
      <c r="B294" s="2">
        <f ca="1">IFERROR(__xludf.DUMMYFUNCTION("""COMPUTED_VALUE"""),814163407679)</f>
        <v>814163407679</v>
      </c>
      <c r="C294" s="2" t="str">
        <f ca="1">IFERROR(__xludf.DUMMYFUNCTION("""COMPUTED_VALUE"""),"طارق سمير")</f>
        <v>طارق سمير</v>
      </c>
      <c r="D294" s="4">
        <f ca="1">IFERROR(__xludf.DUMMYFUNCTION("""COMPUTED_VALUE"""),2216)</f>
        <v>2216</v>
      </c>
      <c r="E294" s="2"/>
      <c r="F294" s="2" t="str">
        <f ca="1">IFERROR(__xludf.DUMMYFUNCTION("""COMPUTED_VALUE"""),"tarektoty101@gmail.com")</f>
        <v>tarektoty101@gmail.com</v>
      </c>
      <c r="G294" s="2" t="str">
        <f ca="1">IFERROR(__xludf.DUMMYFUNCTION("""COMPUTED_VALUE"""),"01145921925 - 01557287290")</f>
        <v>01145921925 - 01557287290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 t="str">
        <f ca="1">IFERROR(__xludf.DUMMYFUNCTION("""COMPUTED_VALUE"""),"بشرى عاطف")</f>
        <v>بشرى عاطف</v>
      </c>
      <c r="B295" s="2">
        <f ca="1">IFERROR(__xludf.DUMMYFUNCTION("""COMPUTED_VALUE"""),654103435717)</f>
        <v>654103435717</v>
      </c>
      <c r="C295" s="2" t="str">
        <f ca="1">IFERROR(__xludf.DUMMYFUNCTION("""COMPUTED_VALUE"""),"بشرى عاطف")</f>
        <v>بشرى عاطف</v>
      </c>
      <c r="D295" s="4" t="str">
        <f ca="1">IFERROR(__xludf.DUMMYFUNCTION("""COMPUTED_VALUE"""),"2247")</f>
        <v>2247</v>
      </c>
      <c r="E295" s="2" t="str">
        <f ca="1">IFERROR(__xludf.DUMMYFUNCTION("""COMPUTED_VALUE"""),"EG04-EG05-EG06-EG07-EG08")</f>
        <v>EG04-EG05-EG06-EG07-EG08</v>
      </c>
      <c r="F295" s="2" t="str">
        <f ca="1">IFERROR(__xludf.DUMMYFUNCTION("""COMPUTED_VALUE"""),"bushra0atif@gmail.com")</f>
        <v>bushra0atif@gmail.com</v>
      </c>
      <c r="G295" s="2" t="str">
        <f ca="1">IFERROR(__xludf.DUMMYFUNCTION("""COMPUTED_VALUE"""),"01125625432")</f>
        <v>01125625432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 t="str">
        <f ca="1">IFERROR(__xludf.DUMMYFUNCTION("""COMPUTED_VALUE"""),"بولس جرجس")</f>
        <v>بولس جرجس</v>
      </c>
      <c r="B296" s="2">
        <f ca="1">IFERROR(__xludf.DUMMYFUNCTION("""COMPUTED_VALUE"""),138131034206)</f>
        <v>138131034206</v>
      </c>
      <c r="C296" s="2" t="str">
        <f ca="1">IFERROR(__xludf.DUMMYFUNCTION("""COMPUTED_VALUE"""),"بولس جرجس")</f>
        <v>بولس جرجس</v>
      </c>
      <c r="D296" s="4">
        <f ca="1">IFERROR(__xludf.DUMMYFUNCTION("""COMPUTED_VALUE"""),2231)</f>
        <v>2231</v>
      </c>
      <c r="E296" s="2" t="str">
        <f ca="1">IFERROR(__xludf.DUMMYFUNCTION("""COMPUTED_VALUE"""),"EG10-EG11-G12")</f>
        <v>EG10-EG11-G12</v>
      </c>
      <c r="F296" s="2" t="str">
        <f ca="1">IFERROR(__xludf.DUMMYFUNCTION("""COMPUTED_VALUE"""),"paologeorge369@gmail.com")</f>
        <v>paologeorge369@gmail.com</v>
      </c>
      <c r="G296" s="2" t="str">
        <f ca="1">IFERROR(__xludf.DUMMYFUNCTION("""COMPUTED_VALUE"""),"01225258456")</f>
        <v>01225258456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 t="str">
        <f ca="1">IFERROR(__xludf.DUMMYFUNCTION("""COMPUTED_VALUE"""),"تامر فاضل")</f>
        <v>تامر فاضل</v>
      </c>
      <c r="B297" s="2">
        <f ca="1">IFERROR(__xludf.DUMMYFUNCTION("""COMPUTED_VALUE"""),360178214932)</f>
        <v>360178214932</v>
      </c>
      <c r="C297" s="2" t="str">
        <f ca="1">IFERROR(__xludf.DUMMYFUNCTION("""COMPUTED_VALUE"""),"تامر فاضل")</f>
        <v>تامر فاضل</v>
      </c>
      <c r="D297" s="4" t="str">
        <f ca="1">IFERROR(__xludf.DUMMYFUNCTION("""COMPUTED_VALUE"""),"2249")</f>
        <v>2249</v>
      </c>
      <c r="E297" s="2" t="str">
        <f ca="1">IFERROR(__xludf.DUMMYFUNCTION("""COMPUTED_VALUE"""),"EG04-EG05-EG06-EG07-EG08-EG09")</f>
        <v>EG04-EG05-EG06-EG07-EG08-EG09</v>
      </c>
      <c r="F297" s="2" t="str">
        <f ca="1">IFERROR(__xludf.DUMMYFUNCTION("""COMPUTED_VALUE"""),"tamermfadel@gmail.com")</f>
        <v>tamermfadel@gmail.com</v>
      </c>
      <c r="G297" s="2" t="str">
        <f ca="1">IFERROR(__xludf.DUMMYFUNCTION("""COMPUTED_VALUE"""),"01220629701")</f>
        <v>01220629701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 t="str">
        <f ca="1">IFERROR(__xludf.DUMMYFUNCTION("""COMPUTED_VALUE"""),"آمال حجازي")</f>
        <v>آمال حجازي</v>
      </c>
      <c r="B298" s="2">
        <f ca="1">IFERROR(__xludf.DUMMYFUNCTION("""COMPUTED_VALUE"""),485105671631)</f>
        <v>485105671631</v>
      </c>
      <c r="C298" s="2" t="str">
        <f ca="1">IFERROR(__xludf.DUMMYFUNCTION("""COMPUTED_VALUE"""),"آمال حجازي")</f>
        <v>آمال حجازي</v>
      </c>
      <c r="D298" s="2" t="str">
        <f ca="1">IFERROR(__xludf.DUMMYFUNCTION("""COMPUTED_VALUE"""),"2243")</f>
        <v>2243</v>
      </c>
      <c r="E298" s="2" t="str">
        <f ca="1">IFERROR(__xludf.DUMMYFUNCTION("""COMPUTED_VALUE"""),"EG10-EG11")</f>
        <v>EG10-EG11</v>
      </c>
      <c r="F298" s="2" t="str">
        <f ca="1">IFERROR(__xludf.DUMMYFUNCTION("""COMPUTED_VALUE"""),"amalhegazy1628@gmail.com")</f>
        <v>amalhegazy1628@gmail.com</v>
      </c>
      <c r="G298" s="2" t="str">
        <f ca="1">IFERROR(__xludf.DUMMYFUNCTION("""COMPUTED_VALUE"""),"01142006904")</f>
        <v>01142006904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 t="str">
        <f ca="1">IFERROR(__xludf.DUMMYFUNCTION("""COMPUTED_VALUE"""),"إسراء أحمد")</f>
        <v>إسراء أحمد</v>
      </c>
      <c r="B299" s="2">
        <f ca="1">IFERROR(__xludf.DUMMYFUNCTION("""COMPUTED_VALUE"""),493126089393)</f>
        <v>493126089393</v>
      </c>
      <c r="C299" s="2" t="str">
        <f ca="1">IFERROR(__xludf.DUMMYFUNCTION("""COMPUTED_VALUE"""),"إسراء أحمد")</f>
        <v>إسراء أحمد</v>
      </c>
      <c r="D299" s="4" t="str">
        <f ca="1">IFERROR(__xludf.DUMMYFUNCTION("""COMPUTED_VALUE"""),"2230")</f>
        <v>2230</v>
      </c>
      <c r="E299" s="2"/>
      <c r="F299" s="2" t="str">
        <f ca="1">IFERROR(__xludf.DUMMYFUNCTION("""COMPUTED_VALUE"""),"ei8933954@gmail.com")</f>
        <v>ei8933954@gmail.com</v>
      </c>
      <c r="G299" s="2" t="str">
        <f ca="1">IFERROR(__xludf.DUMMYFUNCTION("""COMPUTED_VALUE"""),"01202150818")</f>
        <v>01202150818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 t="str">
        <f ca="1">IFERROR(__xludf.DUMMYFUNCTION("""COMPUTED_VALUE"""),"سارة دهشان")</f>
        <v>سارة دهشان</v>
      </c>
      <c r="B300" s="2">
        <f ca="1">IFERROR(__xludf.DUMMYFUNCTION("""COMPUTED_VALUE"""),963108518023)</f>
        <v>963108518023</v>
      </c>
      <c r="C300" s="2" t="str">
        <f ca="1">IFERROR(__xludf.DUMMYFUNCTION("""COMPUTED_VALUE"""),"سارة دهشان")</f>
        <v>سارة دهشان</v>
      </c>
      <c r="D300" s="2" t="str">
        <f ca="1">IFERROR(__xludf.DUMMYFUNCTION("""COMPUTED_VALUE"""),"#N/A")</f>
        <v>#N/A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 t="str">
        <f ca="1">IFERROR(__xludf.DUMMYFUNCTION("""COMPUTED_VALUE"""),"مصطفى عطا الله")</f>
        <v>مصطفى عطا الله</v>
      </c>
      <c r="B301" s="2">
        <f ca="1">IFERROR(__xludf.DUMMYFUNCTION("""COMPUTED_VALUE"""),679176560982)</f>
        <v>679176560982</v>
      </c>
      <c r="C301" s="2" t="str">
        <f ca="1">IFERROR(__xludf.DUMMYFUNCTION("""COMPUTED_VALUE"""),"مصطفى عطا الله")</f>
        <v>مصطفى عطا الله</v>
      </c>
      <c r="D301" s="2">
        <f ca="1">IFERROR(__xludf.DUMMYFUNCTION("""COMPUTED_VALUE"""),2251)</f>
        <v>2251</v>
      </c>
      <c r="E301" s="2" t="str">
        <f ca="1">IFERROR(__xludf.DUMMYFUNCTION("""COMPUTED_VALUE"""),"EG04-EG05-EG06-EG07")</f>
        <v>EG04-EG05-EG06-EG07</v>
      </c>
      <c r="F301" s="2" t="str">
        <f ca="1">IFERROR(__xludf.DUMMYFUNCTION("""COMPUTED_VALUE"""),"mostafa.raafat.mr@gmail.com")</f>
        <v>mostafa.raafat.mr@gmail.com</v>
      </c>
      <c r="G301" s="2" t="str">
        <f ca="1">IFERROR(__xludf.DUMMYFUNCTION("""COMPUTED_VALUE"""),"01127246518")</f>
        <v>01127246518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 t="str">
        <f ca="1">IFERROR(__xludf.DUMMYFUNCTION("""COMPUTED_VALUE"""),"سلمى محمود")</f>
        <v>سلمى محمود</v>
      </c>
      <c r="B302" s="2">
        <f ca="1">IFERROR(__xludf.DUMMYFUNCTION("""COMPUTED_VALUE"""),279185808176)</f>
        <v>279185808176</v>
      </c>
      <c r="C302" s="2" t="str">
        <f ca="1">IFERROR(__xludf.DUMMYFUNCTION("""COMPUTED_VALUE"""),"سلمى محمود")</f>
        <v>سلمى محمود</v>
      </c>
      <c r="D302" s="4" t="str">
        <f ca="1">IFERROR(__xludf.DUMMYFUNCTION("""COMPUTED_VALUE"""),"2239")</f>
        <v>2239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 t="str">
        <f ca="1">IFERROR(__xludf.DUMMYFUNCTION("""COMPUTED_VALUE"""),"إيمان شاكر")</f>
        <v>إيمان شاكر</v>
      </c>
      <c r="B303" s="2">
        <f ca="1">IFERROR(__xludf.DUMMYFUNCTION("""COMPUTED_VALUE"""),486125208283)</f>
        <v>486125208283</v>
      </c>
      <c r="C303" s="2" t="str">
        <f ca="1">IFERROR(__xludf.DUMMYFUNCTION("""COMPUTED_VALUE"""),"إيمان شاكر")</f>
        <v>إيمان شاكر</v>
      </c>
      <c r="D303" s="4" t="str">
        <f ca="1">IFERROR(__xludf.DUMMYFUNCTION("""COMPUTED_VALUE"""),"2273")</f>
        <v>2273</v>
      </c>
      <c r="E303" s="2" t="str">
        <f ca="1">IFERROR(__xludf.DUMMYFUNCTION("""COMPUTED_VALUE"""),"EG01-EG02-EG03-EG04-EG05-EG06")</f>
        <v>EG01-EG02-EG03-EG04-EG05-EG06</v>
      </c>
      <c r="F303" s="2" t="str">
        <f ca="1">IFERROR(__xludf.DUMMYFUNCTION("""COMPUTED_VALUE"""),"emanshaker81@gmail.com")</f>
        <v>emanshaker81@gmail.com</v>
      </c>
      <c r="G303" s="2" t="str">
        <f ca="1">IFERROR(__xludf.DUMMYFUNCTION("""COMPUTED_VALUE"""),"0201114924955")</f>
        <v>0201114924955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 t="str">
        <f ca="1">IFERROR(__xludf.DUMMYFUNCTION("""COMPUTED_VALUE"""),"حاتم حسن")</f>
        <v>حاتم حسن</v>
      </c>
      <c r="B304" s="2">
        <f ca="1">IFERROR(__xludf.DUMMYFUNCTION("""COMPUTED_VALUE"""),809176040437)</f>
        <v>809176040437</v>
      </c>
      <c r="C304" s="2" t="str">
        <f ca="1">IFERROR(__xludf.DUMMYFUNCTION("""COMPUTED_VALUE"""),"حاتم حسن")</f>
        <v>حاتم حسن</v>
      </c>
      <c r="D304" s="4" t="str">
        <f ca="1">IFERROR(__xludf.DUMMYFUNCTION("""COMPUTED_VALUE"""),"2288")</f>
        <v>2288</v>
      </c>
      <c r="E304" s="2"/>
      <c r="F304" s="2" t="str">
        <f ca="1">IFERROR(__xludf.DUMMYFUNCTION("""COMPUTED_VALUE"""),"hatem2235h@gmail.com")</f>
        <v>hatem2235h@gmail.com</v>
      </c>
      <c r="G304" s="2" t="str">
        <f ca="1">IFERROR(__xludf.DUMMYFUNCTION("""COMPUTED_VALUE"""),"01030944131")</f>
        <v>01030944131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 t="str">
        <f ca="1">IFERROR(__xludf.DUMMYFUNCTION("""COMPUTED_VALUE"""),"حازم عبد الرحمن")</f>
        <v>حازم عبد الرحمن</v>
      </c>
      <c r="B305" s="2">
        <f ca="1">IFERROR(__xludf.DUMMYFUNCTION("""COMPUTED_VALUE"""),976123902784)</f>
        <v>976123902784</v>
      </c>
      <c r="C305" s="2" t="str">
        <f ca="1">IFERROR(__xludf.DUMMYFUNCTION("""COMPUTED_VALUE"""),"حازم عبد الرحمن")</f>
        <v>حازم عبد الرحمن</v>
      </c>
      <c r="D305" s="4" t="str">
        <f ca="1">IFERROR(__xludf.DUMMYFUNCTION("""COMPUTED_VALUE"""),"2296")</f>
        <v>2296</v>
      </c>
      <c r="E305" s="2"/>
      <c r="F305" s="2" t="str">
        <f ca="1">IFERROR(__xludf.DUMMYFUNCTION("""COMPUTED_VALUE"""),"hazemabdulrahman99@gmail.com")</f>
        <v>hazemabdulrahman99@gmail.com</v>
      </c>
      <c r="G305" s="2" t="str">
        <f ca="1">IFERROR(__xludf.DUMMYFUNCTION("""COMPUTED_VALUE"""),"01126374221")</f>
        <v>01126374221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 t="str">
        <f ca="1">IFERROR(__xludf.DUMMYFUNCTION("""COMPUTED_VALUE"""),"عبد الله جمال")</f>
        <v>عبد الله جمال</v>
      </c>
      <c r="B306" s="2">
        <f ca="1">IFERROR(__xludf.DUMMYFUNCTION("""COMPUTED_VALUE"""),416167232707)</f>
        <v>416167232707</v>
      </c>
      <c r="C306" s="2" t="str">
        <f ca="1">IFERROR(__xludf.DUMMYFUNCTION("""COMPUTED_VALUE"""),"عبد الله جمال")</f>
        <v>عبد الله جمال</v>
      </c>
      <c r="D306" s="4" t="str">
        <f ca="1">IFERROR(__xludf.DUMMYFUNCTION("""COMPUTED_VALUE"""),"2289")</f>
        <v>2289</v>
      </c>
      <c r="E306" s="2"/>
      <c r="F306" s="2" t="str">
        <f ca="1">IFERROR(__xludf.DUMMYFUNCTION("""COMPUTED_VALUE"""),"aabdalgamal@gmail.com")</f>
        <v>aabdalgamal@gmail.com</v>
      </c>
      <c r="G306" s="2" t="str">
        <f ca="1">IFERROR(__xludf.DUMMYFUNCTION("""COMPUTED_VALUE"""),"01033208400")</f>
        <v>01033208400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 t="str">
        <f ca="1">IFERROR(__xludf.DUMMYFUNCTION("""COMPUTED_VALUE"""),"رحمة صلاح")</f>
        <v>رحمة صلاح</v>
      </c>
      <c r="B307" s="2">
        <f ca="1">IFERROR(__xludf.DUMMYFUNCTION("""COMPUTED_VALUE"""),930159109291)</f>
        <v>930159109291</v>
      </c>
      <c r="C307" s="2" t="str">
        <f ca="1">IFERROR(__xludf.DUMMYFUNCTION("""COMPUTED_VALUE"""),"رحمة صلاح")</f>
        <v>رحمة صلاح</v>
      </c>
      <c r="D307" s="4" t="str">
        <f ca="1">IFERROR(__xludf.DUMMYFUNCTION("""COMPUTED_VALUE"""),"2270")</f>
        <v>2270</v>
      </c>
      <c r="E307" s="2"/>
      <c r="F307" s="2" t="str">
        <f ca="1">IFERROR(__xludf.DUMMYFUNCTION("""COMPUTED_VALUE"""),"rahmahamoda59@gmail.com")</f>
        <v>rahmahamoda59@gmail.com</v>
      </c>
      <c r="G307" s="2" t="str">
        <f ca="1">IFERROR(__xludf.DUMMYFUNCTION("""COMPUTED_VALUE"""),"01011416685")</f>
        <v>01011416685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 t="str">
        <f ca="1">IFERROR(__xludf.DUMMYFUNCTION("""COMPUTED_VALUE"""),"دعاء زكريا")</f>
        <v>دعاء زكريا</v>
      </c>
      <c r="B308" s="2">
        <f ca="1">IFERROR(__xludf.DUMMYFUNCTION("""COMPUTED_VALUE"""),689140818514)</f>
        <v>689140818514</v>
      </c>
      <c r="C308" s="2" t="str">
        <f ca="1">IFERROR(__xludf.DUMMYFUNCTION("""COMPUTED_VALUE"""),"دعاء زكريا")</f>
        <v>دعاء زكريا</v>
      </c>
      <c r="D308" s="4" t="str">
        <f ca="1">IFERROR(__xludf.DUMMYFUNCTION("""COMPUTED_VALUE"""),"2278")</f>
        <v>2278</v>
      </c>
      <c r="E308" s="2" t="str">
        <f ca="1">IFERROR(__xludf.DUMMYFUNCTION("""COMPUTED_VALUE"""),"EG01-EG02-EG03-EG04-EG05-EG06")</f>
        <v>EG01-EG02-EG03-EG04-EG05-EG06</v>
      </c>
      <c r="F308" s="2" t="str">
        <f ca="1">IFERROR(__xludf.DUMMYFUNCTION("""COMPUTED_VALUE"""),"douaazika@gmail.com")</f>
        <v>douaazika@gmail.com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 t="str">
        <f ca="1">IFERROR(__xludf.DUMMYFUNCTION("""COMPUTED_VALUE"""),"محمود نجاتي")</f>
        <v>محمود نجاتي</v>
      </c>
      <c r="B309" s="2">
        <f ca="1">IFERROR(__xludf.DUMMYFUNCTION("""COMPUTED_VALUE"""),345151236382)</f>
        <v>345151236382</v>
      </c>
      <c r="C309" s="2" t="str">
        <f ca="1">IFERROR(__xludf.DUMMYFUNCTION("""COMPUTED_VALUE"""),"محمود نجاتي")</f>
        <v>محمود نجاتي</v>
      </c>
      <c r="D309" s="4" t="str">
        <f ca="1">IFERROR(__xludf.DUMMYFUNCTION("""COMPUTED_VALUE"""),"2271")</f>
        <v>2271</v>
      </c>
      <c r="E309" s="2"/>
      <c r="F309" s="2" t="str">
        <f ca="1">IFERROR(__xludf.DUMMYFUNCTION("""COMPUTED_VALUE"""),"smahmoudnagaty@gmail.com")</f>
        <v>smahmoudnagaty@gmail.com</v>
      </c>
      <c r="G309" s="2" t="str">
        <f ca="1">IFERROR(__xludf.DUMMYFUNCTION("""COMPUTED_VALUE"""),"01125927483")</f>
        <v>01125927483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 t="str">
        <f ca="1">IFERROR(__xludf.DUMMYFUNCTION("""COMPUTED_VALUE"""),"خالد فريد")</f>
        <v>خالد فريد</v>
      </c>
      <c r="B310" s="2">
        <f ca="1">IFERROR(__xludf.DUMMYFUNCTION("""COMPUTED_VALUE"""),419198614751)</f>
        <v>419198614751</v>
      </c>
      <c r="C310" s="2" t="str">
        <f ca="1">IFERROR(__xludf.DUMMYFUNCTION("""COMPUTED_VALUE"""),"خالد فريد")</f>
        <v>خالد فريد</v>
      </c>
      <c r="D310" s="4" t="str">
        <f ca="1">IFERROR(__xludf.DUMMYFUNCTION("""COMPUTED_VALUE"""),"2297")</f>
        <v>2297</v>
      </c>
      <c r="E310" s="2"/>
      <c r="F310" s="2" t="str">
        <f ca="1">IFERROR(__xludf.DUMMYFUNCTION("""COMPUTED_VALUE"""),"khaldfareed@gmail.com")</f>
        <v>khaldfareed@gmail.com</v>
      </c>
      <c r="G310" s="2" t="str">
        <f ca="1">IFERROR(__xludf.DUMMYFUNCTION("""COMPUTED_VALUE"""),"01026383650")</f>
        <v>01026383650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 t="str">
        <f ca="1">IFERROR(__xludf.DUMMYFUNCTION("""COMPUTED_VALUE"""),"ندى عبد النبي")</f>
        <v>ندى عبد النبي</v>
      </c>
      <c r="B311" s="2">
        <f ca="1">IFERROR(__xludf.DUMMYFUNCTION("""COMPUTED_VALUE"""),105150134960)</f>
        <v>105150134960</v>
      </c>
      <c r="C311" s="2" t="str">
        <f ca="1">IFERROR(__xludf.DUMMYFUNCTION("""COMPUTED_VALUE"""),"ندى عبد النبي")</f>
        <v>ندى عبد النبي</v>
      </c>
      <c r="D311" s="4">
        <f ca="1">IFERROR(__xludf.DUMMYFUNCTION("""COMPUTED_VALUE"""),2212)</f>
        <v>2212</v>
      </c>
      <c r="E311" s="2" t="str">
        <f ca="1">IFERROR(__xludf.DUMMYFUNCTION("""COMPUTED_VALUE"""),"EG01-EG02-EG03")</f>
        <v>EG01-EG02-EG03</v>
      </c>
      <c r="F311" s="2" t="str">
        <f ca="1">IFERROR(__xludf.DUMMYFUNCTION("""COMPUTED_VALUE"""),"nadalisaid46@gmail.com")</f>
        <v>nadalisaid46@gmail.com</v>
      </c>
      <c r="G311" s="2" t="str">
        <f ca="1">IFERROR(__xludf.DUMMYFUNCTION("""COMPUTED_VALUE"""),"01273190435")</f>
        <v>01273190435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 t="str">
        <f ca="1">IFERROR(__xludf.DUMMYFUNCTION("""COMPUTED_VALUE"""),"آية سري")</f>
        <v>آية سري</v>
      </c>
      <c r="B312" s="2">
        <f ca="1">IFERROR(__xludf.DUMMYFUNCTION("""COMPUTED_VALUE"""),240148989127)</f>
        <v>240148989127</v>
      </c>
      <c r="C312" s="2" t="str">
        <f ca="1">IFERROR(__xludf.DUMMYFUNCTION("""COMPUTED_VALUE"""),"آية سري")</f>
        <v>آية سري</v>
      </c>
      <c r="D312" s="4" t="str">
        <f ca="1">IFERROR(__xludf.DUMMYFUNCTION("""COMPUTED_VALUE"""),"2282")</f>
        <v>2282</v>
      </c>
      <c r="E312" s="2" t="str">
        <f ca="1">IFERROR(__xludf.DUMMYFUNCTION("""COMPUTED_VALUE"""),"EG07-EG08-EG09-EG10")</f>
        <v>EG07-EG08-EG09-EG10</v>
      </c>
      <c r="F312" s="2" t="str">
        <f ca="1">IFERROR(__xludf.DUMMYFUNCTION("""COMPUTED_VALUE"""),"ayaserry@hotmail.com")</f>
        <v>ayaserry@hotmail.com</v>
      </c>
      <c r="G312" s="2" t="str">
        <f ca="1">IFERROR(__xludf.DUMMYFUNCTION("""COMPUTED_VALUE"""),"01033449440")</f>
        <v>01033449440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 t="str">
        <f ca="1">IFERROR(__xludf.DUMMYFUNCTION("""COMPUTED_VALUE"""),"محمود عاصم")</f>
        <v>محمود عاصم</v>
      </c>
      <c r="B313" s="2">
        <f ca="1">IFERROR(__xludf.DUMMYFUNCTION("""COMPUTED_VALUE"""),817125197474)</f>
        <v>817125197474</v>
      </c>
      <c r="C313" s="2" t="str">
        <f ca="1">IFERROR(__xludf.DUMMYFUNCTION("""COMPUTED_VALUE"""),"محمود عاصم")</f>
        <v>محمود عاصم</v>
      </c>
      <c r="D313" s="4" t="str">
        <f ca="1">IFERROR(__xludf.DUMMYFUNCTION("""COMPUTED_VALUE"""),"2281")</f>
        <v>2281</v>
      </c>
      <c r="E313" s="2" t="str">
        <f ca="1">IFERROR(__xludf.DUMMYFUNCTION("""COMPUTED_VALUE"""),"EG07-EG08-EG09")</f>
        <v>EG07-EG08-EG09</v>
      </c>
      <c r="F313" s="2" t="str">
        <f ca="1">IFERROR(__xludf.DUMMYFUNCTION("""COMPUTED_VALUE"""),"mhmodasem@yahoo.com")</f>
        <v>mhmodasem@yahoo.com</v>
      </c>
      <c r="G313" s="2" t="str">
        <f ca="1">IFERROR(__xludf.DUMMYFUNCTION("""COMPUTED_VALUE"""),"01555039810")</f>
        <v>01555039810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 t="str">
        <f ca="1">IFERROR(__xludf.DUMMYFUNCTION("""COMPUTED_VALUE"""),"آية صبحي")</f>
        <v>آية صبحي</v>
      </c>
      <c r="B314" s="2">
        <f ca="1">IFERROR(__xludf.DUMMYFUNCTION("""COMPUTED_VALUE"""),628128564178)</f>
        <v>628128564178</v>
      </c>
      <c r="C314" s="2" t="str">
        <f ca="1">IFERROR(__xludf.DUMMYFUNCTION("""COMPUTED_VALUE"""),"آية صبحي")</f>
        <v>آية صبحي</v>
      </c>
      <c r="D314" s="4" t="str">
        <f ca="1">IFERROR(__xludf.DUMMYFUNCTION("""COMPUTED_VALUE"""),"2290")</f>
        <v>2290</v>
      </c>
      <c r="E314" s="2"/>
      <c r="F314" s="2" t="str">
        <f ca="1">IFERROR(__xludf.DUMMYFUNCTION("""COMPUTED_VALUE"""),"ayasobhy2014@gmail.com")</f>
        <v>ayasobhy2014@gmail.com</v>
      </c>
      <c r="G314" s="2" t="str">
        <f ca="1">IFERROR(__xludf.DUMMYFUNCTION("""COMPUTED_VALUE"""),"01096896433")</f>
        <v>01096896433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 t="str">
        <f ca="1">IFERROR(__xludf.DUMMYFUNCTION("""COMPUTED_VALUE"""),"جورج مجدي")</f>
        <v>جورج مجدي</v>
      </c>
      <c r="B315" s="2">
        <f ca="1">IFERROR(__xludf.DUMMYFUNCTION("""COMPUTED_VALUE"""),126129384181)</f>
        <v>126129384181</v>
      </c>
      <c r="C315" s="2" t="str">
        <f ca="1">IFERROR(__xludf.DUMMYFUNCTION("""COMPUTED_VALUE"""),"جورج مجدي")</f>
        <v>جورج مجدي</v>
      </c>
      <c r="D315" s="4">
        <f ca="1">IFERROR(__xludf.DUMMYFUNCTION("""COMPUTED_VALUE"""),2305)</f>
        <v>2305</v>
      </c>
      <c r="E315" s="2"/>
      <c r="F315" s="2" t="str">
        <f ca="1">IFERROR(__xludf.DUMMYFUNCTION("""COMPUTED_VALUE"""),"georgemagdi.vis@gmail.com")</f>
        <v>georgemagdi.vis@gmail.com</v>
      </c>
      <c r="G315" s="2" t="str">
        <f ca="1">IFERROR(__xludf.DUMMYFUNCTION("""COMPUTED_VALUE"""),"01030904466")</f>
        <v>01030904466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 t="str">
        <f ca="1">IFERROR(__xludf.DUMMYFUNCTION("""COMPUTED_VALUE"""),"مصطفى يوسف")</f>
        <v>مصطفى يوسف</v>
      </c>
      <c r="B316" s="2">
        <f ca="1">IFERROR(__xludf.DUMMYFUNCTION("""COMPUTED_VALUE"""),725137150313)</f>
        <v>725137150313</v>
      </c>
      <c r="C316" s="2" t="str">
        <f ca="1">IFERROR(__xludf.DUMMYFUNCTION("""COMPUTED_VALUE"""),"مصطفى يوسف")</f>
        <v>مصطفى يوسف</v>
      </c>
      <c r="D316" s="2">
        <f ca="1">IFERROR(__xludf.DUMMYFUNCTION("""COMPUTED_VALUE"""),2536)</f>
        <v>2536</v>
      </c>
      <c r="E316" s="2" t="str">
        <f ca="1">IFERROR(__xludf.DUMMYFUNCTION("""COMPUTED_VALUE"""),"EG10-EG11-EG12")</f>
        <v>EG10-EG11-EG12</v>
      </c>
      <c r="F316" s="2" t="str">
        <f ca="1">IFERROR(__xludf.DUMMYFUNCTION("""COMPUTED_VALUE"""),"mr.mostafayousef77@gmail.com")</f>
        <v>mr.mostafayousef77@gmail.com</v>
      </c>
      <c r="G316" s="2" t="str">
        <f ca="1">IFERROR(__xludf.DUMMYFUNCTION("""COMPUTED_VALUE"""),"01007377906")</f>
        <v>01007377906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 t="str">
        <f ca="1">IFERROR(__xludf.DUMMYFUNCTION("""COMPUTED_VALUE"""),"اعتماد واصف")</f>
        <v>اعتماد واصف</v>
      </c>
      <c r="B317" s="2">
        <f ca="1">IFERROR(__xludf.DUMMYFUNCTION("""COMPUTED_VALUE"""),506129791876)</f>
        <v>506129791876</v>
      </c>
      <c r="C317" s="2" t="str">
        <f ca="1">IFERROR(__xludf.DUMMYFUNCTION("""COMPUTED_VALUE"""),"اعتماد واصف")</f>
        <v>اعتماد واصف</v>
      </c>
      <c r="D317" s="4">
        <f ca="1">IFERROR(__xludf.DUMMYFUNCTION("""COMPUTED_VALUE"""),2306)</f>
        <v>2306</v>
      </c>
      <c r="E317" s="2"/>
      <c r="F317" s="2" t="str">
        <f ca="1">IFERROR(__xludf.DUMMYFUNCTION("""COMPUTED_VALUE"""),"etimadwasef.hurg@gmail.com")</f>
        <v>etimadwasef.hurg@gmail.com</v>
      </c>
      <c r="G317" s="2" t="str">
        <f ca="1">IFERROR(__xludf.DUMMYFUNCTION("""COMPUTED_VALUE"""),"01206008424")</f>
        <v>01206008424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 t="str">
        <f ca="1">IFERROR(__xludf.DUMMYFUNCTION("""COMPUTED_VALUE"""),"محمود الخطيب")</f>
        <v>محمود الخطيب</v>
      </c>
      <c r="B318" s="2">
        <f ca="1">IFERROR(__xludf.DUMMYFUNCTION("""COMPUTED_VALUE"""),795196170456)</f>
        <v>795196170456</v>
      </c>
      <c r="C318" s="2" t="str">
        <f ca="1">IFERROR(__xludf.DUMMYFUNCTION("""COMPUTED_VALUE"""),"محمود الخطيب")</f>
        <v>محمود الخطيب</v>
      </c>
      <c r="D318" s="4" t="str">
        <f ca="1">IFERROR(__xludf.DUMMYFUNCTION("""COMPUTED_VALUE"""),"2307")</f>
        <v>2307</v>
      </c>
      <c r="E318" s="2" t="str">
        <f ca="1">IFERROR(__xludf.DUMMYFUNCTION("""COMPUTED_VALUE"""),"EG04-EG05-EG06-EG07")</f>
        <v>EG04-EG05-EG06-EG07</v>
      </c>
      <c r="F318" s="2" t="str">
        <f ca="1">IFERROR(__xludf.DUMMYFUNCTION("""COMPUTED_VALUE"""),"mahmoudkhamees2@gmail.com")</f>
        <v>mahmoudkhamees2@gmail.com</v>
      </c>
      <c r="G318" s="2" t="str">
        <f ca="1">IFERROR(__xludf.DUMMYFUNCTION("""COMPUTED_VALUE"""),"01016063128")</f>
        <v>01016063128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 t="str">
        <f ca="1">IFERROR(__xludf.DUMMYFUNCTION("""COMPUTED_VALUE"""),"سندس إبراهيم")</f>
        <v>سندس إبراهيم</v>
      </c>
      <c r="B319" s="2">
        <f ca="1">IFERROR(__xludf.DUMMYFUNCTION("""COMPUTED_VALUE"""),959156023193)</f>
        <v>959156023193</v>
      </c>
      <c r="C319" s="2" t="str">
        <f ca="1">IFERROR(__xludf.DUMMYFUNCTION("""COMPUTED_VALUE"""),"سندس إبراهيم")</f>
        <v>سندس إبراهيم</v>
      </c>
      <c r="D319" s="2">
        <f ca="1">IFERROR(__xludf.DUMMYFUNCTION("""COMPUTED_VALUE"""),2309)</f>
        <v>2309</v>
      </c>
      <c r="E319" s="2" t="str">
        <f ca="1">IFERROR(__xludf.DUMMYFUNCTION("""COMPUTED_VALUE"""),"EG04-EG05-EG06")</f>
        <v>EG04-EG05-EG06</v>
      </c>
      <c r="F319" s="2" t="str">
        <f ca="1">IFERROR(__xludf.DUMMYFUNCTION("""COMPUTED_VALUE"""),"sondosibrahimmohamed50@gmail.com")</f>
        <v>sondosibrahimmohamed50@gmail.com</v>
      </c>
      <c r="G319" s="2" t="str">
        <f ca="1">IFERROR(__xludf.DUMMYFUNCTION("""COMPUTED_VALUE"""),"01148230103")</f>
        <v>01148230103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 t="str">
        <f ca="1">IFERROR(__xludf.DUMMYFUNCTION("""COMPUTED_VALUE"""),"سهيلة يسري")</f>
        <v>سهيلة يسري</v>
      </c>
      <c r="B320" s="2">
        <f ca="1">IFERROR(__xludf.DUMMYFUNCTION("""COMPUTED_VALUE"""),806123732506)</f>
        <v>806123732506</v>
      </c>
      <c r="C320" s="2" t="str">
        <f ca="1">IFERROR(__xludf.DUMMYFUNCTION("""COMPUTED_VALUE"""),"سهيلة يسري")</f>
        <v>سهيلة يسري</v>
      </c>
      <c r="D320" s="2">
        <f ca="1">IFERROR(__xludf.DUMMYFUNCTION("""COMPUTED_VALUE"""),2308)</f>
        <v>2308</v>
      </c>
      <c r="E320" s="2" t="str">
        <f ca="1">IFERROR(__xludf.DUMMYFUNCTION("""COMPUTED_VALUE"""),"EG07-EG08-EG09")</f>
        <v>EG07-EG08-EG09</v>
      </c>
      <c r="F320" s="2" t="str">
        <f ca="1">IFERROR(__xludf.DUMMYFUNCTION("""COMPUTED_VALUE"""),"sohilayousry160@gmail.com")</f>
        <v>sohilayousry160@gmail.com</v>
      </c>
      <c r="G320" s="2" t="str">
        <f ca="1">IFERROR(__xludf.DUMMYFUNCTION("""COMPUTED_VALUE"""),"01147701242")</f>
        <v>01147701242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 t="str">
        <f ca="1">IFERROR(__xludf.DUMMYFUNCTION("""COMPUTED_VALUE"""),"نسرين عبد الوهاب")</f>
        <v>نسرين عبد الوهاب</v>
      </c>
      <c r="B321" s="2">
        <f ca="1">IFERROR(__xludf.DUMMYFUNCTION("""COMPUTED_VALUE"""),343102940549)</f>
        <v>343102940549</v>
      </c>
      <c r="C321" s="2" t="str">
        <f ca="1">IFERROR(__xludf.DUMMYFUNCTION("""COMPUTED_VALUE"""),"نسرين عبد الوهاب")</f>
        <v>نسرين عبد الوهاب</v>
      </c>
      <c r="D321" s="4">
        <f ca="1">IFERROR(__xludf.DUMMYFUNCTION("""COMPUTED_VALUE"""),2312)</f>
        <v>2312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 t="str">
        <f ca="1">IFERROR(__xludf.DUMMYFUNCTION("""COMPUTED_VALUE"""),"أحمد منصور")</f>
        <v>أحمد منصور</v>
      </c>
      <c r="B322" s="2">
        <f ca="1">IFERROR(__xludf.DUMMYFUNCTION("""COMPUTED_VALUE"""),658171357514)</f>
        <v>658171357514</v>
      </c>
      <c r="C322" s="2" t="str">
        <f ca="1">IFERROR(__xludf.DUMMYFUNCTION("""COMPUTED_VALUE"""),"أحمد منصور")</f>
        <v>أحمد منصور</v>
      </c>
      <c r="D322" s="4" t="str">
        <f ca="1">IFERROR(__xludf.DUMMYFUNCTION("""COMPUTED_VALUE"""),"2314")</f>
        <v>2314</v>
      </c>
      <c r="E322" s="2" t="str">
        <f ca="1">IFERROR(__xludf.DUMMYFUNCTION("""COMPUTED_VALUE"""),"EG07-EG08-EG09")</f>
        <v>EG07-EG08-EG09</v>
      </c>
      <c r="F322" s="2" t="str">
        <f ca="1">IFERROR(__xludf.DUMMYFUNCTION("""COMPUTED_VALUE"""),"ahmedmansourmansour761@gmail.com")</f>
        <v>ahmedmansourmansour761@gmail.com</v>
      </c>
      <c r="G322" s="2" t="str">
        <f ca="1">IFERROR(__xludf.DUMMYFUNCTION("""COMPUTED_VALUE"""),"01025906312")</f>
        <v>01025906312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 t="str">
        <f ca="1">IFERROR(__xludf.DUMMYFUNCTION("""COMPUTED_VALUE"""),"مبروك الزيات")</f>
        <v>مبروك الزيات</v>
      </c>
      <c r="B323" s="2">
        <f ca="1">IFERROR(__xludf.DUMMYFUNCTION("""COMPUTED_VALUE"""),786170102324)</f>
        <v>786170102324</v>
      </c>
      <c r="C323" s="2" t="str">
        <f ca="1">IFERROR(__xludf.DUMMYFUNCTION("""COMPUTED_VALUE"""),"مبروك الزيات")</f>
        <v>مبروك الزيات</v>
      </c>
      <c r="D323" s="4" t="str">
        <f ca="1">IFERROR(__xludf.DUMMYFUNCTION("""COMPUTED_VALUE"""),"2320")</f>
        <v>2320</v>
      </c>
      <c r="E323" s="2" t="str">
        <f ca="1">IFERROR(__xludf.DUMMYFUNCTION("""COMPUTED_VALUE"""),"EG07-EG08-EG09")</f>
        <v>EG07-EG08-EG09</v>
      </c>
      <c r="F323" s="2" t="str">
        <f ca="1">IFERROR(__xludf.DUMMYFUNCTION("""COMPUTED_VALUE"""),"mabrookelbanna4@gmail.com")</f>
        <v>mabrookelbanna4@gmail.com</v>
      </c>
      <c r="G323" s="2" t="str">
        <f ca="1">IFERROR(__xludf.DUMMYFUNCTION("""COMPUTED_VALUE"""),"01096212675")</f>
        <v>01096212675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 t="str">
        <f ca="1">IFERROR(__xludf.DUMMYFUNCTION("""COMPUTED_VALUE"""),"سارة عربي")</f>
        <v>سارة عربي</v>
      </c>
      <c r="B324" s="2">
        <f ca="1">IFERROR(__xludf.DUMMYFUNCTION("""COMPUTED_VALUE"""),792190383878)</f>
        <v>792190383878</v>
      </c>
      <c r="C324" s="2" t="str">
        <f ca="1">IFERROR(__xludf.DUMMYFUNCTION("""COMPUTED_VALUE"""),"سارة عربي")</f>
        <v>سارة عربي</v>
      </c>
      <c r="D324" s="4" t="str">
        <f ca="1">IFERROR(__xludf.DUMMYFUNCTION("""COMPUTED_VALUE"""),"2319")</f>
        <v>2319</v>
      </c>
      <c r="E324" s="2" t="str">
        <f ca="1">IFERROR(__xludf.DUMMYFUNCTION("""COMPUTED_VALUE"""),"EG04-EG05-EG06")</f>
        <v>EG04-EG05-EG06</v>
      </c>
      <c r="F324" s="2" t="str">
        <f ca="1">IFERROR(__xludf.DUMMYFUNCTION("""COMPUTED_VALUE"""),"saraharaby90@gmail.com")</f>
        <v>saraharaby90@gmail.com</v>
      </c>
      <c r="G324" s="2" t="str">
        <f ca="1">IFERROR(__xludf.DUMMYFUNCTION("""COMPUTED_VALUE"""),"01118843325")</f>
        <v>01118843325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 t="str">
        <f ca="1">IFERROR(__xludf.DUMMYFUNCTION("""COMPUTED_VALUE"""),"ياسمين محمد")</f>
        <v>ياسمين محمد</v>
      </c>
      <c r="B325" s="2">
        <f ca="1">IFERROR(__xludf.DUMMYFUNCTION("""COMPUTED_VALUE"""),948108182631)</f>
        <v>948108182631</v>
      </c>
      <c r="C325" s="2" t="str">
        <f ca="1">IFERROR(__xludf.DUMMYFUNCTION("""COMPUTED_VALUE"""),"ياسمين محمد")</f>
        <v>ياسمين محمد</v>
      </c>
      <c r="D325" s="4" t="str">
        <f ca="1">IFERROR(__xludf.DUMMYFUNCTION("""COMPUTED_VALUE"""),"2321")</f>
        <v>2321</v>
      </c>
      <c r="E325" s="2" t="str">
        <f ca="1">IFERROR(__xludf.DUMMYFUNCTION("""COMPUTED_VALUE"""),"سنعتمد عليها في الترم الثاني
EG01-EG02-EG03")</f>
        <v>سنعتمد عليها في الترم الثاني
EG01-EG02-EG03</v>
      </c>
      <c r="F325" s="2" t="str">
        <f ca="1">IFERROR(__xludf.DUMMYFUNCTION("""COMPUTED_VALUE"""),"myasmine116@gmail.com")</f>
        <v>myasmine116@gmail.com</v>
      </c>
      <c r="G325" s="2" t="str">
        <f ca="1">IFERROR(__xludf.DUMMYFUNCTION("""COMPUTED_VALUE"""),"01015633019")</f>
        <v>01015633019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 t="str">
        <f ca="1">IFERROR(__xludf.DUMMYFUNCTION("""COMPUTED_VALUE"""),"إيمان عطية")</f>
        <v>إيمان عطية</v>
      </c>
      <c r="B326" s="2">
        <f ca="1">IFERROR(__xludf.DUMMYFUNCTION("""COMPUTED_VALUE"""),457195859749)</f>
        <v>457195859749</v>
      </c>
      <c r="C326" s="2" t="str">
        <f ca="1">IFERROR(__xludf.DUMMYFUNCTION("""COMPUTED_VALUE"""),"إيمان عطية")</f>
        <v>إيمان عطية</v>
      </c>
      <c r="D326" s="4">
        <f ca="1">IFERROR(__xludf.DUMMYFUNCTION("""COMPUTED_VALUE"""),2311)</f>
        <v>2311</v>
      </c>
      <c r="E326" s="2"/>
      <c r="F326" s="2" t="str">
        <f ca="1">IFERROR(__xludf.DUMMYFUNCTION("""COMPUTED_VALUE"""),"eman.ismail89@gmail.com")</f>
        <v>eman.ismail89@gmail.com</v>
      </c>
      <c r="G326" s="2" t="str">
        <f ca="1">IFERROR(__xludf.DUMMYFUNCTION("""COMPUTED_VALUE"""),"01098433794")</f>
        <v>01098433794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 t="str">
        <f ca="1">IFERROR(__xludf.DUMMYFUNCTION("""COMPUTED_VALUE"""),"هبة علي")</f>
        <v>هبة علي</v>
      </c>
      <c r="B327" s="2">
        <f ca="1">IFERROR(__xludf.DUMMYFUNCTION("""COMPUTED_VALUE"""),319181950412)</f>
        <v>319181950412</v>
      </c>
      <c r="C327" s="2" t="str">
        <f ca="1">IFERROR(__xludf.DUMMYFUNCTION("""COMPUTED_VALUE"""),"هبة علي")</f>
        <v>هبة علي</v>
      </c>
      <c r="D327" s="2">
        <f ca="1">IFERROR(__xludf.DUMMYFUNCTION("""COMPUTED_VALUE"""),2327)</f>
        <v>2327</v>
      </c>
      <c r="E327" s="2" t="str">
        <f ca="1">IFERROR(__xludf.DUMMYFUNCTION("""COMPUTED_VALUE"""),"EG04-EG05")</f>
        <v>EG04-EG05</v>
      </c>
      <c r="F327" s="2" t="str">
        <f ca="1">IFERROR(__xludf.DUMMYFUNCTION("""COMPUTED_VALUE"""),"hebaalisaber223@gmail.com")</f>
        <v>hebaalisaber223@gmail.com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 t="str">
        <f ca="1">IFERROR(__xludf.DUMMYFUNCTION("""COMPUTED_VALUE"""),"فاطمة رشاد")</f>
        <v>فاطمة رشاد</v>
      </c>
      <c r="B328" s="2">
        <f ca="1">IFERROR(__xludf.DUMMYFUNCTION("""COMPUTED_VALUE"""),780128402632)</f>
        <v>780128402632</v>
      </c>
      <c r="C328" s="2" t="str">
        <f ca="1">IFERROR(__xludf.DUMMYFUNCTION("""COMPUTED_VALUE"""),"فاطمة رشاد")</f>
        <v>فاطمة رشاد</v>
      </c>
      <c r="D328" s="2">
        <f ca="1">IFERROR(__xludf.DUMMYFUNCTION("""COMPUTED_VALUE"""),2328)</f>
        <v>2328</v>
      </c>
      <c r="E328" s="2" t="str">
        <f ca="1">IFERROR(__xludf.DUMMYFUNCTION("""COMPUTED_VALUE"""),"EG04-EG05-EG06")</f>
        <v>EG04-EG05-EG06</v>
      </c>
      <c r="F328" s="2" t="str">
        <f ca="1">IFERROR(__xludf.DUMMYFUNCTION("""COMPUTED_VALUE"""),"fatma.rashad86@gmail.com")</f>
        <v>fatma.rashad86@gmail.com</v>
      </c>
      <c r="G328" s="2" t="str">
        <f ca="1">IFERROR(__xludf.DUMMYFUNCTION("""COMPUTED_VALUE"""),"01128890011")</f>
        <v>01128890011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 t="str">
        <f ca="1">IFERROR(__xludf.DUMMYFUNCTION("""COMPUTED_VALUE"""),"هدى علي")</f>
        <v>هدى علي</v>
      </c>
      <c r="B329" s="2">
        <f ca="1">IFERROR(__xludf.DUMMYFUNCTION("""COMPUTED_VALUE"""),402149131917)</f>
        <v>402149131917</v>
      </c>
      <c r="C329" s="2" t="str">
        <f ca="1">IFERROR(__xludf.DUMMYFUNCTION("""COMPUTED_VALUE"""),"هدى علي")</f>
        <v>هدى علي</v>
      </c>
      <c r="D329" s="2">
        <f ca="1">IFERROR(__xludf.DUMMYFUNCTION("""COMPUTED_VALUE"""),2073)</f>
        <v>2073</v>
      </c>
      <c r="E329" s="2"/>
      <c r="F329" s="2" t="str">
        <f ca="1">IFERROR(__xludf.DUMMYFUNCTION("""COMPUTED_VALUE"""),"hodaaly3008@gmail.com")</f>
        <v>hodaaly3008@gmail.com</v>
      </c>
      <c r="G329" s="2" t="str">
        <f ca="1">IFERROR(__xludf.DUMMYFUNCTION("""COMPUTED_VALUE"""),"01208548997")</f>
        <v>01208548997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 t="str">
        <f ca="1">IFERROR(__xludf.DUMMYFUNCTION("""COMPUTED_VALUE"""),"مارسيل سميح")</f>
        <v>مارسيل سميح</v>
      </c>
      <c r="B330" s="2">
        <f ca="1">IFERROR(__xludf.DUMMYFUNCTION("""COMPUTED_VALUE"""),945182868176)</f>
        <v>945182868176</v>
      </c>
      <c r="C330" s="2" t="str">
        <f ca="1">IFERROR(__xludf.DUMMYFUNCTION("""COMPUTED_VALUE"""),"مارسيل سميح")</f>
        <v>مارسيل سميح</v>
      </c>
      <c r="D330" s="2">
        <f ca="1">IFERROR(__xludf.DUMMYFUNCTION("""COMPUTED_VALUE"""),2074)</f>
        <v>2074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 t="str">
        <f ca="1">IFERROR(__xludf.DUMMYFUNCTION("""COMPUTED_VALUE"""),"سمر يوسف")</f>
        <v>سمر يوسف</v>
      </c>
      <c r="B331" s="2">
        <f ca="1">IFERROR(__xludf.DUMMYFUNCTION("""COMPUTED_VALUE"""),684136956389)</f>
        <v>684136956389</v>
      </c>
      <c r="C331" s="2" t="str">
        <f ca="1">IFERROR(__xludf.DUMMYFUNCTION("""COMPUTED_VALUE"""),"سمر يوسف")</f>
        <v>سمر يوسف</v>
      </c>
      <c r="D331" s="2">
        <f ca="1">IFERROR(__xludf.DUMMYFUNCTION("""COMPUTED_VALUE"""),2272)</f>
        <v>2272</v>
      </c>
      <c r="E331" s="2" t="str">
        <f ca="1">IFERROR(__xludf.DUMMYFUNCTION("""COMPUTED_VALUE"""),"EG10-EG11-G12")</f>
        <v>EG10-EG11-G12</v>
      </c>
      <c r="F331" s="2" t="str">
        <f ca="1">IFERROR(__xludf.DUMMYFUNCTION("""COMPUTED_VALUE"""),"dr.samar.youseff@gmail.com")</f>
        <v>dr.samar.youseff@gmail.com</v>
      </c>
      <c r="G331" s="2" t="str">
        <f ca="1">IFERROR(__xludf.DUMMYFUNCTION("""COMPUTED_VALUE"""),"01227193179")</f>
        <v>01227193179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 t="str">
        <f ca="1">IFERROR(__xludf.DUMMYFUNCTION("""COMPUTED_VALUE"""),"محمد عادل")</f>
        <v>محمد عادل</v>
      </c>
      <c r="B332" s="2">
        <f ca="1">IFERROR(__xludf.DUMMYFUNCTION("""COMPUTED_VALUE"""),750108154243)</f>
        <v>750108154243</v>
      </c>
      <c r="C332" s="2" t="str">
        <f ca="1">IFERROR(__xludf.DUMMYFUNCTION("""COMPUTED_VALUE"""),"محمد عادل")</f>
        <v>محمد عادل</v>
      </c>
      <c r="D332" s="2">
        <f ca="1">IFERROR(__xludf.DUMMYFUNCTION("""COMPUTED_VALUE"""),2335)</f>
        <v>2335</v>
      </c>
      <c r="E332" s="2" t="str">
        <f ca="1">IFERROR(__xludf.DUMMYFUNCTION("""COMPUTED_VALUE"""),"EG10-EG11-G12")</f>
        <v>EG10-EG11-G12</v>
      </c>
      <c r="F332" s="2" t="str">
        <f ca="1">IFERROR(__xludf.DUMMYFUNCTION("""COMPUTED_VALUE"""),"ma404017@gmail.com")</f>
        <v>ma404017@gmail.com</v>
      </c>
      <c r="G332" s="2" t="str">
        <f ca="1">IFERROR(__xludf.DUMMYFUNCTION("""COMPUTED_VALUE"""),"01003233810")</f>
        <v>01003233810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 t="str">
        <f ca="1">IFERROR(__xludf.DUMMYFUNCTION("""COMPUTED_VALUE"""),"ميرا هشام")</f>
        <v>ميرا هشام</v>
      </c>
      <c r="B333" s="2">
        <f ca="1">IFERROR(__xludf.DUMMYFUNCTION("""COMPUTED_VALUE"""),758108752769)</f>
        <v>758108752769</v>
      </c>
      <c r="C333" s="2" t="str">
        <f ca="1">IFERROR(__xludf.DUMMYFUNCTION("""COMPUTED_VALUE"""),"ميرا هشام")</f>
        <v>ميرا هشام</v>
      </c>
      <c r="D333" s="2">
        <f ca="1">IFERROR(__xludf.DUMMYFUNCTION("""COMPUTED_VALUE"""),2337)</f>
        <v>2337</v>
      </c>
      <c r="E333" s="2"/>
      <c r="F333" s="2" t="str">
        <f ca="1">IFERROR(__xludf.DUMMYFUNCTION("""COMPUTED_VALUE"""),"merahesham2000@gmail.com")</f>
        <v>merahesham2000@gmail.com</v>
      </c>
      <c r="G333" s="2" t="str">
        <f ca="1">IFERROR(__xludf.DUMMYFUNCTION("""COMPUTED_VALUE"""),"01027391210")</f>
        <v>01027391210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 t="str">
        <f ca="1">IFERROR(__xludf.DUMMYFUNCTION("""COMPUTED_VALUE"""),"دعاء صوابي")</f>
        <v>دعاء صوابي</v>
      </c>
      <c r="B334" s="2">
        <f ca="1">IFERROR(__xludf.DUMMYFUNCTION("""COMPUTED_VALUE"""),867198159258)</f>
        <v>867198159258</v>
      </c>
      <c r="C334" s="2" t="str">
        <f ca="1">IFERROR(__xludf.DUMMYFUNCTION("""COMPUTED_VALUE"""),"دعاء صوابي")</f>
        <v>دعاء صوابي</v>
      </c>
      <c r="D334" s="2">
        <f ca="1">IFERROR(__xludf.DUMMYFUNCTION("""COMPUTED_VALUE"""),2334)</f>
        <v>2334</v>
      </c>
      <c r="E334" s="2" t="str">
        <f ca="1">IFERROR(__xludf.DUMMYFUNCTION("""COMPUTED_VALUE"""),"EG07-EG08-EG09")</f>
        <v>EG07-EG08-EG09</v>
      </c>
      <c r="F334" s="2" t="str">
        <f ca="1">IFERROR(__xludf.DUMMYFUNCTION("""COMPUTED_VALUE"""),"doaasawaby4@gmail.com")</f>
        <v>doaasawaby4@gmail.com</v>
      </c>
      <c r="G334" s="2" t="str">
        <f ca="1">IFERROR(__xludf.DUMMYFUNCTION("""COMPUTED_VALUE"""),"01092504801")</f>
        <v>01092504801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 t="str">
        <f ca="1">IFERROR(__xludf.DUMMYFUNCTION("""COMPUTED_VALUE"""),"إسلام علي")</f>
        <v>إسلام علي</v>
      </c>
      <c r="B335" s="2">
        <f ca="1">IFERROR(__xludf.DUMMYFUNCTION("""COMPUTED_VALUE"""),626109078528)</f>
        <v>626109078528</v>
      </c>
      <c r="C335" s="2" t="str">
        <f ca="1">IFERROR(__xludf.DUMMYFUNCTION("""COMPUTED_VALUE"""),"إسلام علي")</f>
        <v>إسلام علي</v>
      </c>
      <c r="D335" s="2">
        <f ca="1">IFERROR(__xludf.DUMMYFUNCTION("""COMPUTED_VALUE"""),2345)</f>
        <v>2345</v>
      </c>
      <c r="E335" s="2" t="str">
        <f ca="1">IFERROR(__xludf.DUMMYFUNCTION("""COMPUTED_VALUE"""),"EG04-EG05-EG06-EG07")</f>
        <v>EG04-EG05-EG06-EG07</v>
      </c>
      <c r="F335" s="2" t="str">
        <f ca="1">IFERROR(__xludf.DUMMYFUNCTION("""COMPUTED_VALUE"""),"islamsba98@gmail.com")</f>
        <v>islamsba98@gmail.com</v>
      </c>
      <c r="G335" s="2" t="str">
        <f ca="1">IFERROR(__xludf.DUMMYFUNCTION("""COMPUTED_VALUE"""),"01018015076")</f>
        <v>01018015076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 t="str">
        <f ca="1">IFERROR(__xludf.DUMMYFUNCTION("""COMPUTED_VALUE"""),"بسام المليجي")</f>
        <v>بسام المليجي</v>
      </c>
      <c r="B336" s="2">
        <f ca="1">IFERROR(__xludf.DUMMYFUNCTION("""COMPUTED_VALUE"""),503107402589)</f>
        <v>503107402589</v>
      </c>
      <c r="C336" s="2" t="str">
        <f ca="1">IFERROR(__xludf.DUMMYFUNCTION("""COMPUTED_VALUE"""),"بسام المليجي")</f>
        <v>بسام المليجي</v>
      </c>
      <c r="D336" s="2">
        <f ca="1">IFERROR(__xludf.DUMMYFUNCTION("""COMPUTED_VALUE"""),2346)</f>
        <v>2346</v>
      </c>
      <c r="E336" s="2" t="str">
        <f ca="1">IFERROR(__xludf.DUMMYFUNCTION("""COMPUTED_VALUE"""),"EG07-EG08-EG09")</f>
        <v>EG07-EG08-EG09</v>
      </c>
      <c r="F336" s="2" t="str">
        <f ca="1">IFERROR(__xludf.DUMMYFUNCTION("""COMPUTED_VALUE"""),"elmeligybassam@gmail.com")</f>
        <v>elmeligybassam@gmail.com</v>
      </c>
      <c r="G336" s="2" t="str">
        <f ca="1">IFERROR(__xludf.DUMMYFUNCTION("""COMPUTED_VALUE"""),"01090961459")</f>
        <v>01090961459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 t="str">
        <f ca="1">IFERROR(__xludf.DUMMYFUNCTION("""COMPUTED_VALUE"""),"ميرنا طارق")</f>
        <v>ميرنا طارق</v>
      </c>
      <c r="B337" s="2">
        <f ca="1">IFERROR(__xludf.DUMMYFUNCTION("""COMPUTED_VALUE"""),454134237907)</f>
        <v>454134237907</v>
      </c>
      <c r="C337" s="2" t="str">
        <f ca="1">IFERROR(__xludf.DUMMYFUNCTION("""COMPUTED_VALUE"""),"ميرنا طارق")</f>
        <v>ميرنا طارق</v>
      </c>
      <c r="D337" s="2">
        <f ca="1">IFERROR(__xludf.DUMMYFUNCTION("""COMPUTED_VALUE"""),2341)</f>
        <v>2341</v>
      </c>
      <c r="E337" s="2"/>
      <c r="F337" s="2" t="str">
        <f ca="1">IFERROR(__xludf.DUMMYFUNCTION("""COMPUTED_VALUE"""),"mirna_tareksalah97@yahoo.com")</f>
        <v>mirna_tareksalah97@yahoo.com</v>
      </c>
      <c r="G337" s="2" t="str">
        <f ca="1">IFERROR(__xludf.DUMMYFUNCTION("""COMPUTED_VALUE"""),"01225300158")</f>
        <v>01225300158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 t="str">
        <f ca="1">IFERROR(__xludf.DUMMYFUNCTION("""COMPUTED_VALUE"""),"محمد مصطفى")</f>
        <v>محمد مصطفى</v>
      </c>
      <c r="B338" s="2">
        <f ca="1">IFERROR(__xludf.DUMMYFUNCTION("""COMPUTED_VALUE"""),832192515851)</f>
        <v>832192515851</v>
      </c>
      <c r="C338" s="2" t="str">
        <f ca="1">IFERROR(__xludf.DUMMYFUNCTION("""COMPUTED_VALUE"""),"محمد مصطفى")</f>
        <v>محمد مصطفى</v>
      </c>
      <c r="D338" s="2">
        <f ca="1">IFERROR(__xludf.DUMMYFUNCTION("""COMPUTED_VALUE"""),2344)</f>
        <v>2344</v>
      </c>
      <c r="E338" s="2" t="str">
        <f ca="1">IFERROR(__xludf.DUMMYFUNCTION("""COMPUTED_VALUE"""),"EG03-EG04-EG05-EG06-EG07-EG08-EG09")</f>
        <v>EG03-EG04-EG05-EG06-EG07-EG08-EG09</v>
      </c>
      <c r="F338" s="2" t="str">
        <f ca="1">IFERROR(__xludf.DUMMYFUNCTION("""COMPUTED_VALUE"""),"ebsmoab@gmail.com")</f>
        <v>ebsmoab@gmail.com</v>
      </c>
      <c r="G338" s="2" t="str">
        <f ca="1">IFERROR(__xludf.DUMMYFUNCTION("""COMPUTED_VALUE"""),"01123330493")</f>
        <v>01123330493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 t="str">
        <f ca="1">IFERROR(__xludf.DUMMYFUNCTION("""COMPUTED_VALUE"""),"منى أخنوخ")</f>
        <v>منى أخنوخ</v>
      </c>
      <c r="B339" s="2">
        <f ca="1">IFERROR(__xludf.DUMMYFUNCTION("""COMPUTED_VALUE"""),937186279710)</f>
        <v>937186279710</v>
      </c>
      <c r="C339" s="2" t="str">
        <f ca="1">IFERROR(__xludf.DUMMYFUNCTION("""COMPUTED_VALUE"""),"منى أخنوخ")</f>
        <v>منى أخنوخ</v>
      </c>
      <c r="D339" s="2">
        <f ca="1">IFERROR(__xludf.DUMMYFUNCTION("""COMPUTED_VALUE"""),2338)</f>
        <v>2338</v>
      </c>
      <c r="E339" s="2"/>
      <c r="F339" s="2" t="str">
        <f ca="1">IFERROR(__xludf.DUMMYFUNCTION("""COMPUTED_VALUE"""),"remonamoon@gmail.com")</f>
        <v>remonamoon@gmail.com</v>
      </c>
      <c r="G339" s="2" t="str">
        <f ca="1">IFERROR(__xludf.DUMMYFUNCTION("""COMPUTED_VALUE"""),"01003647713")</f>
        <v>01003647713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 t="str">
        <f ca="1">IFERROR(__xludf.DUMMYFUNCTION("""COMPUTED_VALUE"""),"أحمد حسام")</f>
        <v>أحمد حسام</v>
      </c>
      <c r="B340" s="2">
        <f ca="1">IFERROR(__xludf.DUMMYFUNCTION("""COMPUTED_VALUE"""),980182127485)</f>
        <v>980182127485</v>
      </c>
      <c r="C340" s="2" t="str">
        <f ca="1">IFERROR(__xludf.DUMMYFUNCTION("""COMPUTED_VALUE"""),"أحمد حسام")</f>
        <v>أحمد حسام</v>
      </c>
      <c r="D340" s="2">
        <f ca="1">IFERROR(__xludf.DUMMYFUNCTION("""COMPUTED_VALUE"""),2280)</f>
        <v>2280</v>
      </c>
      <c r="E340" s="2" t="str">
        <f ca="1">IFERROR(__xludf.DUMMYFUNCTION("""COMPUTED_VALUE"""),"EG07-EG08-EG09")</f>
        <v>EG07-EG08-EG09</v>
      </c>
      <c r="F340" s="2" t="str">
        <f ca="1">IFERROR(__xludf.DUMMYFUNCTION("""COMPUTED_VALUE"""),"medo48902@gmail.com")</f>
        <v>medo48902@gmail.com</v>
      </c>
      <c r="G340" s="2" t="str">
        <f ca="1">IFERROR(__xludf.DUMMYFUNCTION("""COMPUTED_VALUE"""),"01117021822")</f>
        <v>01117021822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 t="str">
        <f ca="1">IFERROR(__xludf.DUMMYFUNCTION("""COMPUTED_VALUE"""),"راندا فؤاد")</f>
        <v>راندا فؤاد</v>
      </c>
      <c r="B341" s="2">
        <f ca="1">IFERROR(__xludf.DUMMYFUNCTION("""COMPUTED_VALUE"""),808191676235)</f>
        <v>808191676235</v>
      </c>
      <c r="C341" s="2" t="str">
        <f ca="1">IFERROR(__xludf.DUMMYFUNCTION("""COMPUTED_VALUE"""),"راندا فؤاد")</f>
        <v>راندا فؤاد</v>
      </c>
      <c r="D341" s="2">
        <f ca="1">IFERROR(__xludf.DUMMYFUNCTION("""COMPUTED_VALUE"""),2265)</f>
        <v>2265</v>
      </c>
      <c r="E341" s="2" t="str">
        <f ca="1">IFERROR(__xludf.DUMMYFUNCTION("""COMPUTED_VALUE"""),"EG04-EG05-EG06-EG07-EG08")</f>
        <v>EG04-EG05-EG06-EG07-EG08</v>
      </c>
      <c r="F341" s="2" t="str">
        <f ca="1">IFERROR(__xludf.DUMMYFUNCTION("""COMPUTED_VALUE"""),"randa.fouad.1811@gmail.com")</f>
        <v>randa.fouad.1811@gmail.com</v>
      </c>
      <c r="G341" s="2">
        <f ca="1">IFERROR(__xludf.DUMMYFUNCTION("""COMPUTED_VALUE"""),1200437990)</f>
        <v>1200437990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 t="str">
        <f ca="1">IFERROR(__xludf.DUMMYFUNCTION("""COMPUTED_VALUE"""),"رانيا عماد")</f>
        <v>رانيا عماد</v>
      </c>
      <c r="B342" s="2">
        <f ca="1">IFERROR(__xludf.DUMMYFUNCTION("""COMPUTED_VALUE"""),319163985753)</f>
        <v>319163985753</v>
      </c>
      <c r="C342" s="2" t="str">
        <f ca="1">IFERROR(__xludf.DUMMYFUNCTION("""COMPUTED_VALUE"""),"رانيا عماد")</f>
        <v>رانيا عماد</v>
      </c>
      <c r="D342" s="2">
        <f ca="1">IFERROR(__xludf.DUMMYFUNCTION("""COMPUTED_VALUE"""),2324)</f>
        <v>2324</v>
      </c>
      <c r="E342" s="2" t="str">
        <f ca="1">IFERROR(__xludf.DUMMYFUNCTION("""COMPUTED_VALUE"""),"EG04-EG05-EG06")</f>
        <v>EG04-EG05-EG06</v>
      </c>
      <c r="F342" s="2" t="str">
        <f ca="1">IFERROR(__xludf.DUMMYFUNCTION("""COMPUTED_VALUE"""),"raniaemad91111@gmail.com")</f>
        <v>raniaemad91111@gmail.com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 t="str">
        <f ca="1">IFERROR(__xludf.DUMMYFUNCTION("""COMPUTED_VALUE"""),"أحمد البحيري")</f>
        <v>أحمد البحيري</v>
      </c>
      <c r="B343" s="2">
        <f ca="1">IFERROR(__xludf.DUMMYFUNCTION("""COMPUTED_VALUE"""),373156736453)</f>
        <v>373156736453</v>
      </c>
      <c r="C343" s="2" t="str">
        <f ca="1">IFERROR(__xludf.DUMMYFUNCTION("""COMPUTED_VALUE"""),"أحمد البحيري")</f>
        <v>أحمد البحيري</v>
      </c>
      <c r="D343" s="2">
        <f ca="1">IFERROR(__xludf.DUMMYFUNCTION("""COMPUTED_VALUE"""),2340)</f>
        <v>2340</v>
      </c>
      <c r="E343" s="2" t="str">
        <f ca="1">IFERROR(__xludf.DUMMYFUNCTION("""COMPUTED_VALUE"""),"EG07-EG08-EG09")</f>
        <v>EG07-EG08-EG09</v>
      </c>
      <c r="F343" s="2" t="str">
        <f ca="1">IFERROR(__xludf.DUMMYFUNCTION("""COMPUTED_VALUE"""),"elsaker79@hotmail.com")</f>
        <v>elsaker79@hotmail.com</v>
      </c>
      <c r="G343" s="2">
        <f ca="1">IFERROR(__xludf.DUMMYFUNCTION("""COMPUTED_VALUE"""),1011099883)</f>
        <v>1011099883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 t="str">
        <f ca="1">IFERROR(__xludf.DUMMYFUNCTION("""COMPUTED_VALUE"""),"علياء فكري")</f>
        <v>علياء فكري</v>
      </c>
      <c r="B344" s="2">
        <f ca="1">IFERROR(__xludf.DUMMYFUNCTION("""COMPUTED_VALUE"""),594131487609)</f>
        <v>594131487609</v>
      </c>
      <c r="C344" s="2" t="str">
        <f ca="1">IFERROR(__xludf.DUMMYFUNCTION("""COMPUTED_VALUE"""),"علياء فكري")</f>
        <v>علياء فكري</v>
      </c>
      <c r="D344" s="2">
        <f ca="1">IFERROR(__xludf.DUMMYFUNCTION("""COMPUTED_VALUE"""),2339)</f>
        <v>2339</v>
      </c>
      <c r="E344" s="2" t="str">
        <f ca="1">IFERROR(__xludf.DUMMYFUNCTION("""COMPUTED_VALUE"""),"EG04-EG05-EG06-EG07-EG08-EG09")</f>
        <v>EG04-EG05-EG06-EG07-EG08-EG09</v>
      </c>
      <c r="F344" s="2" t="str">
        <f ca="1">IFERROR(__xludf.DUMMYFUNCTION("""COMPUTED_VALUE"""),"aliaafsultan105@gmail.com")</f>
        <v>aliaafsultan105@gmail.com</v>
      </c>
      <c r="G344" s="2" t="str">
        <f ca="1">IFERROR(__xludf.DUMMYFUNCTION("""COMPUTED_VALUE"""),"01040323439")</f>
        <v>01040323439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 t="str">
        <f ca="1">IFERROR(__xludf.DUMMYFUNCTION("""COMPUTED_VALUE"""),"حنان صبحي")</f>
        <v>حنان صبحي</v>
      </c>
      <c r="B345" s="2">
        <f ca="1">IFERROR(__xludf.DUMMYFUNCTION("""COMPUTED_VALUE"""),586179418453)</f>
        <v>586179418453</v>
      </c>
      <c r="C345" s="2" t="str">
        <f ca="1">IFERROR(__xludf.DUMMYFUNCTION("""COMPUTED_VALUE"""),"حنان صبحي")</f>
        <v>حنان صبحي</v>
      </c>
      <c r="D345" s="2">
        <f ca="1">IFERROR(__xludf.DUMMYFUNCTION("""COMPUTED_VALUE"""),2342)</f>
        <v>2342</v>
      </c>
      <c r="E345" s="2" t="str">
        <f ca="1">IFERROR(__xludf.DUMMYFUNCTION("""COMPUTED_VALUE"""),"EG04-EG05-EG06-EG07-EG08-EG09")</f>
        <v>EG04-EG05-EG06-EG07-EG08-EG09</v>
      </c>
      <c r="F345" s="2" t="str">
        <f ca="1">IFERROR(__xludf.DUMMYFUNCTION("""COMPUTED_VALUE"""),"hanansobhy9997@gmail.com")</f>
        <v>hanansobhy9997@gmail.com</v>
      </c>
      <c r="G345" s="2" t="str">
        <f ca="1">IFERROR(__xludf.DUMMYFUNCTION("""COMPUTED_VALUE"""),"01068457100")</f>
        <v>01068457100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 t="str">
        <f ca="1">IFERROR(__xludf.DUMMYFUNCTION("""COMPUTED_VALUE"""),"محمد فوزي")</f>
        <v>محمد فوزي</v>
      </c>
      <c r="B346" s="2">
        <f ca="1">IFERROR(__xludf.DUMMYFUNCTION("""COMPUTED_VALUE"""),375181892149)</f>
        <v>375181892149</v>
      </c>
      <c r="C346" s="2" t="str">
        <f ca="1">IFERROR(__xludf.DUMMYFUNCTION("""COMPUTED_VALUE"""),"محمد فوزي")</f>
        <v>محمد فوزي</v>
      </c>
      <c r="D346" s="2">
        <f ca="1">IFERROR(__xludf.DUMMYFUNCTION("""COMPUTED_VALUE"""),2347)</f>
        <v>2347</v>
      </c>
      <c r="E346" s="2" t="str">
        <f ca="1">IFERROR(__xludf.DUMMYFUNCTION("""COMPUTED_VALUE"""),"EG07-EG08-EG09")</f>
        <v>EG07-EG08-EG09</v>
      </c>
      <c r="F346" s="2" t="str">
        <f ca="1">IFERROR(__xludf.DUMMYFUNCTION("""COMPUTED_VALUE"""),"mohamedfawzyabdelrady@gmail.com")</f>
        <v>mohamedfawzyabdelrady@gmail.com</v>
      </c>
      <c r="G346" s="2" t="str">
        <f ca="1">IFERROR(__xludf.DUMMYFUNCTION("""COMPUTED_VALUE"""),"01033733035")</f>
        <v>01033733035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 t="str">
        <f ca="1">IFERROR(__xludf.DUMMYFUNCTION("""COMPUTED_VALUE"""),"محمد رجب")</f>
        <v>محمد رجب</v>
      </c>
      <c r="B347" s="2">
        <f ca="1">IFERROR(__xludf.DUMMYFUNCTION("""COMPUTED_VALUE"""),137159402437)</f>
        <v>137159402437</v>
      </c>
      <c r="C347" s="2" t="str">
        <f ca="1">IFERROR(__xludf.DUMMYFUNCTION("""COMPUTED_VALUE"""),"محمد رجب")</f>
        <v>محمد رجب</v>
      </c>
      <c r="D347" s="2">
        <f ca="1">IFERROR(__xludf.DUMMYFUNCTION("""COMPUTED_VALUE"""),2336)</f>
        <v>2336</v>
      </c>
      <c r="E347" s="2" t="str">
        <f ca="1">IFERROR(__xludf.DUMMYFUNCTION("""COMPUTED_VALUE"""),"G11-G12")</f>
        <v>G11-G12</v>
      </c>
      <c r="F347" s="2" t="str">
        <f ca="1">IFERROR(__xludf.DUMMYFUNCTION("""COMPUTED_VALUE"""),"mohamedr7713253@gmail.com")</f>
        <v>mohamedr7713253@gmail.com</v>
      </c>
      <c r="G347" s="2" t="str">
        <f ca="1">IFERROR(__xludf.DUMMYFUNCTION("""COMPUTED_VALUE"""),"01007713253")</f>
        <v>01007713253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 t="str">
        <f ca="1">IFERROR(__xludf.DUMMYFUNCTION("""COMPUTED_VALUE"""),"إسلام درويش")</f>
        <v>إسلام درويش</v>
      </c>
      <c r="B348" s="2">
        <f ca="1">IFERROR(__xludf.DUMMYFUNCTION("""COMPUTED_VALUE"""),857181851641)</f>
        <v>857181851641</v>
      </c>
      <c r="C348" s="2" t="str">
        <f ca="1">IFERROR(__xludf.DUMMYFUNCTION("""COMPUTED_VALUE"""),"إسلام درويش")</f>
        <v>إسلام درويش</v>
      </c>
      <c r="D348" s="2">
        <f ca="1">IFERROR(__xludf.DUMMYFUNCTION("""COMPUTED_VALUE"""),2263)</f>
        <v>2263</v>
      </c>
      <c r="E348" s="2" t="str">
        <f ca="1">IFERROR(__xludf.DUMMYFUNCTION("""COMPUTED_VALUE"""),"EG08-EG09-EG10-EG11-EG12")</f>
        <v>EG08-EG09-EG10-EG11-EG12</v>
      </c>
      <c r="F348" s="2" t="str">
        <f ca="1">IFERROR(__xludf.DUMMYFUNCTION("""COMPUTED_VALUE"""),"islam.m.darweesh@gmail.com")</f>
        <v>islam.m.darweesh@gmail.com</v>
      </c>
      <c r="G348" s="2" t="str">
        <f ca="1">IFERROR(__xludf.DUMMYFUNCTION("""COMPUTED_VALUE"""),"01153839716")</f>
        <v>01153839716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 t="str">
        <f ca="1">IFERROR(__xludf.DUMMYFUNCTION("""COMPUTED_VALUE"""),"أرساني عزيز")</f>
        <v>أرساني عزيز</v>
      </c>
      <c r="B349" s="2">
        <f ca="1">IFERROR(__xludf.DUMMYFUNCTION("""COMPUTED_VALUE"""),535159767372)</f>
        <v>535159767372</v>
      </c>
      <c r="C349" s="2" t="str">
        <f ca="1">IFERROR(__xludf.DUMMYFUNCTION("""COMPUTED_VALUE"""),"أرساني عزيز")</f>
        <v>أرساني عزيز</v>
      </c>
      <c r="D349" s="2">
        <f ca="1">IFERROR(__xludf.DUMMYFUNCTION("""COMPUTED_VALUE"""),2268)</f>
        <v>2268</v>
      </c>
      <c r="E349" s="2" t="str">
        <f ca="1">IFERROR(__xludf.DUMMYFUNCTION("""COMPUTED_VALUE"""),"EG10-EG11-EG12")</f>
        <v>EG10-EG11-EG12</v>
      </c>
      <c r="F349" s="2" t="str">
        <f ca="1">IFERROR(__xludf.DUMMYFUNCTION("""COMPUTED_VALUE"""),"arsanyaziz@gmail.com")</f>
        <v>arsanyaziz@gmail.com</v>
      </c>
      <c r="G349" s="2" t="str">
        <f ca="1">IFERROR(__xludf.DUMMYFUNCTION("""COMPUTED_VALUE"""),"01282842074")</f>
        <v>01282842074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 t="str">
        <f ca="1">IFERROR(__xludf.DUMMYFUNCTION("""COMPUTED_VALUE"""),"أحمد زكريا")</f>
        <v>أحمد زكريا</v>
      </c>
      <c r="B350" s="2">
        <f ca="1">IFERROR(__xludf.DUMMYFUNCTION("""COMPUTED_VALUE"""),274174108437)</f>
        <v>274174108437</v>
      </c>
      <c r="C350" s="2" t="str">
        <f ca="1">IFERROR(__xludf.DUMMYFUNCTION("""COMPUTED_VALUE"""),"أحمد زكريا")</f>
        <v>أحمد زكريا</v>
      </c>
      <c r="D350" s="2">
        <f ca="1">IFERROR(__xludf.DUMMYFUNCTION("""COMPUTED_VALUE"""),2343)</f>
        <v>2343</v>
      </c>
      <c r="E350" s="2" t="str">
        <f ca="1">IFERROR(__xludf.DUMMYFUNCTION("""COMPUTED_VALUE"""),"EG10-EG11")</f>
        <v>EG10-EG11</v>
      </c>
      <c r="F350" s="2" t="str">
        <f ca="1">IFERROR(__xludf.DUMMYFUNCTION("""COMPUTED_VALUE"""),"ahmed98zaky@gmail.com")</f>
        <v>ahmed98zaky@gmail.com</v>
      </c>
      <c r="G350" s="2" t="str">
        <f ca="1">IFERROR(__xludf.DUMMYFUNCTION("""COMPUTED_VALUE"""),"01100707485")</f>
        <v>01100707485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 t="str">
        <f ca="1">IFERROR(__xludf.DUMMYFUNCTION("""COMPUTED_VALUE"""),"مي رشدي")</f>
        <v>مي رشدي</v>
      </c>
      <c r="B351" s="2">
        <f ca="1">IFERROR(__xludf.DUMMYFUNCTION("""COMPUTED_VALUE"""),542163764786)</f>
        <v>542163764786</v>
      </c>
      <c r="C351" s="2" t="str">
        <f ca="1">IFERROR(__xludf.DUMMYFUNCTION("""COMPUTED_VALUE"""),"مي رشدي")</f>
        <v>مي رشدي</v>
      </c>
      <c r="D351" s="2" t="str">
        <f ca="1">IFERROR(__xludf.DUMMYFUNCTION("""COMPUTED_VALUE"""),"#N/A")</f>
        <v>#N/A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 t="str">
        <f ca="1">IFERROR(__xludf.DUMMYFUNCTION("""COMPUTED_VALUE"""),"مجدي عبد المجيد")</f>
        <v>مجدي عبد المجيد</v>
      </c>
      <c r="B352" s="2">
        <f ca="1">IFERROR(__xludf.DUMMYFUNCTION("""COMPUTED_VALUE"""),272137480185)</f>
        <v>272137480185</v>
      </c>
      <c r="C352" s="2" t="str">
        <f ca="1">IFERROR(__xludf.DUMMYFUNCTION("""COMPUTED_VALUE"""),"مجدي عبد المجيد")</f>
        <v>مجدي عبد المجيد</v>
      </c>
      <c r="D352" s="2">
        <f ca="1">IFERROR(__xludf.DUMMYFUNCTION("""COMPUTED_VALUE"""),2358)</f>
        <v>2358</v>
      </c>
      <c r="E352" s="2" t="str">
        <f ca="1">IFERROR(__xludf.DUMMYFUNCTION("""COMPUTED_VALUE"""),"EG07-EG08-EG09-EG10-EG11")</f>
        <v>EG07-EG08-EG09-EG10-EG11</v>
      </c>
      <c r="F352" s="2" t="str">
        <f ca="1">IFERROR(__xludf.DUMMYFUNCTION("""COMPUTED_VALUE"""),"magdi.younis@yahoo.com")</f>
        <v>magdi.younis@yahoo.com</v>
      </c>
      <c r="G352" s="2">
        <f ca="1">IFERROR(__xludf.DUMMYFUNCTION("""COMPUTED_VALUE"""),1097660471)</f>
        <v>1097660471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 t="str">
        <f ca="1">IFERROR(__xludf.DUMMYFUNCTION("""COMPUTED_VALUE"""),"ألبرت إبراهيم")</f>
        <v>ألبرت إبراهيم</v>
      </c>
      <c r="B353" s="2">
        <f ca="1">IFERROR(__xludf.DUMMYFUNCTION("""COMPUTED_VALUE"""),543195809524)</f>
        <v>543195809524</v>
      </c>
      <c r="C353" s="2" t="str">
        <f ca="1">IFERROR(__xludf.DUMMYFUNCTION("""COMPUTED_VALUE"""),"ألبرت إبراهيم")</f>
        <v>ألبرت إبراهيم</v>
      </c>
      <c r="D353" s="2">
        <f ca="1">IFERROR(__xludf.DUMMYFUNCTION("""COMPUTED_VALUE"""),2352)</f>
        <v>2352</v>
      </c>
      <c r="E353" s="2" t="str">
        <f ca="1">IFERROR(__xludf.DUMMYFUNCTION("""COMPUTED_VALUE"""),"EG07-EG08-EG09")</f>
        <v>EG07-EG08-EG09</v>
      </c>
      <c r="F353" s="2" t="str">
        <f ca="1">IFERROR(__xludf.DUMMYFUNCTION("""COMPUTED_VALUE"""),"albertibrahim30@gmail.com")</f>
        <v>albertibrahim30@gmail.com</v>
      </c>
      <c r="G353" s="2" t="str">
        <f ca="1">IFERROR(__xludf.DUMMYFUNCTION("""COMPUTED_VALUE"""),"01276626044")</f>
        <v>01276626044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 t="str">
        <f ca="1">IFERROR(__xludf.DUMMYFUNCTION("""COMPUTED_VALUE"""),"دينا حسين")</f>
        <v>دينا حسين</v>
      </c>
      <c r="B354" s="2">
        <f ca="1">IFERROR(__xludf.DUMMYFUNCTION("""COMPUTED_VALUE"""),285101463697)</f>
        <v>285101463697</v>
      </c>
      <c r="C354" s="2" t="str">
        <f ca="1">IFERROR(__xludf.DUMMYFUNCTION("""COMPUTED_VALUE"""),"دينا حسين")</f>
        <v>دينا حسين</v>
      </c>
      <c r="D354" s="2">
        <f ca="1">IFERROR(__xludf.DUMMYFUNCTION("""COMPUTED_VALUE"""),2357)</f>
        <v>2357</v>
      </c>
      <c r="E354" s="2" t="str">
        <f ca="1">IFERROR(__xludf.DUMMYFUNCTION("""COMPUTED_VALUE"""),"EG04-EG05-EG06-EG07-EG08-EG09")</f>
        <v>EG04-EG05-EG06-EG07-EG08-EG09</v>
      </c>
      <c r="F354" s="2" t="str">
        <f ca="1">IFERROR(__xludf.DUMMYFUNCTION("""COMPUTED_VALUE"""),"elsayeddina@hotmail.com")</f>
        <v>elsayeddina@hotmail.com</v>
      </c>
      <c r="G354" s="2" t="str">
        <f ca="1">IFERROR(__xludf.DUMMYFUNCTION("""COMPUTED_VALUE"""),"01114432985")</f>
        <v>01114432985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 t="str">
        <f ca="1">IFERROR(__xludf.DUMMYFUNCTION("""COMPUTED_VALUE"""),"نرمين سعيد")</f>
        <v>نرمين سعيد</v>
      </c>
      <c r="B355" s="2">
        <f ca="1">IFERROR(__xludf.DUMMYFUNCTION("""COMPUTED_VALUE"""),716141713108)</f>
        <v>716141713108</v>
      </c>
      <c r="C355" s="2" t="str">
        <f ca="1">IFERROR(__xludf.DUMMYFUNCTION("""COMPUTED_VALUE"""),"نرمين سعيد")</f>
        <v>نرمين سعيد</v>
      </c>
      <c r="D355" s="2">
        <f ca="1">IFERROR(__xludf.DUMMYFUNCTION("""COMPUTED_VALUE"""),2355)</f>
        <v>2355</v>
      </c>
      <c r="E355" s="2" t="str">
        <f ca="1">IFERROR(__xludf.DUMMYFUNCTION("""COMPUTED_VALUE"""),"EG07-EG08-EG09")</f>
        <v>EG07-EG08-EG09</v>
      </c>
      <c r="F355" s="2" t="str">
        <f ca="1">IFERROR(__xludf.DUMMYFUNCTION("""COMPUTED_VALUE"""),"nrmeensaeed28191@gmail.com")</f>
        <v>nrmeensaeed28191@gmail.com</v>
      </c>
      <c r="G355" s="2" t="str">
        <f ca="1">IFERROR(__xludf.DUMMYFUNCTION("""COMPUTED_VALUE"""),"01065167912")</f>
        <v>01065167912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 t="str">
        <f ca="1">IFERROR(__xludf.DUMMYFUNCTION("""COMPUTED_VALUE"""),"إيمان إبراهيم")</f>
        <v>إيمان إبراهيم</v>
      </c>
      <c r="B356" s="2">
        <f ca="1">IFERROR(__xludf.DUMMYFUNCTION("""COMPUTED_VALUE"""),727157584915)</f>
        <v>727157584915</v>
      </c>
      <c r="C356" s="2" t="str">
        <f ca="1">IFERROR(__xludf.DUMMYFUNCTION("""COMPUTED_VALUE"""),"إيمان إبراهيم")</f>
        <v>إيمان إبراهيم</v>
      </c>
      <c r="D356" s="2">
        <f ca="1">IFERROR(__xludf.DUMMYFUNCTION("""COMPUTED_VALUE"""),2354)</f>
        <v>2354</v>
      </c>
      <c r="E356" s="2" t="str">
        <f ca="1">IFERROR(__xludf.DUMMYFUNCTION("""COMPUTED_VALUE"""),"EG04-EG05")</f>
        <v>EG04-EG05</v>
      </c>
      <c r="F356" s="2" t="str">
        <f ca="1">IFERROR(__xludf.DUMMYFUNCTION("""COMPUTED_VALUE"""),"emanhamdy9876@gmail.com")</f>
        <v>emanhamdy9876@gmail.com</v>
      </c>
      <c r="G356" s="2" t="str">
        <f ca="1">IFERROR(__xludf.DUMMYFUNCTION("""COMPUTED_VALUE"""),"01118049112")</f>
        <v>01118049112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 t="str">
        <f ca="1">IFERROR(__xludf.DUMMYFUNCTION("""COMPUTED_VALUE"""),"مونيكا عماد")</f>
        <v>مونيكا عماد</v>
      </c>
      <c r="B357" s="2">
        <f ca="1">IFERROR(__xludf.DUMMYFUNCTION("""COMPUTED_VALUE"""),238140327279)</f>
        <v>238140327279</v>
      </c>
      <c r="C357" s="2" t="str">
        <f ca="1">IFERROR(__xludf.DUMMYFUNCTION("""COMPUTED_VALUE"""),"مونيكا عماد")</f>
        <v>مونيكا عماد</v>
      </c>
      <c r="D357" s="2">
        <f ca="1">IFERROR(__xludf.DUMMYFUNCTION("""COMPUTED_VALUE"""),2350)</f>
        <v>2350</v>
      </c>
      <c r="E357" s="2" t="str">
        <f ca="1">IFERROR(__xludf.DUMMYFUNCTION("""COMPUTED_VALUE"""),"EG07-EG08-EG09")</f>
        <v>EG07-EG08-EG09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 t="str">
        <f ca="1">IFERROR(__xludf.DUMMYFUNCTION("""COMPUTED_VALUE"""),"رنا طارق")</f>
        <v>رنا طارق</v>
      </c>
      <c r="B358" s="2">
        <f ca="1">IFERROR(__xludf.DUMMYFUNCTION("""COMPUTED_VALUE"""),943127373092)</f>
        <v>943127373092</v>
      </c>
      <c r="C358" s="2" t="str">
        <f ca="1">IFERROR(__xludf.DUMMYFUNCTION("""COMPUTED_VALUE"""),"رنا طارق")</f>
        <v>رنا طارق</v>
      </c>
      <c r="D358" s="2">
        <f ca="1">IFERROR(__xludf.DUMMYFUNCTION("""COMPUTED_VALUE"""),2353)</f>
        <v>2353</v>
      </c>
      <c r="E358" s="2" t="str">
        <f ca="1">IFERROR(__xludf.DUMMYFUNCTION("""COMPUTED_VALUE"""),"EG04-EG05-EG06-EG07-EG08-EG09")</f>
        <v>EG04-EG05-EG06-EG07-EG08-EG09</v>
      </c>
      <c r="F358" s="2" t="str">
        <f ca="1">IFERROR(__xludf.DUMMYFUNCTION("""COMPUTED_VALUE"""),"rana.tarek.met@gmail.com")</f>
        <v>rana.tarek.met@gmail.com</v>
      </c>
      <c r="G358" s="2" t="str">
        <f ca="1">IFERROR(__xludf.DUMMYFUNCTION("""COMPUTED_VALUE"""),"01142877853")</f>
        <v>01142877853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 t="str">
        <f ca="1">IFERROR(__xludf.DUMMYFUNCTION("""COMPUTED_VALUE"""),"ريهام سلطان")</f>
        <v>ريهام سلطان</v>
      </c>
      <c r="B359" s="2">
        <f ca="1">IFERROR(__xludf.DUMMYFUNCTION("""COMPUTED_VALUE"""),529183826745)</f>
        <v>529183826745</v>
      </c>
      <c r="C359" s="2" t="str">
        <f ca="1">IFERROR(__xludf.DUMMYFUNCTION("""COMPUTED_VALUE"""),"ريهام سلطان")</f>
        <v>ريهام سلطان</v>
      </c>
      <c r="D359" s="2">
        <f ca="1">IFERROR(__xludf.DUMMYFUNCTION("""COMPUTED_VALUE"""),2379)</f>
        <v>2379</v>
      </c>
      <c r="E359" s="2"/>
      <c r="F359" s="2" t="str">
        <f ca="1">IFERROR(__xludf.DUMMYFUNCTION("""COMPUTED_VALUE"""),"rehamsultan718@gmail.com")</f>
        <v>rehamsultan718@gmail.com</v>
      </c>
      <c r="G359" s="2" t="str">
        <f ca="1">IFERROR(__xludf.DUMMYFUNCTION("""COMPUTED_VALUE"""),"01099408611")</f>
        <v>01099408611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 t="str">
        <f ca="1">IFERROR(__xludf.DUMMYFUNCTION("""COMPUTED_VALUE"""),"هبة عبد العال")</f>
        <v>هبة عبد العال</v>
      </c>
      <c r="B360" s="2">
        <f ca="1">IFERROR(__xludf.DUMMYFUNCTION("""COMPUTED_VALUE"""),589150897049)</f>
        <v>589150897049</v>
      </c>
      <c r="C360" s="2" t="str">
        <f ca="1">IFERROR(__xludf.DUMMYFUNCTION("""COMPUTED_VALUE"""),"هبة عبد العال")</f>
        <v>هبة عبد العال</v>
      </c>
      <c r="D360" s="2">
        <f ca="1">IFERROR(__xludf.DUMMYFUNCTION("""COMPUTED_VALUE"""),2377)</f>
        <v>2377</v>
      </c>
      <c r="E360" s="2" t="str">
        <f ca="1">IFERROR(__xludf.DUMMYFUNCTION("""COMPUTED_VALUE"""),"EG04-EG05-EG06-EG07-EG08-EG09")</f>
        <v>EG04-EG05-EG06-EG07-EG08-EG09</v>
      </c>
      <c r="F360" s="2" t="str">
        <f ca="1">IFERROR(__xludf.DUMMYFUNCTION("""COMPUTED_VALUE"""),"hebamohamed.bloom@gmail.com")</f>
        <v>hebamohamed.bloom@gmail.com</v>
      </c>
      <c r="G360" s="2" t="str">
        <f ca="1">IFERROR(__xludf.DUMMYFUNCTION("""COMPUTED_VALUE"""),"01094740302")</f>
        <v>01094740302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 t="str">
        <f ca="1">IFERROR(__xludf.DUMMYFUNCTION("""COMPUTED_VALUE"""),"محمد حمدي")</f>
        <v>محمد حمدي</v>
      </c>
      <c r="B361" s="2">
        <f ca="1">IFERROR(__xludf.DUMMYFUNCTION("""COMPUTED_VALUE"""),839190937852)</f>
        <v>839190937852</v>
      </c>
      <c r="C361" s="2" t="str">
        <f ca="1">IFERROR(__xludf.DUMMYFUNCTION("""COMPUTED_VALUE"""),"محمد حمدي")</f>
        <v>محمد حمدي</v>
      </c>
      <c r="D361" s="2">
        <f ca="1">IFERROR(__xludf.DUMMYFUNCTION("""COMPUTED_VALUE"""),2378)</f>
        <v>2378</v>
      </c>
      <c r="E361" s="2" t="str">
        <f ca="1">IFERROR(__xludf.DUMMYFUNCTION("""COMPUTED_VALUE"""),"EG07-EG08-EG09-EG10-EG11-EG12")</f>
        <v>EG07-EG08-EG09-EG10-EG11-EG12</v>
      </c>
      <c r="F361" s="2" t="str">
        <f ca="1">IFERROR(__xludf.DUMMYFUNCTION("""COMPUTED_VALUE"""),"muhamed.2866893@gmail.com")</f>
        <v>muhamed.2866893@gmail.com</v>
      </c>
      <c r="G361" s="2" t="str">
        <f ca="1">IFERROR(__xludf.DUMMYFUNCTION("""COMPUTED_VALUE"""),"01009253528")</f>
        <v>01009253528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 t="str">
        <f ca="1">IFERROR(__xludf.DUMMYFUNCTION("""COMPUTED_VALUE"""),"رانا سامي")</f>
        <v>رانا سامي</v>
      </c>
      <c r="B362" s="2">
        <f ca="1">IFERROR(__xludf.DUMMYFUNCTION("""COMPUTED_VALUE"""),809198759721)</f>
        <v>809198759721</v>
      </c>
      <c r="C362" s="2" t="str">
        <f ca="1">IFERROR(__xludf.DUMMYFUNCTION("""COMPUTED_VALUE"""),"رانا سامي")</f>
        <v>رانا سامي</v>
      </c>
      <c r="D362" s="2">
        <f ca="1">IFERROR(__xludf.DUMMYFUNCTION("""COMPUTED_VALUE"""),2367)</f>
        <v>2367</v>
      </c>
      <c r="E362" s="2" t="str">
        <f ca="1">IFERROR(__xludf.DUMMYFUNCTION("""COMPUTED_VALUE"""),"EG04-EG05-EG06-EG07")</f>
        <v>EG04-EG05-EG06-EG07</v>
      </c>
      <c r="F362" s="2" t="str">
        <f ca="1">IFERROR(__xludf.DUMMYFUNCTION("""COMPUTED_VALUE"""),"rana.hrly@gmail.com")</f>
        <v>rana.hrly@gmail.com</v>
      </c>
      <c r="G362" s="2" t="str">
        <f ca="1">IFERROR(__xludf.DUMMYFUNCTION("""COMPUTED_VALUE"""),"01210614318")</f>
        <v>01210614318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 t="str">
        <f ca="1">IFERROR(__xludf.DUMMYFUNCTION("""COMPUTED_VALUE"""),"إيمان عادل")</f>
        <v>إيمان عادل</v>
      </c>
      <c r="B363" s="2">
        <f ca="1">IFERROR(__xludf.DUMMYFUNCTION("""COMPUTED_VALUE"""),146150758976)</f>
        <v>146150758976</v>
      </c>
      <c r="C363" s="2" t="str">
        <f ca="1">IFERROR(__xludf.DUMMYFUNCTION("""COMPUTED_VALUE"""),"إيمان عادل")</f>
        <v>إيمان عادل</v>
      </c>
      <c r="D363" s="2">
        <f ca="1">IFERROR(__xludf.DUMMYFUNCTION("""COMPUTED_VALUE"""),2375)</f>
        <v>2375</v>
      </c>
      <c r="E363" s="2" t="str">
        <f ca="1">IFERROR(__xludf.DUMMYFUNCTION("""COMPUTED_VALUE"""),"EG04-EG05-EG06-EG07-EG08-EG09")</f>
        <v>EG04-EG05-EG06-EG07-EG08-EG09</v>
      </c>
      <c r="F363" s="2" t="str">
        <f ca="1">IFERROR(__xludf.DUMMYFUNCTION("""COMPUTED_VALUE"""),"emanyassen175@gmail.com")</f>
        <v>emanyassen175@gmail.com</v>
      </c>
      <c r="G363" s="2" t="str">
        <f ca="1">IFERROR(__xludf.DUMMYFUNCTION("""COMPUTED_VALUE"""),"01124999968")</f>
        <v>01124999968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 t="str">
        <f ca="1">IFERROR(__xludf.DUMMYFUNCTION("""COMPUTED_VALUE"""),"نهال زاهر")</f>
        <v>نهال زاهر</v>
      </c>
      <c r="B364" s="2">
        <f ca="1">IFERROR(__xludf.DUMMYFUNCTION("""COMPUTED_VALUE"""),783123583101)</f>
        <v>783123583101</v>
      </c>
      <c r="C364" s="2" t="str">
        <f ca="1">IFERROR(__xludf.DUMMYFUNCTION("""COMPUTED_VALUE"""),"نهال زاهر")</f>
        <v>نهال زاهر</v>
      </c>
      <c r="D364" s="2">
        <f ca="1">IFERROR(__xludf.DUMMYFUNCTION("""COMPUTED_VALUE"""),2376)</f>
        <v>2376</v>
      </c>
      <c r="E364" s="2" t="str">
        <f ca="1">IFERROR(__xludf.DUMMYFUNCTION("""COMPUTED_VALUE"""),"EG09-EG10-EG11")</f>
        <v>EG09-EG10-EG11</v>
      </c>
      <c r="F364" s="2" t="str">
        <f ca="1">IFERROR(__xludf.DUMMYFUNCTION("""COMPUTED_VALUE"""),"nehalzaher@gmail.com")</f>
        <v>nehalzaher@gmail.com</v>
      </c>
      <c r="G364" s="2">
        <f ca="1">IFERROR(__xludf.DUMMYFUNCTION("""COMPUTED_VALUE"""),91111734555)</f>
        <v>91111734555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 t="str">
        <f ca="1">IFERROR(__xludf.DUMMYFUNCTION("""COMPUTED_VALUE"""),"أحمد عبد الستار")</f>
        <v>أحمد عبد الستار</v>
      </c>
      <c r="B365" s="2">
        <f ca="1">IFERROR(__xludf.DUMMYFUNCTION("""COMPUTED_VALUE"""),606135373517)</f>
        <v>606135373517</v>
      </c>
      <c r="C365" s="2" t="str">
        <f ca="1">IFERROR(__xludf.DUMMYFUNCTION("""COMPUTED_VALUE"""),"أحمد عبد الستار")</f>
        <v>أحمد عبد الستار</v>
      </c>
      <c r="D365" s="2">
        <f ca="1">IFERROR(__xludf.DUMMYFUNCTION("""COMPUTED_VALUE"""),2372)</f>
        <v>2372</v>
      </c>
      <c r="E365" s="2" t="str">
        <f ca="1">IFERROR(__xludf.DUMMYFUNCTION("""COMPUTED_VALUE"""),"EG10-EG11-G12")</f>
        <v>EG10-EG11-G12</v>
      </c>
      <c r="F365" s="2" t="str">
        <f ca="1">IFERROR(__xludf.DUMMYFUNCTION("""COMPUTED_VALUE"""),"sitroful350@gmail.com")</f>
        <v>sitroful350@gmail.com</v>
      </c>
      <c r="G365" s="2" t="str">
        <f ca="1">IFERROR(__xludf.DUMMYFUNCTION("""COMPUTED_VALUE"""),"01204178960")</f>
        <v>01204178960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 t="str">
        <f ca="1">IFERROR(__xludf.DUMMYFUNCTION("""COMPUTED_VALUE"""),"جورج إدريس")</f>
        <v>جورج إدريس</v>
      </c>
      <c r="B366" s="2">
        <f ca="1">IFERROR(__xludf.DUMMYFUNCTION("""COMPUTED_VALUE"""),538169672528)</f>
        <v>538169672528</v>
      </c>
      <c r="C366" s="2" t="str">
        <f ca="1">IFERROR(__xludf.DUMMYFUNCTION("""COMPUTED_VALUE"""),"جورج إدريس")</f>
        <v>جورج إدريس</v>
      </c>
      <c r="D366" s="2">
        <f ca="1">IFERROR(__xludf.DUMMYFUNCTION("""COMPUTED_VALUE"""),2369)</f>
        <v>2369</v>
      </c>
      <c r="E366" s="2" t="str">
        <f ca="1">IFERROR(__xludf.DUMMYFUNCTION("""COMPUTED_VALUE"""),"EG10-EG11-G12")</f>
        <v>EG10-EG11-G12</v>
      </c>
      <c r="F366" s="2" t="str">
        <f ca="1">IFERROR(__xludf.DUMMYFUNCTION("""COMPUTED_VALUE"""),"geo.georgeedris@gmail.com")</f>
        <v>geo.georgeedris@gmail.com</v>
      </c>
      <c r="G366" s="2" t="str">
        <f ca="1">IFERROR(__xludf.DUMMYFUNCTION("""COMPUTED_VALUE"""),"01289730426")</f>
        <v>01289730426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 t="str">
        <f ca="1">IFERROR(__xludf.DUMMYFUNCTION("""COMPUTED_VALUE"""),"أحمد صالح")</f>
        <v>أحمد صالح</v>
      </c>
      <c r="B367" s="2">
        <f ca="1">IFERROR(__xludf.DUMMYFUNCTION("""COMPUTED_VALUE"""),587173545189)</f>
        <v>587173545189</v>
      </c>
      <c r="C367" s="2" t="str">
        <f ca="1">IFERROR(__xludf.DUMMYFUNCTION("""COMPUTED_VALUE"""),"أحمد صالح")</f>
        <v>أحمد صالح</v>
      </c>
      <c r="D367" s="2">
        <f ca="1">IFERROR(__xludf.DUMMYFUNCTION("""COMPUTED_VALUE"""),2371)</f>
        <v>2371</v>
      </c>
      <c r="E367" s="2" t="str">
        <f ca="1">IFERROR(__xludf.DUMMYFUNCTION("""COMPUTED_VALUE"""),"EG08-EG09-EG10-EG11-EG12")</f>
        <v>EG08-EG09-EG10-EG11-EG12</v>
      </c>
      <c r="F367" s="2" t="str">
        <f ca="1">IFERROR(__xludf.DUMMYFUNCTION("""COMPUTED_VALUE"""),"saleh8015@gmail.com")</f>
        <v>saleh8015@gmail.com</v>
      </c>
      <c r="G367" s="2" t="str">
        <f ca="1">IFERROR(__xludf.DUMMYFUNCTION("""COMPUTED_VALUE"""),"01122606455")</f>
        <v>01122606455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 t="str">
        <f ca="1">IFERROR(__xludf.DUMMYFUNCTION("""COMPUTED_VALUE"""),"أحمد فتحي عبد الله")</f>
        <v>أحمد فتحي عبد الله</v>
      </c>
      <c r="B368" s="2">
        <f ca="1">IFERROR(__xludf.DUMMYFUNCTION("""COMPUTED_VALUE"""),250145985245)</f>
        <v>250145985245</v>
      </c>
      <c r="C368" s="2" t="str">
        <f ca="1">IFERROR(__xludf.DUMMYFUNCTION("""COMPUTED_VALUE"""),"أحمد فتحي عبد الله")</f>
        <v>أحمد فتحي عبد الله</v>
      </c>
      <c r="D368" s="2">
        <f ca="1">IFERROR(__xludf.DUMMYFUNCTION("""COMPUTED_VALUE"""),2374)</f>
        <v>2374</v>
      </c>
      <c r="E368" s="2" t="str">
        <f ca="1">IFERROR(__xludf.DUMMYFUNCTION("""COMPUTED_VALUE"""),"EG07-EG08-EG09")</f>
        <v>EG07-EG08-EG09</v>
      </c>
      <c r="F368" s="2" t="str">
        <f ca="1">IFERROR(__xludf.DUMMYFUNCTION("""COMPUTED_VALUE"""),"afthy6959@gmail.com")</f>
        <v>afthy6959@gmail.com</v>
      </c>
      <c r="G368" s="2" t="str">
        <f ca="1">IFERROR(__xludf.DUMMYFUNCTION("""COMPUTED_VALUE"""),"01010649710")</f>
        <v>01010649710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 t="str">
        <f ca="1">IFERROR(__xludf.DUMMYFUNCTION("""COMPUTED_VALUE"""),"أسامة إمام")</f>
        <v>أسامة إمام</v>
      </c>
      <c r="B369" s="2">
        <f ca="1">IFERROR(__xludf.DUMMYFUNCTION("""COMPUTED_VALUE"""),830132652879)</f>
        <v>830132652879</v>
      </c>
      <c r="C369" s="2" t="str">
        <f ca="1">IFERROR(__xludf.DUMMYFUNCTION("""COMPUTED_VALUE"""),"أسامة إمام")</f>
        <v>أسامة إمام</v>
      </c>
      <c r="D369" s="2">
        <f ca="1">IFERROR(__xludf.DUMMYFUNCTION("""COMPUTED_VALUE"""),2368)</f>
        <v>2368</v>
      </c>
      <c r="E369" s="2" t="str">
        <f ca="1">IFERROR(__xludf.DUMMYFUNCTION("""COMPUTED_VALUE"""),"EG10-EG11-G12")</f>
        <v>EG10-EG11-G12</v>
      </c>
      <c r="F369" s="2" t="str">
        <f ca="1">IFERROR(__xludf.DUMMYFUNCTION("""COMPUTED_VALUE"""),"984255@sharkia1.moe.edu.eg")</f>
        <v>984255@sharkia1.moe.edu.eg</v>
      </c>
      <c r="G369" s="2" t="str">
        <f ca="1">IFERROR(__xludf.DUMMYFUNCTION("""COMPUTED_VALUE"""),"01283142438")</f>
        <v>01283142438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 t="str">
        <f ca="1">IFERROR(__xludf.DUMMYFUNCTION("""COMPUTED_VALUE"""),"إيمان السيد")</f>
        <v>إيمان السيد</v>
      </c>
      <c r="B370" s="2">
        <f ca="1">IFERROR(__xludf.DUMMYFUNCTION("""COMPUTED_VALUE"""),794175742320)</f>
        <v>794175742320</v>
      </c>
      <c r="C370" s="2" t="str">
        <f ca="1">IFERROR(__xludf.DUMMYFUNCTION("""COMPUTED_VALUE"""),"إيمان السيد")</f>
        <v>إيمان السيد</v>
      </c>
      <c r="D370" s="2">
        <f ca="1">IFERROR(__xludf.DUMMYFUNCTION("""COMPUTED_VALUE"""),2370)</f>
        <v>2370</v>
      </c>
      <c r="E370" s="2" t="str">
        <f ca="1">IFERROR(__xludf.DUMMYFUNCTION("""COMPUTED_VALUE"""),"لم يعجبها نظام الدفع والتسجيلات وقالت إنها لا تريد أن تقدم وقتها في ""حاجة غير مجدية"" واستقالت بالفعل")</f>
        <v>لم يعجبها نظام الدفع والتسجيلات وقالت إنها لا تريد أن تقدم وقتها في "حاجة غير مجدية" واستقالت بالفعل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 t="str">
        <f ca="1">IFERROR(__xludf.DUMMYFUNCTION("""COMPUTED_VALUE"""),"دعاء نجيب")</f>
        <v>دعاء نجيب</v>
      </c>
      <c r="B371" s="2">
        <f ca="1">IFERROR(__xludf.DUMMYFUNCTION("""COMPUTED_VALUE"""),657134826213)</f>
        <v>657134826213</v>
      </c>
      <c r="C371" s="2" t="str">
        <f ca="1">IFERROR(__xludf.DUMMYFUNCTION("""COMPUTED_VALUE"""),"دعاء نجيب")</f>
        <v>دعاء نجيب</v>
      </c>
      <c r="D371" s="2">
        <f ca="1">IFERROR(__xludf.DUMMYFUNCTION("""COMPUTED_VALUE"""),2397)</f>
        <v>2397</v>
      </c>
      <c r="E371" s="2" t="str">
        <f ca="1">IFERROR(__xludf.DUMMYFUNCTION("""COMPUTED_VALUE"""),"EG04-EG05-EG06")</f>
        <v>EG04-EG05-EG06</v>
      </c>
      <c r="F371" s="2" t="str">
        <f ca="1">IFERROR(__xludf.DUMMYFUNCTION("""COMPUTED_VALUE"""),"douaanaguib@gmail.com")</f>
        <v>douaanaguib@gmail.com</v>
      </c>
      <c r="G371" s="2" t="str">
        <f ca="1">IFERROR(__xludf.DUMMYFUNCTION("""COMPUTED_VALUE"""),"01000271867")</f>
        <v>01000271867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 t="str">
        <f ca="1">IFERROR(__xludf.DUMMYFUNCTION("""COMPUTED_VALUE"""),"ريم الديب")</f>
        <v>ريم الديب</v>
      </c>
      <c r="B372" s="2">
        <f ca="1">IFERROR(__xludf.DUMMYFUNCTION("""COMPUTED_VALUE"""),958105146807)</f>
        <v>958105146807</v>
      </c>
      <c r="C372" s="2" t="str">
        <f ca="1">IFERROR(__xludf.DUMMYFUNCTION("""COMPUTED_VALUE"""),"ريم الديب")</f>
        <v>ريم الديب</v>
      </c>
      <c r="D372" s="2">
        <f ca="1">IFERROR(__xludf.DUMMYFUNCTION("""COMPUTED_VALUE"""),2401)</f>
        <v>2401</v>
      </c>
      <c r="E372" s="2" t="str">
        <f ca="1">IFERROR(__xludf.DUMMYFUNCTION("""COMPUTED_VALUE"""),"EG4-EG5-EG6-EG7-EG8-EG9")</f>
        <v>EG4-EG5-EG6-EG7-EG8-EG9</v>
      </c>
      <c r="F372" s="2" t="str">
        <f ca="1">IFERROR(__xludf.DUMMYFUNCTION("""COMPUTED_VALUE"""),"raldeeb.hesham@gmail.com")</f>
        <v>raldeeb.hesham@gmail.com</v>
      </c>
      <c r="G372" s="2" t="str">
        <f ca="1">IFERROR(__xludf.DUMMYFUNCTION("""COMPUTED_VALUE"""),"01010014454")</f>
        <v>01010014454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 t="str">
        <f ca="1">IFERROR(__xludf.DUMMYFUNCTION("""COMPUTED_VALUE"""),"أحمد مندور")</f>
        <v>أحمد مندور</v>
      </c>
      <c r="B373" s="2">
        <f ca="1">IFERROR(__xludf.DUMMYFUNCTION("""COMPUTED_VALUE"""),969125749578)</f>
        <v>969125749578</v>
      </c>
      <c r="C373" s="2" t="str">
        <f ca="1">IFERROR(__xludf.DUMMYFUNCTION("""COMPUTED_VALUE"""),"أحمد مندور")</f>
        <v>أحمد مندور</v>
      </c>
      <c r="D373" s="2">
        <f ca="1">IFERROR(__xludf.DUMMYFUNCTION("""COMPUTED_VALUE"""),2398)</f>
        <v>2398</v>
      </c>
      <c r="E373" s="2" t="str">
        <f ca="1">IFERROR(__xludf.DUMMYFUNCTION("""COMPUTED_VALUE"""),"EG04-EG05-EG06-EG07-EG08-EG09")</f>
        <v>EG04-EG05-EG06-EG07-EG08-EG09</v>
      </c>
      <c r="F373" s="2" t="str">
        <f ca="1">IFERROR(__xludf.DUMMYFUNCTION("""COMPUTED_VALUE"""),"greenocean1221@gmail.com")</f>
        <v>greenocean1221@gmail.com</v>
      </c>
      <c r="G373" s="2" t="str">
        <f ca="1">IFERROR(__xludf.DUMMYFUNCTION("""COMPUTED_VALUE"""),"01004480246")</f>
        <v>01004480246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 t="str">
        <f ca="1">IFERROR(__xludf.DUMMYFUNCTION("""COMPUTED_VALUE"""),"نورهان هاني")</f>
        <v>نورهان هاني</v>
      </c>
      <c r="B374" s="2">
        <f ca="1">IFERROR(__xludf.DUMMYFUNCTION("""COMPUTED_VALUE"""),832181306187)</f>
        <v>832181306187</v>
      </c>
      <c r="C374" s="2" t="str">
        <f ca="1">IFERROR(__xludf.DUMMYFUNCTION("""COMPUTED_VALUE"""),"نورهان هاني")</f>
        <v>نورهان هاني</v>
      </c>
      <c r="D374" s="2">
        <f ca="1">IFERROR(__xludf.DUMMYFUNCTION("""COMPUTED_VALUE"""),2436)</f>
        <v>2436</v>
      </c>
      <c r="E374" s="2" t="str">
        <f ca="1">IFERROR(__xludf.DUMMYFUNCTION("""COMPUTED_VALUE"""),"EG01-EG02-EG03-EG04-EG05-EG06")</f>
        <v>EG01-EG02-EG03-EG04-EG05-EG06</v>
      </c>
      <c r="F374" s="2" t="str">
        <f ca="1">IFERROR(__xludf.DUMMYFUNCTION("""COMPUTED_VALUE"""),"nourhan.hany.amer.1992@gmail.com")</f>
        <v>nourhan.hany.amer.1992@gmail.com</v>
      </c>
      <c r="G374" s="2" t="str">
        <f ca="1">IFERROR(__xludf.DUMMYFUNCTION("""COMPUTED_VALUE"""),"01023766623")</f>
        <v>01023766623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 t="str">
        <f ca="1">IFERROR(__xludf.DUMMYFUNCTION("""COMPUTED_VALUE"""),"إيناس علي")</f>
        <v>إيناس علي</v>
      </c>
      <c r="B375" s="2">
        <f ca="1">IFERROR(__xludf.DUMMYFUNCTION("""COMPUTED_VALUE"""),156163195097)</f>
        <v>156163195097</v>
      </c>
      <c r="C375" s="2" t="str">
        <f ca="1">IFERROR(__xludf.DUMMYFUNCTION("""COMPUTED_VALUE"""),"إيناس علي")</f>
        <v>إيناس علي</v>
      </c>
      <c r="D375" s="2">
        <f ca="1">IFERROR(__xludf.DUMMYFUNCTION("""COMPUTED_VALUE"""),2456)</f>
        <v>2456</v>
      </c>
      <c r="E375" s="2" t="str">
        <f ca="1">IFERROR(__xludf.DUMMYFUNCTION("""COMPUTED_VALUE"""),"EG04-EG05-EG06")</f>
        <v>EG04-EG05-EG06</v>
      </c>
      <c r="F375" s="2" t="str">
        <f ca="1">IFERROR(__xludf.DUMMYFUNCTION("""COMPUTED_VALUE"""),"enas.ali91@gmail.com")</f>
        <v>enas.ali91@gmail.com</v>
      </c>
      <c r="G375" s="2" t="str">
        <f ca="1">IFERROR(__xludf.DUMMYFUNCTION("""COMPUTED_VALUE"""),"01014651990")</f>
        <v>01014651990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 t="str">
        <f ca="1">IFERROR(__xludf.DUMMYFUNCTION("""COMPUTED_VALUE"""),"يمنى ياسر")</f>
        <v>يمنى ياسر</v>
      </c>
      <c r="B376" s="2">
        <f ca="1">IFERROR(__xludf.DUMMYFUNCTION("""COMPUTED_VALUE"""),140157603065)</f>
        <v>140157603065</v>
      </c>
      <c r="C376" s="2" t="str">
        <f ca="1">IFERROR(__xludf.DUMMYFUNCTION("""COMPUTED_VALUE"""),"يمنى ياسر")</f>
        <v>يمنى ياسر</v>
      </c>
      <c r="D376" s="2">
        <f ca="1">IFERROR(__xludf.DUMMYFUNCTION("""COMPUTED_VALUE"""),2380)</f>
        <v>2380</v>
      </c>
      <c r="E376" s="2" t="str">
        <f ca="1">IFERROR(__xludf.DUMMYFUNCTION("""COMPUTED_VALUE"""),"EG04")</f>
        <v>EG04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 t="str">
        <f ca="1">IFERROR(__xludf.DUMMYFUNCTION("""COMPUTED_VALUE"""),"أسماء العبساوي")</f>
        <v>أسماء العبساوي</v>
      </c>
      <c r="B377" s="2">
        <f ca="1">IFERROR(__xludf.DUMMYFUNCTION("""COMPUTED_VALUE"""),498131373584)</f>
        <v>498131373584</v>
      </c>
      <c r="C377" s="2" t="str">
        <f ca="1">IFERROR(__xludf.DUMMYFUNCTION("""COMPUTED_VALUE"""),"أسماء العبساوي")</f>
        <v>أسماء العبساوي</v>
      </c>
      <c r="D377" s="2">
        <f ca="1">IFERROR(__xludf.DUMMYFUNCTION("""COMPUTED_VALUE"""),2394)</f>
        <v>2394</v>
      </c>
      <c r="E377" s="2" t="str">
        <f ca="1">IFERROR(__xludf.DUMMYFUNCTION("""COMPUTED_VALUE"""),"EG04-EG05-EG06-EG07-EG08-EG09")</f>
        <v>EG04-EG05-EG06-EG07-EG08-EG09</v>
      </c>
      <c r="F377" s="2" t="str">
        <f ca="1">IFERROR(__xludf.DUMMYFUNCTION("""COMPUTED_VALUE"""),"asmaaelabsawy2@gmail.com")</f>
        <v>asmaaelabsawy2@gmail.com</v>
      </c>
      <c r="G377" s="2" t="str">
        <f ca="1">IFERROR(__xludf.DUMMYFUNCTION("""COMPUTED_VALUE"""),"01004001141")</f>
        <v>01004001141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 t="str">
        <f ca="1">IFERROR(__xludf.DUMMYFUNCTION("""COMPUTED_VALUE"""),"نوران أسامة")</f>
        <v>نوران أسامة</v>
      </c>
      <c r="B378" s="2">
        <f ca="1">IFERROR(__xludf.DUMMYFUNCTION("""COMPUTED_VALUE"""),426167021594)</f>
        <v>426167021594</v>
      </c>
      <c r="C378" s="2" t="str">
        <f ca="1">IFERROR(__xludf.DUMMYFUNCTION("""COMPUTED_VALUE"""),"نوران أسامة")</f>
        <v>نوران أسامة</v>
      </c>
      <c r="D378" s="2">
        <f ca="1">IFERROR(__xludf.DUMMYFUNCTION("""COMPUTED_VALUE"""),2519)</f>
        <v>2519</v>
      </c>
      <c r="E378" s="2" t="str">
        <f ca="1">IFERROR(__xludf.DUMMYFUNCTION("""COMPUTED_VALUE"""),"EG01-EG02-EG03-EG04 ")</f>
        <v xml:space="preserve">EG01-EG02-EG03-EG04 </v>
      </c>
      <c r="F378" s="2" t="str">
        <f ca="1">IFERROR(__xludf.DUMMYFUNCTION("""COMPUTED_VALUE"""),"nouranyl64@gmail.com")</f>
        <v>nouranyl64@gmail.com</v>
      </c>
      <c r="G378" s="2" t="str">
        <f ca="1">IFERROR(__xludf.DUMMYFUNCTION("""COMPUTED_VALUE"""),"01010594459")</f>
        <v>01010594459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 t="str">
        <f ca="1">IFERROR(__xludf.DUMMYFUNCTION("""COMPUTED_VALUE"""),"مي سامي")</f>
        <v>مي سامي</v>
      </c>
      <c r="B379" s="2">
        <f ca="1">IFERROR(__xludf.DUMMYFUNCTION("""COMPUTED_VALUE"""),839185648325)</f>
        <v>839185648325</v>
      </c>
      <c r="C379" s="2" t="str">
        <f ca="1">IFERROR(__xludf.DUMMYFUNCTION("""COMPUTED_VALUE"""),"مي سامي")</f>
        <v>مي سامي</v>
      </c>
      <c r="D379" s="2">
        <f ca="1">IFERROR(__xludf.DUMMYFUNCTION("""COMPUTED_VALUE"""),2399)</f>
        <v>2399</v>
      </c>
      <c r="E379" s="2" t="str">
        <f ca="1">IFERROR(__xludf.DUMMYFUNCTION("""COMPUTED_VALUE"""),"EG04-EG05-EG06-G7")</f>
        <v>EG04-EG05-EG06-G7</v>
      </c>
      <c r="F379" s="2" t="str">
        <f ca="1">IFERROR(__xludf.DUMMYFUNCTION("""COMPUTED_VALUE"""),"maighalia54@gmail.com")</f>
        <v>maighalia54@gmail.com</v>
      </c>
      <c r="G379" s="2" t="str">
        <f ca="1">IFERROR(__xludf.DUMMYFUNCTION("""COMPUTED_VALUE"""),"01122888386")</f>
        <v>01122888386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 t="str">
        <f ca="1">IFERROR(__xludf.DUMMYFUNCTION("""COMPUTED_VALUE"""),"مروة عبد القادر")</f>
        <v>مروة عبد القادر</v>
      </c>
      <c r="B380" s="2">
        <f ca="1">IFERROR(__xludf.DUMMYFUNCTION("""COMPUTED_VALUE"""),135137963154)</f>
        <v>135137963154</v>
      </c>
      <c r="C380" s="2" t="str">
        <f ca="1">IFERROR(__xludf.DUMMYFUNCTION("""COMPUTED_VALUE"""),"مروة عبد القادر")</f>
        <v>مروة عبد القادر</v>
      </c>
      <c r="D380" s="2"/>
      <c r="E380" s="2" t="str">
        <f ca="1">IFERROR(__xludf.DUMMYFUNCTION("""COMPUTED_VALUE"""),"EG04-EG05-EG06")</f>
        <v>EG04-EG05-EG06</v>
      </c>
      <c r="F380" s="2" t="str">
        <f ca="1">IFERROR(__xludf.DUMMYFUNCTION("""COMPUTED_VALUE"""),"marwa1980red@hotmail.com")</f>
        <v>marwa1980red@hotmail.com</v>
      </c>
      <c r="G380" s="2" t="str">
        <f ca="1">IFERROR(__xludf.DUMMYFUNCTION("""COMPUTED_VALUE"""),"01210055699")</f>
        <v>01210055699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 t="str">
        <f ca="1">IFERROR(__xludf.DUMMYFUNCTION("""COMPUTED_VALUE"""),"أحمد سيد")</f>
        <v>أحمد سيد</v>
      </c>
      <c r="B381" s="2">
        <f ca="1">IFERROR(__xludf.DUMMYFUNCTION("""COMPUTED_VALUE"""),835129836321)</f>
        <v>835129836321</v>
      </c>
      <c r="C381" s="2" t="str">
        <f ca="1">IFERROR(__xludf.DUMMYFUNCTION("""COMPUTED_VALUE"""),"أحمد سيد")</f>
        <v>أحمد سيد</v>
      </c>
      <c r="D381" s="4" t="str">
        <f ca="1">IFERROR(__xludf.DUMMYFUNCTION("""COMPUTED_VALUE"""),"2250")</f>
        <v>2250</v>
      </c>
      <c r="E381" s="2" t="str">
        <f ca="1">IFERROR(__xludf.DUMMYFUNCTION("""COMPUTED_VALUE"""),"EG07-EG08-EG09")</f>
        <v>EG07-EG08-EG09</v>
      </c>
      <c r="F381" s="2" t="str">
        <f ca="1">IFERROR(__xludf.DUMMYFUNCTION("""COMPUTED_VALUE"""),"ahmeeddsayedd@gmail.com")</f>
        <v>ahmeeddsayedd@gmail.com</v>
      </c>
      <c r="G381" s="2" t="str">
        <f ca="1">IFERROR(__xludf.DUMMYFUNCTION("""COMPUTED_VALUE"""),"01115362496")</f>
        <v>01115362496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 t="str">
        <f ca="1">IFERROR(__xludf.DUMMYFUNCTION("""COMPUTED_VALUE"""),"عمرو خالد")</f>
        <v>عمرو خالد</v>
      </c>
      <c r="B382" s="2">
        <f ca="1">IFERROR(__xludf.DUMMYFUNCTION("""COMPUTED_VALUE"""),782180626727)</f>
        <v>782180626727</v>
      </c>
      <c r="C382" s="2" t="str">
        <f ca="1">IFERROR(__xludf.DUMMYFUNCTION("""COMPUTED_VALUE"""),"عمرو خالد")</f>
        <v>عمرو خالد</v>
      </c>
      <c r="D382" s="2">
        <f ca="1">IFERROR(__xludf.DUMMYFUNCTION("""COMPUTED_VALUE"""),2404)</f>
        <v>2404</v>
      </c>
      <c r="E382" s="2" t="str">
        <f ca="1">IFERROR(__xludf.DUMMYFUNCTION("""COMPUTED_VALUE"""),"EG04-EG05-EG06")</f>
        <v>EG04-EG05-EG06</v>
      </c>
      <c r="F382" s="2" t="str">
        <f ca="1">IFERROR(__xludf.DUMMYFUNCTION("""COMPUTED_VALUE"""),"amr731844@gmail.com")</f>
        <v>amr731844@gmail.com</v>
      </c>
      <c r="G382" s="2" t="str">
        <f ca="1">IFERROR(__xludf.DUMMYFUNCTION("""COMPUTED_VALUE"""),"01094839978")</f>
        <v>01094839978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 t="str">
        <f ca="1">IFERROR(__xludf.DUMMYFUNCTION("""COMPUTED_VALUE"""),"شوقي السيسي")</f>
        <v>شوقي السيسي</v>
      </c>
      <c r="B383" s="2">
        <f ca="1">IFERROR(__xludf.DUMMYFUNCTION("""COMPUTED_VALUE"""),950163761784)</f>
        <v>950163761784</v>
      </c>
      <c r="C383" s="2" t="str">
        <f ca="1">IFERROR(__xludf.DUMMYFUNCTION("""COMPUTED_VALUE"""),"شوقي السيسي")</f>
        <v>شوقي السيسي</v>
      </c>
      <c r="D383" s="2">
        <f ca="1">IFERROR(__xludf.DUMMYFUNCTION("""COMPUTED_VALUE"""),2407)</f>
        <v>2407</v>
      </c>
      <c r="E383" s="2" t="str">
        <f ca="1">IFERROR(__xludf.DUMMYFUNCTION("""COMPUTED_VALUE"""),"EG07-EG08-EG09")</f>
        <v>EG07-EG08-EG09</v>
      </c>
      <c r="F383" s="2" t="str">
        <f ca="1">IFERROR(__xludf.DUMMYFUNCTION("""COMPUTED_VALUE"""),"shawky.m1749501@gmail.com")</f>
        <v>shawky.m1749501@gmail.com</v>
      </c>
      <c r="G383" s="2" t="str">
        <f ca="1">IFERROR(__xludf.DUMMYFUNCTION("""COMPUTED_VALUE"""),"01228870591")</f>
        <v>01228870591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 t="str">
        <f ca="1">IFERROR(__xludf.DUMMYFUNCTION("""COMPUTED_VALUE"""),"أيمن خطاب")</f>
        <v>أيمن خطاب</v>
      </c>
      <c r="B384" s="2">
        <f ca="1">IFERROR(__xludf.DUMMYFUNCTION("""COMPUTED_VALUE"""),943123080878)</f>
        <v>943123080878</v>
      </c>
      <c r="C384" s="2" t="str">
        <f ca="1">IFERROR(__xludf.DUMMYFUNCTION("""COMPUTED_VALUE"""),"أيمن خطاب")</f>
        <v>أيمن خطاب</v>
      </c>
      <c r="D384" s="2">
        <f ca="1">IFERROR(__xludf.DUMMYFUNCTION("""COMPUTED_VALUE"""),2408)</f>
        <v>2408</v>
      </c>
      <c r="E384" s="2" t="str">
        <f ca="1">IFERROR(__xludf.DUMMYFUNCTION("""COMPUTED_VALUE"""),"EG10-EG11-EG12")</f>
        <v>EG10-EG11-EG12</v>
      </c>
      <c r="F384" s="2" t="str">
        <f ca="1">IFERROR(__xludf.DUMMYFUNCTION("""COMPUTED_VALUE"""),"ayman.khatab@stemsharkya.moe.edu.eg")</f>
        <v>ayman.khatab@stemsharkya.moe.edu.eg</v>
      </c>
      <c r="G384" s="2" t="str">
        <f ca="1">IFERROR(__xludf.DUMMYFUNCTION("""COMPUTED_VALUE"""),"01096610286")</f>
        <v>01096610286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 t="str">
        <f ca="1">IFERROR(__xludf.DUMMYFUNCTION("""COMPUTED_VALUE"""),"أحمد صلاح")</f>
        <v>أحمد صلاح</v>
      </c>
      <c r="B385" s="2">
        <f ca="1">IFERROR(__xludf.DUMMYFUNCTION("""COMPUTED_VALUE"""),937180898615)</f>
        <v>937180898615</v>
      </c>
      <c r="C385" s="2" t="str">
        <f ca="1">IFERROR(__xludf.DUMMYFUNCTION("""COMPUTED_VALUE"""),"أحمد صلاح")</f>
        <v>أحمد صلاح</v>
      </c>
      <c r="D385" s="2">
        <f ca="1">IFERROR(__xludf.DUMMYFUNCTION("""COMPUTED_VALUE"""),2356)</f>
        <v>2356</v>
      </c>
      <c r="E385" s="2" t="str">
        <f ca="1">IFERROR(__xludf.DUMMYFUNCTION("""COMPUTED_VALUE"""),"EG07-EG08-EG09")</f>
        <v>EG07-EG08-EG09</v>
      </c>
      <c r="F385" s="2" t="str">
        <f ca="1">IFERROR(__xludf.DUMMYFUNCTION("""COMPUTED_VALUE"""),"ahmedsalah991986@gmail.com")</f>
        <v>ahmedsalah991986@gmail.com</v>
      </c>
      <c r="G385" s="2" t="str">
        <f ca="1">IFERROR(__xludf.DUMMYFUNCTION("""COMPUTED_VALUE"""),"01224705674")</f>
        <v>01224705674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 t="str">
        <f ca="1">IFERROR(__xludf.DUMMYFUNCTION("""COMPUTED_VALUE"""),"باسم حسين")</f>
        <v>باسم حسين</v>
      </c>
      <c r="B386" s="2">
        <f ca="1">IFERROR(__xludf.DUMMYFUNCTION("""COMPUTED_VALUE"""),312183290317)</f>
        <v>312183290317</v>
      </c>
      <c r="C386" s="2" t="str">
        <f ca="1">IFERROR(__xludf.DUMMYFUNCTION("""COMPUTED_VALUE"""),"باسم حسين")</f>
        <v>باسم حسين</v>
      </c>
      <c r="D386" s="4" t="str">
        <f ca="1">IFERROR(__xludf.DUMMYFUNCTION("""COMPUTED_VALUE"""),"2087")</f>
        <v>2087</v>
      </c>
      <c r="E386" s="2"/>
      <c r="F386" s="2" t="str">
        <f ca="1">IFERROR(__xludf.DUMMYFUNCTION("""COMPUTED_VALUE"""),"bassemibrahim8899@gmail.com")</f>
        <v>bassemibrahim8899@gmail.com</v>
      </c>
      <c r="G386" s="2" t="str">
        <f ca="1">IFERROR(__xludf.DUMMYFUNCTION("""COMPUTED_VALUE"""),"01004916918")</f>
        <v>01004916918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 t="str">
        <f ca="1">IFERROR(__xludf.DUMMYFUNCTION("""COMPUTED_VALUE"""),"عبد الرحمن فتحي")</f>
        <v>عبد الرحمن فتحي</v>
      </c>
      <c r="B387" s="2">
        <f ca="1">IFERROR(__xludf.DUMMYFUNCTION("""COMPUTED_VALUE"""),498171430513)</f>
        <v>498171430513</v>
      </c>
      <c r="C387" s="2" t="str">
        <f ca="1">IFERROR(__xludf.DUMMYFUNCTION("""COMPUTED_VALUE"""),"عبد الرحمن فتحي")</f>
        <v>عبد الرحمن فتحي</v>
      </c>
      <c r="D387" s="2">
        <f ca="1">IFERROR(__xludf.DUMMYFUNCTION("""COMPUTED_VALUE"""),2349)</f>
        <v>2349</v>
      </c>
      <c r="E387" s="2" t="str">
        <f ca="1">IFERROR(__xludf.DUMMYFUNCTION("""COMPUTED_VALUE"""),"EG04-EG05-EG06-EG07-EG08")</f>
        <v>EG04-EG05-EG06-EG07-EG08</v>
      </c>
      <c r="F387" s="2" t="str">
        <f ca="1">IFERROR(__xludf.DUMMYFUNCTION("""COMPUTED_VALUE"""),"abdelrahmanfathi003@gmail.com")</f>
        <v>abdelrahmanfathi003@gmail.com</v>
      </c>
      <c r="G387" s="2" t="str">
        <f ca="1">IFERROR(__xludf.DUMMYFUNCTION("""COMPUTED_VALUE"""),"01028192743")</f>
        <v>01028192743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 t="str">
        <f ca="1">IFERROR(__xludf.DUMMYFUNCTION("""COMPUTED_VALUE"""),"إبراهيم مرجان")</f>
        <v>إبراهيم مرجان</v>
      </c>
      <c r="B388" s="2">
        <f ca="1">IFERROR(__xludf.DUMMYFUNCTION("""COMPUTED_VALUE"""),429170348610)</f>
        <v>429170348610</v>
      </c>
      <c r="C388" s="2" t="str">
        <f ca="1">IFERROR(__xludf.DUMMYFUNCTION("""COMPUTED_VALUE"""),"إبراهيم مرجان")</f>
        <v>إبراهيم مرجان</v>
      </c>
      <c r="D388" s="2">
        <f ca="1">IFERROR(__xludf.DUMMYFUNCTION("""COMPUTED_VALUE"""),2402)</f>
        <v>2402</v>
      </c>
      <c r="E388" s="2" t="str">
        <f ca="1">IFERROR(__xludf.DUMMYFUNCTION("""COMPUTED_VALUE"""),"EG07-EG08-EG09")</f>
        <v>EG07-EG08-EG09</v>
      </c>
      <c r="F388" s="2" t="str">
        <f ca="1">IFERROR(__xludf.DUMMYFUNCTION("""COMPUTED_VALUE"""),"ibrahimmorgan24@gmail.com")</f>
        <v>ibrahimmorgan24@gmail.com</v>
      </c>
      <c r="G388" s="2" t="str">
        <f ca="1">IFERROR(__xludf.DUMMYFUNCTION("""COMPUTED_VALUE"""),"01062805362")</f>
        <v>01062805362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 t="str">
        <f ca="1">IFERROR(__xludf.DUMMYFUNCTION("""COMPUTED_VALUE"""),"مروة كمال")</f>
        <v>مروة كمال</v>
      </c>
      <c r="B389" s="2">
        <f ca="1">IFERROR(__xludf.DUMMYFUNCTION("""COMPUTED_VALUE"""),462139893202)</f>
        <v>462139893202</v>
      </c>
      <c r="C389" s="2" t="str">
        <f ca="1">IFERROR(__xludf.DUMMYFUNCTION("""COMPUTED_VALUE"""),"مروة كمال")</f>
        <v>مروة كمال</v>
      </c>
      <c r="D389" s="2">
        <f ca="1">IFERROR(__xludf.DUMMYFUNCTION("""COMPUTED_VALUE"""),2413)</f>
        <v>2413</v>
      </c>
      <c r="E389" s="2" t="str">
        <f ca="1">IFERROR(__xludf.DUMMYFUNCTION("""COMPUTED_VALUE"""),"EG07-EG08-EG09")</f>
        <v>EG07-EG08-EG09</v>
      </c>
      <c r="F389" s="2" t="str">
        <f ca="1">IFERROR(__xludf.DUMMYFUNCTION("""COMPUTED_VALUE"""),"marwa.kamal.core@gmail.com")</f>
        <v>marwa.kamal.core@gmail.com</v>
      </c>
      <c r="G389" s="2" t="str">
        <f ca="1">IFERROR(__xludf.DUMMYFUNCTION("""COMPUTED_VALUE"""),"01112024700")</f>
        <v>01112024700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 t="str">
        <f ca="1">IFERROR(__xludf.DUMMYFUNCTION("""COMPUTED_VALUE"""),"أميرة أحمد")</f>
        <v>أميرة أحمد</v>
      </c>
      <c r="B390" s="2">
        <f ca="1">IFERROR(__xludf.DUMMYFUNCTION("""COMPUTED_VALUE"""),862179384026)</f>
        <v>862179384026</v>
      </c>
      <c r="C390" s="2" t="str">
        <f ca="1">IFERROR(__xludf.DUMMYFUNCTION("""COMPUTED_VALUE"""),"أميرة أحمد")</f>
        <v>أميرة أحمد</v>
      </c>
      <c r="D390" s="2">
        <f ca="1">IFERROR(__xludf.DUMMYFUNCTION("""COMPUTED_VALUE"""),2393)</f>
        <v>2393</v>
      </c>
      <c r="E390" s="2" t="str">
        <f ca="1">IFERROR(__xludf.DUMMYFUNCTION("""COMPUTED_VALUE"""),"EG04-EG05-EG06-EG07")</f>
        <v>EG04-EG05-EG06-EG07</v>
      </c>
      <c r="F390" s="2" t="str">
        <f ca="1">IFERROR(__xludf.DUMMYFUNCTION("""COMPUTED_VALUE"""),"amiraahmed231@gmail.com")</f>
        <v>amiraahmed231@gmail.com</v>
      </c>
      <c r="G390" s="2" t="str">
        <f ca="1">IFERROR(__xludf.DUMMYFUNCTION("""COMPUTED_VALUE"""),"01155574478")</f>
        <v>01155574478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 t="str">
        <f ca="1">IFERROR(__xludf.DUMMYFUNCTION("""COMPUTED_VALUE"""),"إسلام همام")</f>
        <v>إسلام همام</v>
      </c>
      <c r="B391" s="2">
        <f ca="1">IFERROR(__xludf.DUMMYFUNCTION("""COMPUTED_VALUE"""),742181710304)</f>
        <v>742181710304</v>
      </c>
      <c r="C391" s="2" t="str">
        <f ca="1">IFERROR(__xludf.DUMMYFUNCTION("""COMPUTED_VALUE"""),"إسلام همام")</f>
        <v>إسلام همام</v>
      </c>
      <c r="D391" s="2">
        <f ca="1">IFERROR(__xludf.DUMMYFUNCTION("""COMPUTED_VALUE"""),2403)</f>
        <v>2403</v>
      </c>
      <c r="E391" s="2" t="str">
        <f ca="1">IFERROR(__xludf.DUMMYFUNCTION("""COMPUTED_VALUE"""),"EG04-EG05-EG06")</f>
        <v>EG04-EG05-EG06</v>
      </c>
      <c r="F391" s="2" t="str">
        <f ca="1">IFERROR(__xludf.DUMMYFUNCTION("""COMPUTED_VALUE"""),"pro.islamhmam@gmail.com")</f>
        <v>pro.islamhmam@gmail.com</v>
      </c>
      <c r="G391" s="2" t="str">
        <f ca="1">IFERROR(__xludf.DUMMYFUNCTION("""COMPUTED_VALUE"""),"01550512026")</f>
        <v>01550512026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 t="str">
        <f ca="1">IFERROR(__xludf.DUMMYFUNCTION("""COMPUTED_VALUE"""),"دعاء ناجي")</f>
        <v>دعاء ناجي</v>
      </c>
      <c r="B392" s="2">
        <f ca="1">IFERROR(__xludf.DUMMYFUNCTION("""COMPUTED_VALUE"""),802121935313)</f>
        <v>802121935313</v>
      </c>
      <c r="C392" s="2" t="str">
        <f ca="1">IFERROR(__xludf.DUMMYFUNCTION("""COMPUTED_VALUE"""),"دعاء ناجي")</f>
        <v>دعاء ناجي</v>
      </c>
      <c r="D392" s="2">
        <f ca="1">IFERROR(__xludf.DUMMYFUNCTION("""COMPUTED_VALUE"""),2405)</f>
        <v>2405</v>
      </c>
      <c r="E392" s="2" t="str">
        <f ca="1">IFERROR(__xludf.DUMMYFUNCTION("""COMPUTED_VALUE"""),"EG04-EG05-EG06-EG07-EG08-EG09")</f>
        <v>EG04-EG05-EG06-EG07-EG08-EG09</v>
      </c>
      <c r="F392" s="2" t="str">
        <f ca="1">IFERROR(__xludf.DUMMYFUNCTION("""COMPUTED_VALUE"""),"missdoaanagy@gmail.com")</f>
        <v>missdoaanagy@gmail.com</v>
      </c>
      <c r="G392" s="2" t="str">
        <f ca="1">IFERROR(__xludf.DUMMYFUNCTION("""COMPUTED_VALUE"""),"01066558103")</f>
        <v>01066558103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 t="str">
        <f ca="1">IFERROR(__xludf.DUMMYFUNCTION("""COMPUTED_VALUE"""),"جون ملاك")</f>
        <v>جون ملاك</v>
      </c>
      <c r="B393" s="2">
        <f ca="1">IFERROR(__xludf.DUMMYFUNCTION("""COMPUTED_VALUE"""),373148148671)</f>
        <v>373148148671</v>
      </c>
      <c r="C393" s="2" t="str">
        <f ca="1">IFERROR(__xludf.DUMMYFUNCTION("""COMPUTED_VALUE"""),"جون ملاك")</f>
        <v>جون ملاك</v>
      </c>
      <c r="D393" s="2">
        <f ca="1">IFERROR(__xludf.DUMMYFUNCTION("""COMPUTED_VALUE"""),2396)</f>
        <v>2396</v>
      </c>
      <c r="E393" s="2" t="str">
        <f ca="1">IFERROR(__xludf.DUMMYFUNCTION("""COMPUTED_VALUE"""),"EG07-EG08-EG09")</f>
        <v>EG07-EG08-EG09</v>
      </c>
      <c r="F393" s="2" t="str">
        <f ca="1">IFERROR(__xludf.DUMMYFUNCTION("""COMPUTED_VALUE"""),"johnmalakzaki@gmail.com")</f>
        <v>johnmalakzaki@gmail.com</v>
      </c>
      <c r="G393" s="2" t="str">
        <f ca="1">IFERROR(__xludf.DUMMYFUNCTION("""COMPUTED_VALUE"""),"01021748033")</f>
        <v>01021748033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 t="str">
        <f ca="1">IFERROR(__xludf.DUMMYFUNCTION("""COMPUTED_VALUE"""),"يارا مصطفى")</f>
        <v>يارا مصطفى</v>
      </c>
      <c r="B394" s="2">
        <f ca="1">IFERROR(__xludf.DUMMYFUNCTION("""COMPUTED_VALUE"""),340130765079)</f>
        <v>340130765079</v>
      </c>
      <c r="C394" s="2" t="str">
        <f ca="1">IFERROR(__xludf.DUMMYFUNCTION("""COMPUTED_VALUE"""),"يارا مصطفى")</f>
        <v>يارا مصطفى</v>
      </c>
      <c r="D394" s="2">
        <f ca="1">IFERROR(__xludf.DUMMYFUNCTION("""COMPUTED_VALUE"""),2446)</f>
        <v>2446</v>
      </c>
      <c r="E394" s="2" t="str">
        <f ca="1">IFERROR(__xludf.DUMMYFUNCTION("""COMPUTED_VALUE"""),"EG01-EG02-EG03-EG04-EG05-EG06")</f>
        <v>EG01-EG02-EG03-EG04-EG05-EG06</v>
      </c>
      <c r="F394" s="2" t="str">
        <f ca="1">IFERROR(__xludf.DUMMYFUNCTION("""COMPUTED_VALUE"""),"ms.yaramostafaa@gmail.com")</f>
        <v>ms.yaramostafaa@gmail.com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 t="str">
        <f ca="1">IFERROR(__xludf.DUMMYFUNCTION("""COMPUTED_VALUE"""),"دميانة عاطف")</f>
        <v>دميانة عاطف</v>
      </c>
      <c r="B395" s="2">
        <f ca="1">IFERROR(__xludf.DUMMYFUNCTION("""COMPUTED_VALUE"""),180171957312)</f>
        <v>180171957312</v>
      </c>
      <c r="C395" s="2" t="str">
        <f ca="1">IFERROR(__xludf.DUMMYFUNCTION("""COMPUTED_VALUE"""),"دميانة عاطف")</f>
        <v>دميانة عاطف</v>
      </c>
      <c r="D395" s="2">
        <f ca="1">IFERROR(__xludf.DUMMYFUNCTION("""COMPUTED_VALUE"""),2432)</f>
        <v>2432</v>
      </c>
      <c r="E395" s="2" t="str">
        <f ca="1">IFERROR(__xludf.DUMMYFUNCTION("""COMPUTED_VALUE"""),"EG04-EG05")</f>
        <v>EG04-EG05</v>
      </c>
      <c r="F395" s="2" t="str">
        <f ca="1">IFERROR(__xludf.DUMMYFUNCTION("""COMPUTED_VALUE"""),"demianaatef28@gmail.com")</f>
        <v>demianaatef28@gmail.com</v>
      </c>
      <c r="G395" s="2" t="str">
        <f ca="1">IFERROR(__xludf.DUMMYFUNCTION("""COMPUTED_VALUE"""),"01204031792")</f>
        <v>01204031792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 t="str">
        <f ca="1">IFERROR(__xludf.DUMMYFUNCTION("""COMPUTED_VALUE"""),"شحاتة مسعد")</f>
        <v>شحاتة مسعد</v>
      </c>
      <c r="B396" s="2">
        <f ca="1">IFERROR(__xludf.DUMMYFUNCTION("""COMPUTED_VALUE"""),194168206386)</f>
        <v>194168206386</v>
      </c>
      <c r="C396" s="2" t="str">
        <f ca="1">IFERROR(__xludf.DUMMYFUNCTION("""COMPUTED_VALUE"""),"شحاتة مسعد")</f>
        <v>شحاتة مسعد</v>
      </c>
      <c r="D396" s="2">
        <f ca="1">IFERROR(__xludf.DUMMYFUNCTION("""COMPUTED_VALUE"""),2412)</f>
        <v>2412</v>
      </c>
      <c r="E396" s="2" t="str">
        <f ca="1">IFERROR(__xludf.DUMMYFUNCTION("""COMPUTED_VALUE"""),"EG10-EG11-EG12")</f>
        <v>EG10-EG11-EG12</v>
      </c>
      <c r="F396" s="2" t="str">
        <f ca="1">IFERROR(__xludf.DUMMYFUNCTION("""COMPUTED_VALUE"""),"shemsad94@gmail.com")</f>
        <v>shemsad94@gmail.com</v>
      </c>
      <c r="G396" s="2" t="str">
        <f ca="1">IFERROR(__xludf.DUMMYFUNCTION("""COMPUTED_VALUE"""),"01000478016")</f>
        <v>01000478016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 t="str">
        <f ca="1">IFERROR(__xludf.DUMMYFUNCTION("""COMPUTED_VALUE"""),"هدير أشرف")</f>
        <v>هدير أشرف</v>
      </c>
      <c r="B397" s="2">
        <f ca="1">IFERROR(__xludf.DUMMYFUNCTION("""COMPUTED_VALUE"""),807180730987)</f>
        <v>807180730987</v>
      </c>
      <c r="C397" s="2" t="str">
        <f ca="1">IFERROR(__xludf.DUMMYFUNCTION("""COMPUTED_VALUE"""),"هدير أشرف")</f>
        <v>هدير أشرف</v>
      </c>
      <c r="D397" s="2">
        <f ca="1">IFERROR(__xludf.DUMMYFUNCTION("""COMPUTED_VALUE"""),2442)</f>
        <v>2442</v>
      </c>
      <c r="E397" s="2" t="str">
        <f ca="1">IFERROR(__xludf.DUMMYFUNCTION("""COMPUTED_VALUE"""),"EG04-EG05-EG06")</f>
        <v>EG04-EG05-EG06</v>
      </c>
      <c r="F397" s="2" t="str">
        <f ca="1">IFERROR(__xludf.DUMMYFUNCTION("""COMPUTED_VALUE"""),"hadeer.ashraf14@hotmail.com")</f>
        <v>hadeer.ashraf14@hotmail.com</v>
      </c>
      <c r="G397" s="2" t="str">
        <f ca="1">IFERROR(__xludf.DUMMYFUNCTION("""COMPUTED_VALUE"""),"01004044327")</f>
        <v>01004044327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 t="str">
        <f ca="1">IFERROR(__xludf.DUMMYFUNCTION("""COMPUTED_VALUE"""),"مروة مجدي")</f>
        <v>مروة مجدي</v>
      </c>
      <c r="B398" s="2">
        <f ca="1">IFERROR(__xludf.DUMMYFUNCTION("""COMPUTED_VALUE"""),189108478931)</f>
        <v>189108478931</v>
      </c>
      <c r="C398" s="2" t="str">
        <f ca="1">IFERROR(__xludf.DUMMYFUNCTION("""COMPUTED_VALUE"""),"مروة مجدي")</f>
        <v>مروة مجدي</v>
      </c>
      <c r="D398" s="2">
        <f ca="1">IFERROR(__xludf.DUMMYFUNCTION("""COMPUTED_VALUE"""),2443)</f>
        <v>2443</v>
      </c>
      <c r="E398" s="2" t="str">
        <f ca="1">IFERROR(__xludf.DUMMYFUNCTION("""COMPUTED_VALUE"""),"EG01-EG02-EG03")</f>
        <v>EG01-EG02-EG03</v>
      </c>
      <c r="F398" s="2" t="str">
        <f ca="1">IFERROR(__xludf.DUMMYFUNCTION("""COMPUTED_VALUE"""),"jodyy2007@gmail.com")</f>
        <v>jodyy2007@gmail.com</v>
      </c>
      <c r="G398" s="2" t="str">
        <f ca="1">IFERROR(__xludf.DUMMYFUNCTION("""COMPUTED_VALUE"""),"01091927577")</f>
        <v>01091927577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 t="str">
        <f ca="1">IFERROR(__xludf.DUMMYFUNCTION("""COMPUTED_VALUE"""),"مينا مجدي")</f>
        <v>مينا مجدي</v>
      </c>
      <c r="B399" s="2">
        <f ca="1">IFERROR(__xludf.DUMMYFUNCTION("""COMPUTED_VALUE"""),489106709893)</f>
        <v>489106709893</v>
      </c>
      <c r="C399" s="2" t="str">
        <f ca="1">IFERROR(__xludf.DUMMYFUNCTION("""COMPUTED_VALUE"""),"مينا مجدي")</f>
        <v>مينا مجدي</v>
      </c>
      <c r="D399" s="2">
        <f ca="1">IFERROR(__xludf.DUMMYFUNCTION("""COMPUTED_VALUE"""),2406)</f>
        <v>2406</v>
      </c>
      <c r="E399" s="2" t="str">
        <f ca="1">IFERROR(__xludf.DUMMYFUNCTION("""COMPUTED_VALUE"""),"EG03-EG04-EG05-EG06")</f>
        <v>EG03-EG04-EG05-EG06</v>
      </c>
      <c r="F399" s="2" t="str">
        <f ca="1">IFERROR(__xludf.DUMMYFUNCTION("""COMPUTED_VALUE"""),"mrminamath1989@gmail.com")</f>
        <v>mrminamath1989@gmail.com</v>
      </c>
      <c r="G399" s="2" t="str">
        <f ca="1">IFERROR(__xludf.DUMMYFUNCTION("""COMPUTED_VALUE"""),"01061512070")</f>
        <v>01061512070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 t="str">
        <f ca="1">IFERROR(__xludf.DUMMYFUNCTION("""COMPUTED_VALUE"""),"عبد الرحمن عادل")</f>
        <v>عبد الرحمن عادل</v>
      </c>
      <c r="B400" s="2">
        <f ca="1">IFERROR(__xludf.DUMMYFUNCTION("""COMPUTED_VALUE"""),304190123013)</f>
        <v>304190123013</v>
      </c>
      <c r="C400" s="2" t="str">
        <f ca="1">IFERROR(__xludf.DUMMYFUNCTION("""COMPUTED_VALUE"""),"عبد الرحمن عادل")</f>
        <v>عبد الرحمن عادل</v>
      </c>
      <c r="D400" s="2">
        <f ca="1">IFERROR(__xludf.DUMMYFUNCTION("""COMPUTED_VALUE"""),2420)</f>
        <v>2420</v>
      </c>
      <c r="E400" s="2" t="str">
        <f ca="1">IFERROR(__xludf.DUMMYFUNCTION("""COMPUTED_VALUE"""),"EG04-EG05-EG06-EG07-EG08-EG09-EG10")</f>
        <v>EG04-EG05-EG06-EG07-EG08-EG09-EG10</v>
      </c>
      <c r="F400" s="2" t="str">
        <f ca="1">IFERROR(__xludf.DUMMYFUNCTION("""COMPUTED_VALUE"""),"abderrahman.adel1994@gmail.com")</f>
        <v>abderrahman.adel1994@gmail.com</v>
      </c>
      <c r="G400" s="2" t="str">
        <f ca="1">IFERROR(__xludf.DUMMYFUNCTION("""COMPUTED_VALUE"""),"01023436456 - 01121192433")</f>
        <v>01023436456 - 01121192433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 t="str">
        <f ca="1">IFERROR(__xludf.DUMMYFUNCTION("""COMPUTED_VALUE"""),"رانيا عبد المنعم")</f>
        <v>رانيا عبد المنعم</v>
      </c>
      <c r="B401" s="2">
        <f ca="1">IFERROR(__xludf.DUMMYFUNCTION("""COMPUTED_VALUE"""),518128197903)</f>
        <v>518128197903</v>
      </c>
      <c r="C401" s="2" t="str">
        <f ca="1">IFERROR(__xludf.DUMMYFUNCTION("""COMPUTED_VALUE"""),"رانيا عبد المنعم")</f>
        <v>رانيا عبد المنعم</v>
      </c>
      <c r="D401" s="2">
        <f ca="1">IFERROR(__xludf.DUMMYFUNCTION("""COMPUTED_VALUE"""),2409)</f>
        <v>2409</v>
      </c>
      <c r="E401" s="2" t="str">
        <f ca="1">IFERROR(__xludf.DUMMYFUNCTION("""COMPUTED_VALUE"""),"EG01-EG02-EG03-EG04-EG05-EG06")</f>
        <v>EG01-EG02-EG03-EG04-EG05-EG06</v>
      </c>
      <c r="F401" s="2" t="str">
        <f ca="1">IFERROR(__xludf.DUMMYFUNCTION("""COMPUTED_VALUE"""),"raniamo712@gmail.com")</f>
        <v>raniamo712@gmail.com</v>
      </c>
      <c r="G401" s="2" t="str">
        <f ca="1">IFERROR(__xludf.DUMMYFUNCTION("""COMPUTED_VALUE"""),"01157249432")</f>
        <v>01157249432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 t="str">
        <f ca="1">IFERROR(__xludf.DUMMYFUNCTION("""COMPUTED_VALUE"""),"آية فتحي")</f>
        <v>آية فتحي</v>
      </c>
      <c r="B402" s="2">
        <f ca="1">IFERROR(__xludf.DUMMYFUNCTION("""COMPUTED_VALUE"""),617181867475)</f>
        <v>617181867475</v>
      </c>
      <c r="C402" s="2" t="str">
        <f ca="1">IFERROR(__xludf.DUMMYFUNCTION("""COMPUTED_VALUE"""),"آية فتحي")</f>
        <v>آية فتحي</v>
      </c>
      <c r="D402" s="2">
        <f ca="1">IFERROR(__xludf.DUMMYFUNCTION("""COMPUTED_VALUE"""),2428)</f>
        <v>2428</v>
      </c>
      <c r="E402" s="2" t="str">
        <f ca="1">IFERROR(__xludf.DUMMYFUNCTION("""COMPUTED_VALUE"""),"EG01-EG02-EG03-EG04-EG05-EG06")</f>
        <v>EG01-EG02-EG03-EG04-EG05-EG06</v>
      </c>
      <c r="F402" s="2" t="str">
        <f ca="1">IFERROR(__xludf.DUMMYFUNCTION("""COMPUTED_VALUE"""),"ayafathy1020@gmail.com")</f>
        <v>ayafathy1020@gmail.com</v>
      </c>
      <c r="G402" s="2" t="str">
        <f ca="1">IFERROR(__xludf.DUMMYFUNCTION("""COMPUTED_VALUE"""),"01025755518//01507075518")</f>
        <v>01025755518//01507075518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 t="str">
        <f ca="1">IFERROR(__xludf.DUMMYFUNCTION("""COMPUTED_VALUE"""),"نجلاء الهادي")</f>
        <v>نجلاء الهادي</v>
      </c>
      <c r="B403" s="2">
        <f ca="1">IFERROR(__xludf.DUMMYFUNCTION("""COMPUTED_VALUE"""),328106361965)</f>
        <v>328106361965</v>
      </c>
      <c r="C403" s="2" t="str">
        <f ca="1">IFERROR(__xludf.DUMMYFUNCTION("""COMPUTED_VALUE"""),"نجلاء الهادي")</f>
        <v>نجلاء الهادي</v>
      </c>
      <c r="D403" s="2">
        <f ca="1">IFERROR(__xludf.DUMMYFUNCTION("""COMPUTED_VALUE"""),2467)</f>
        <v>2467</v>
      </c>
      <c r="E403" s="2" t="str">
        <f ca="1">IFERROR(__xludf.DUMMYFUNCTION("""COMPUTED_VALUE"""),"EG07-EG08-EG09")</f>
        <v>EG07-EG08-EG09</v>
      </c>
      <c r="F403" s="2" t="str">
        <f ca="1">IFERROR(__xludf.DUMMYFUNCTION("""COMPUTED_VALUE"""),"llnaglaall@gmail.com")</f>
        <v>llnaglaall@gmail.com</v>
      </c>
      <c r="G403" s="2" t="str">
        <f ca="1">IFERROR(__xludf.DUMMYFUNCTION("""COMPUTED_VALUE"""),"01140851516")</f>
        <v>01140851516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 t="str">
        <f ca="1">IFERROR(__xludf.DUMMYFUNCTION("""COMPUTED_VALUE"""),"نورهان ياسر")</f>
        <v>نورهان ياسر</v>
      </c>
      <c r="B404" s="2">
        <f ca="1">IFERROR(__xludf.DUMMYFUNCTION("""COMPUTED_VALUE"""),957197456092)</f>
        <v>957197456092</v>
      </c>
      <c r="C404" s="2" t="str">
        <f ca="1">IFERROR(__xludf.DUMMYFUNCTION("""COMPUTED_VALUE"""),"نورهان ياسر")</f>
        <v>نورهان ياسر</v>
      </c>
      <c r="D404" s="2">
        <f ca="1">IFERROR(__xludf.DUMMYFUNCTION("""COMPUTED_VALUE"""),2427)</f>
        <v>2427</v>
      </c>
      <c r="E404" s="2" t="str">
        <f ca="1">IFERROR(__xludf.DUMMYFUNCTION("""COMPUTED_VALUE"""),"EG01-EG02-EG03")</f>
        <v>EG01-EG02-EG03</v>
      </c>
      <c r="F404" s="2" t="str">
        <f ca="1">IFERROR(__xludf.DUMMYFUNCTION("""COMPUTED_VALUE"""),"nourhanyasser1999184@gmail.com")</f>
        <v>nourhanyasser1999184@gmail.com</v>
      </c>
      <c r="G404" s="2" t="str">
        <f ca="1">IFERROR(__xludf.DUMMYFUNCTION("""COMPUTED_VALUE"""),"01110620513")</f>
        <v>01110620513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 t="str">
        <f ca="1">IFERROR(__xludf.DUMMYFUNCTION("""COMPUTED_VALUE"""),"سامي الحداد")</f>
        <v>سامي الحداد</v>
      </c>
      <c r="B405" s="2">
        <f ca="1">IFERROR(__xludf.DUMMYFUNCTION("""COMPUTED_VALUE"""),618181648630)</f>
        <v>618181648630</v>
      </c>
      <c r="C405" s="2" t="str">
        <f ca="1">IFERROR(__xludf.DUMMYFUNCTION("""COMPUTED_VALUE"""),"سامي الحداد")</f>
        <v>سامي الحداد</v>
      </c>
      <c r="D405" s="2">
        <f ca="1">IFERROR(__xludf.DUMMYFUNCTION("""COMPUTED_VALUE"""),2373)</f>
        <v>2373</v>
      </c>
      <c r="E405" s="2" t="str">
        <f ca="1">IFERROR(__xludf.DUMMYFUNCTION("""COMPUTED_VALUE"""),"EG04-EG05-EG06-EG07-EG08-EG09")</f>
        <v>EG04-EG05-EG06-EG07-EG08-EG09</v>
      </c>
      <c r="F405" s="2" t="str">
        <f ca="1">IFERROR(__xludf.DUMMYFUNCTION("""COMPUTED_VALUE"""),"samyalhadad1971@gmail.com")</f>
        <v>samyalhadad1971@gmail.com</v>
      </c>
      <c r="G405" s="2" t="str">
        <f ca="1">IFERROR(__xludf.DUMMYFUNCTION("""COMPUTED_VALUE"""),"0127 6656531")</f>
        <v>0127 6656531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 t="str">
        <f ca="1">IFERROR(__xludf.DUMMYFUNCTION("""COMPUTED_VALUE"""),"أحمد الشيمي")</f>
        <v>أحمد الشيمي</v>
      </c>
      <c r="B406" s="2">
        <f ca="1">IFERROR(__xludf.DUMMYFUNCTION("""COMPUTED_VALUE"""),342131504062)</f>
        <v>342131504062</v>
      </c>
      <c r="C406" s="2" t="str">
        <f ca="1">IFERROR(__xludf.DUMMYFUNCTION("""COMPUTED_VALUE"""),"أحمد الشيمي")</f>
        <v>أحمد الشيمي</v>
      </c>
      <c r="D406" s="2">
        <f ca="1">IFERROR(__xludf.DUMMYFUNCTION("""COMPUTED_VALUE"""),2414)</f>
        <v>2414</v>
      </c>
      <c r="E406" s="2" t="str">
        <f ca="1">IFERROR(__xludf.DUMMYFUNCTION("""COMPUTED_VALUE"""),"EG09-EG10-EG11-EG12")</f>
        <v>EG09-EG10-EG11-EG12</v>
      </c>
      <c r="F406" s="2" t="str">
        <f ca="1">IFERROR(__xludf.DUMMYFUNCTION("""COMPUTED_VALUE"""),"ahmedelshemy100@gmail.com")</f>
        <v>ahmedelshemy100@gmail.com</v>
      </c>
      <c r="G406" s="2" t="str">
        <f ca="1">IFERROR(__xludf.DUMMYFUNCTION("""COMPUTED_VALUE"""),"01097153806")</f>
        <v>01097153806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 t="str">
        <f ca="1">IFERROR(__xludf.DUMMYFUNCTION("""COMPUTED_VALUE"""),"حسن الرفاعي")</f>
        <v>حسن الرفاعي</v>
      </c>
      <c r="B407" s="2">
        <f ca="1">IFERROR(__xludf.DUMMYFUNCTION("""COMPUTED_VALUE"""),404145973415)</f>
        <v>404145973415</v>
      </c>
      <c r="C407" s="2" t="str">
        <f ca="1">IFERROR(__xludf.DUMMYFUNCTION("""COMPUTED_VALUE"""),"حسن الرفاعي")</f>
        <v>حسن الرفاعي</v>
      </c>
      <c r="D407" s="2">
        <f ca="1">IFERROR(__xludf.DUMMYFUNCTION("""COMPUTED_VALUE"""),2419)</f>
        <v>2419</v>
      </c>
      <c r="E407" s="2" t="str">
        <f ca="1">IFERROR(__xludf.DUMMYFUNCTION("""COMPUTED_VALUE"""),"EG10-EG11-EG12")</f>
        <v>EG10-EG11-EG12</v>
      </c>
      <c r="F407" s="2" t="str">
        <f ca="1">IFERROR(__xludf.DUMMYFUNCTION("""COMPUTED_VALUE"""),"has.alrefaey@gmail.com")</f>
        <v>has.alrefaey@gmail.com</v>
      </c>
      <c r="G407" s="2" t="str">
        <f ca="1">IFERROR(__xludf.DUMMYFUNCTION("""COMPUTED_VALUE"""),"01007303558")</f>
        <v>01007303558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 t="str">
        <f ca="1">IFERROR(__xludf.DUMMYFUNCTION("""COMPUTED_VALUE"""),"مرام طارق")</f>
        <v>مرام طارق</v>
      </c>
      <c r="B408" s="2">
        <f ca="1">IFERROR(__xludf.DUMMYFUNCTION("""COMPUTED_VALUE"""),315145768378)</f>
        <v>315145768378</v>
      </c>
      <c r="C408" s="2" t="str">
        <f ca="1">IFERROR(__xludf.DUMMYFUNCTION("""COMPUTED_VALUE"""),"مرام طارق")</f>
        <v>مرام طارق</v>
      </c>
      <c r="D408" s="2">
        <f ca="1">IFERROR(__xludf.DUMMYFUNCTION("""COMPUTED_VALUE"""),2421)</f>
        <v>2421</v>
      </c>
      <c r="E408" s="2" t="str">
        <f ca="1">IFERROR(__xludf.DUMMYFUNCTION("""COMPUTED_VALUE"""),"EG4-EG5-EG6-EG7-EG8-EG9")</f>
        <v>EG4-EG5-EG6-EG7-EG8-EG9</v>
      </c>
      <c r="F408" s="2" t="str">
        <f ca="1">IFERROR(__xludf.DUMMYFUNCTION("""COMPUTED_VALUE"""),"maram.tareq1988@gmail.com")</f>
        <v>maram.tareq1988@gmail.com</v>
      </c>
      <c r="G408" s="2" t="str">
        <f ca="1">IFERROR(__xludf.DUMMYFUNCTION("""COMPUTED_VALUE"""),"01550116087")</f>
        <v>01550116087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 t="str">
        <f ca="1">IFERROR(__xludf.DUMMYFUNCTION("""COMPUTED_VALUE"""),"أحمد ضيف")</f>
        <v>أحمد ضيف</v>
      </c>
      <c r="B409" s="2">
        <f ca="1">IFERROR(__xludf.DUMMYFUNCTION("""COMPUTED_VALUE"""),697164912817)</f>
        <v>697164912817</v>
      </c>
      <c r="C409" s="2" t="str">
        <f ca="1">IFERROR(__xludf.DUMMYFUNCTION("""COMPUTED_VALUE"""),"أحمد ضيف")</f>
        <v>أحمد ضيف</v>
      </c>
      <c r="D409" s="2">
        <f ca="1">IFERROR(__xludf.DUMMYFUNCTION("""COMPUTED_VALUE"""),2455)</f>
        <v>2455</v>
      </c>
      <c r="E409" s="2" t="str">
        <f ca="1">IFERROR(__xludf.DUMMYFUNCTION("""COMPUTED_VALUE"""),"EG07-EG08-EG09")</f>
        <v>EG07-EG08-EG09</v>
      </c>
      <c r="F409" s="2" t="str">
        <f ca="1">IFERROR(__xludf.DUMMYFUNCTION("""COMPUTED_VALUE"""),"ahmeddeif79@gmail.com")</f>
        <v>ahmeddeif79@gmail.com</v>
      </c>
      <c r="G409" s="2" t="str">
        <f ca="1">IFERROR(__xludf.DUMMYFUNCTION("""COMPUTED_VALUE"""),"01552762209")</f>
        <v>01552762209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 t="str">
        <f ca="1">IFERROR(__xludf.DUMMYFUNCTION("""COMPUTED_VALUE"""),"شيماء سعيد")</f>
        <v>شيماء سعيد</v>
      </c>
      <c r="B410" s="2">
        <f ca="1">IFERROR(__xludf.DUMMYFUNCTION("""COMPUTED_VALUE"""),904157297454)</f>
        <v>904157297454</v>
      </c>
      <c r="C410" s="2" t="str">
        <f ca="1">IFERROR(__xludf.DUMMYFUNCTION("""COMPUTED_VALUE"""),"شيماء سعيد")</f>
        <v>شيماء سعيد</v>
      </c>
      <c r="D410" s="2">
        <f ca="1">IFERROR(__xludf.DUMMYFUNCTION("""COMPUTED_VALUE"""),2425)</f>
        <v>2425</v>
      </c>
      <c r="E410" s="2" t="str">
        <f ca="1">IFERROR(__xludf.DUMMYFUNCTION("""COMPUTED_VALUE"""),"EG01-EG02-EG03")</f>
        <v>EG01-EG02-EG03</v>
      </c>
      <c r="F410" s="2" t="str">
        <f ca="1">IFERROR(__xludf.DUMMYFUNCTION("""COMPUTED_VALUE"""),"shaimaa.shawshaw@gmail.com")</f>
        <v>shaimaa.shawshaw@gmail.com</v>
      </c>
      <c r="G410" s="2" t="str">
        <f ca="1">IFERROR(__xludf.DUMMYFUNCTION("""COMPUTED_VALUE"""),"01061516190")</f>
        <v>01061516190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 t="str">
        <f ca="1">IFERROR(__xludf.DUMMYFUNCTION("""COMPUTED_VALUE"""),"أحمد درويش")</f>
        <v>أحمد درويش</v>
      </c>
      <c r="B411" s="2">
        <f ca="1">IFERROR(__xludf.DUMMYFUNCTION("""COMPUTED_VALUE"""),608183854595)</f>
        <v>608183854595</v>
      </c>
      <c r="C411" s="2" t="str">
        <f ca="1">IFERROR(__xludf.DUMMYFUNCTION("""COMPUTED_VALUE"""),"أحمد درويش")</f>
        <v>أحمد درويش</v>
      </c>
      <c r="D411" s="2">
        <f ca="1">IFERROR(__xludf.DUMMYFUNCTION("""COMPUTED_VALUE"""),2415)</f>
        <v>2415</v>
      </c>
      <c r="E411" s="2" t="str">
        <f ca="1">IFERROR(__xludf.DUMMYFUNCTION("""COMPUTED_VALUE"""),"EG06-EG07-EG08-EG09")</f>
        <v>EG06-EG07-EG08-EG09</v>
      </c>
      <c r="F411" s="2" t="str">
        <f ca="1">IFERROR(__xludf.DUMMYFUNCTION("""COMPUTED_VALUE"""),"ahmedsayed171730@gmail.com")</f>
        <v>ahmedsayed171730@gmail.com</v>
      </c>
      <c r="G411" s="2" t="str">
        <f ca="1">IFERROR(__xludf.DUMMYFUNCTION("""COMPUTED_VALUE"""),"01017173087")</f>
        <v>01017173087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 t="str">
        <f ca="1">IFERROR(__xludf.DUMMYFUNCTION("""COMPUTED_VALUE"""),"محمد حامد")</f>
        <v>محمد حامد</v>
      </c>
      <c r="B412" s="2">
        <f ca="1">IFERROR(__xludf.DUMMYFUNCTION("""COMPUTED_VALUE"""),416178416352)</f>
        <v>416178416352</v>
      </c>
      <c r="C412" s="2" t="str">
        <f ca="1">IFERROR(__xludf.DUMMYFUNCTION("""COMPUTED_VALUE"""),"محمد حامد")</f>
        <v>محمد حامد</v>
      </c>
      <c r="D412" s="2">
        <f ca="1">IFERROR(__xludf.DUMMYFUNCTION("""COMPUTED_VALUE"""),2410)</f>
        <v>2410</v>
      </c>
      <c r="E412" s="2" t="str">
        <f ca="1">IFERROR(__xludf.DUMMYFUNCTION("""COMPUTED_VALUE"""),"EG04-EG05-EG06-EG07-EG08-EG09")</f>
        <v>EG04-EG05-EG06-EG07-EG08-EG09</v>
      </c>
      <c r="F412" s="2" t="str">
        <f ca="1">IFERROR(__xludf.DUMMYFUNCTION("""COMPUTED_VALUE"""),"mh7350093@gmail.com")</f>
        <v>mh7350093@gmail.com</v>
      </c>
      <c r="G412" s="2" t="str">
        <f ca="1">IFERROR(__xludf.DUMMYFUNCTION("""COMPUTED_VALUE"""),"01226341167")</f>
        <v>01226341167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 t="str">
        <f ca="1">IFERROR(__xludf.DUMMYFUNCTION("""COMPUTED_VALUE"""),"إسراء علاء")</f>
        <v>إسراء علاء</v>
      </c>
      <c r="B413" s="2">
        <f ca="1">IFERROR(__xludf.DUMMYFUNCTION("""COMPUTED_VALUE"""),915139613231)</f>
        <v>915139613231</v>
      </c>
      <c r="C413" s="2" t="str">
        <f ca="1">IFERROR(__xludf.DUMMYFUNCTION("""COMPUTED_VALUE"""),"إسراء علاء")</f>
        <v>إسراء علاء</v>
      </c>
      <c r="D413" s="2">
        <f ca="1">IFERROR(__xludf.DUMMYFUNCTION("""COMPUTED_VALUE"""),2422)</f>
        <v>2422</v>
      </c>
      <c r="E413" s="2" t="str">
        <f ca="1">IFERROR(__xludf.DUMMYFUNCTION("""COMPUTED_VALUE"""),"EG01-EG02-EG03-EG04-EG05-EG06-EG07")</f>
        <v>EG01-EG02-EG03-EG04-EG05-EG06-EG07</v>
      </c>
      <c r="F413" s="2" t="str">
        <f ca="1">IFERROR(__xludf.DUMMYFUNCTION("""COMPUTED_VALUE"""),"esraalaa25@gmail.com")</f>
        <v>esraalaa25@gmail.com</v>
      </c>
      <c r="G413" s="2" t="str">
        <f ca="1">IFERROR(__xludf.DUMMYFUNCTION("""COMPUTED_VALUE"""),"01091311114")</f>
        <v>01091311114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 t="str">
        <f ca="1">IFERROR(__xludf.DUMMYFUNCTION("""COMPUTED_VALUE"""),"فاطمة عبد المنعم")</f>
        <v>فاطمة عبد المنعم</v>
      </c>
      <c r="B414" s="2">
        <f ca="1">IFERROR(__xludf.DUMMYFUNCTION("""COMPUTED_VALUE"""),529163026412)</f>
        <v>529163026412</v>
      </c>
      <c r="C414" s="2" t="str">
        <f ca="1">IFERROR(__xludf.DUMMYFUNCTION("""COMPUTED_VALUE"""),"فاطمة عبد المنعم")</f>
        <v>فاطمة عبد المنعم</v>
      </c>
      <c r="D414" s="2">
        <f ca="1">IFERROR(__xludf.DUMMYFUNCTION("""COMPUTED_VALUE"""),2416)</f>
        <v>2416</v>
      </c>
      <c r="E414" s="2" t="str">
        <f ca="1">IFERROR(__xludf.DUMMYFUNCTION("""COMPUTED_VALUE"""),"EG04-EG05-EG06")</f>
        <v>EG04-EG05-EG06</v>
      </c>
      <c r="F414" s="2" t="str">
        <f ca="1">IFERROR(__xludf.DUMMYFUNCTION("""COMPUTED_VALUE"""),"fatma25nady@gmail.com")</f>
        <v>fatma25nady@gmail.com</v>
      </c>
      <c r="G414" s="2" t="str">
        <f ca="1">IFERROR(__xludf.DUMMYFUNCTION("""COMPUTED_VALUE"""),"01028758529")</f>
        <v>01028758529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 t="str">
        <f ca="1">IFERROR(__xludf.DUMMYFUNCTION("""COMPUTED_VALUE"""),"أحمد رخا")</f>
        <v>أحمد رخا</v>
      </c>
      <c r="B415" s="2">
        <f ca="1">IFERROR(__xludf.DUMMYFUNCTION("""COMPUTED_VALUE"""),828145048729)</f>
        <v>828145048729</v>
      </c>
      <c r="C415" s="2" t="str">
        <f ca="1">IFERROR(__xludf.DUMMYFUNCTION("""COMPUTED_VALUE"""),"أحمد رخا")</f>
        <v>أحمد رخا</v>
      </c>
      <c r="D415" s="2">
        <f ca="1">IFERROR(__xludf.DUMMYFUNCTION("""COMPUTED_VALUE"""),2429)</f>
        <v>2429</v>
      </c>
      <c r="E415" s="2" t="str">
        <f ca="1">IFERROR(__xludf.DUMMYFUNCTION("""COMPUTED_VALUE"""),"EG07-EG08-EG09")</f>
        <v>EG07-EG08-EG09</v>
      </c>
      <c r="F415" s="2" t="str">
        <f ca="1">IFERROR(__xludf.DUMMYFUNCTION("""COMPUTED_VALUE"""),"arakha119@gmail.com")</f>
        <v>arakha119@gmail.com</v>
      </c>
      <c r="G415" s="2" t="str">
        <f ca="1">IFERROR(__xludf.DUMMYFUNCTION("""COMPUTED_VALUE"""),"01062336833 - 01229867543")</f>
        <v>01062336833 - 01229867543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 t="str">
        <f ca="1">IFERROR(__xludf.DUMMYFUNCTION("""COMPUTED_VALUE"""),"شيماء ناجي")</f>
        <v>شيماء ناجي</v>
      </c>
      <c r="B416" s="2">
        <f ca="1">IFERROR(__xludf.DUMMYFUNCTION("""COMPUTED_VALUE"""),342149485143)</f>
        <v>342149485143</v>
      </c>
      <c r="C416" s="2" t="str">
        <f ca="1">IFERROR(__xludf.DUMMYFUNCTION("""COMPUTED_VALUE"""),"شيماء ناجي")</f>
        <v>شيماء ناجي</v>
      </c>
      <c r="D416" s="2">
        <f ca="1">IFERROR(__xludf.DUMMYFUNCTION("""COMPUTED_VALUE"""),2430)</f>
        <v>2430</v>
      </c>
      <c r="E416" s="2" t="str">
        <f ca="1">IFERROR(__xludf.DUMMYFUNCTION("""COMPUTED_VALUE"""),"EG04-EG05-EG06-EG07-EG08-EG09")</f>
        <v>EG04-EG05-EG06-EG07-EG08-EG09</v>
      </c>
      <c r="F416" s="2" t="str">
        <f ca="1">IFERROR(__xludf.DUMMYFUNCTION("""COMPUTED_VALUE"""),"shemoelbindary52@gmail.com")</f>
        <v>shemoelbindary52@gmail.com</v>
      </c>
      <c r="G416" s="2" t="str">
        <f ca="1">IFERROR(__xludf.DUMMYFUNCTION("""COMPUTED_VALUE"""),"01090538802")</f>
        <v>01090538802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 t="str">
        <f ca="1">IFERROR(__xludf.DUMMYFUNCTION("""COMPUTED_VALUE"""),"عبد الله بكري")</f>
        <v>عبد الله بكري</v>
      </c>
      <c r="B417" s="2">
        <f ca="1">IFERROR(__xludf.DUMMYFUNCTION("""COMPUTED_VALUE"""),864160753024)</f>
        <v>864160753024</v>
      </c>
      <c r="C417" s="2" t="str">
        <f ca="1">IFERROR(__xludf.DUMMYFUNCTION("""COMPUTED_VALUE"""),"عبد الله بكري")</f>
        <v>عبد الله بكري</v>
      </c>
      <c r="D417" s="2">
        <f ca="1">IFERROR(__xludf.DUMMYFUNCTION("""COMPUTED_VALUE"""),2424)</f>
        <v>2424</v>
      </c>
      <c r="E417" s="2" t="str">
        <f ca="1">IFERROR(__xludf.DUMMYFUNCTION("""COMPUTED_VALUE"""),"EG07-EG08-EG09-EG10-EG11")</f>
        <v>EG07-EG08-EG09-EG10-EG11</v>
      </c>
      <c r="F417" s="2" t="str">
        <f ca="1">IFERROR(__xludf.DUMMYFUNCTION("""COMPUTED_VALUE"""),"abdollahbakry84@gmail.com")</f>
        <v>abdollahbakry84@gmail.com</v>
      </c>
      <c r="G417" s="2" t="str">
        <f ca="1">IFERROR(__xludf.DUMMYFUNCTION("""COMPUTED_VALUE"""),"01280483249")</f>
        <v>01280483249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 t="str">
        <f ca="1">IFERROR(__xludf.DUMMYFUNCTION("""COMPUTED_VALUE"""),"إيمان رمضان")</f>
        <v>إيمان رمضان</v>
      </c>
      <c r="B418" s="2">
        <f ca="1">IFERROR(__xludf.DUMMYFUNCTION("""COMPUTED_VALUE"""),896191427156)</f>
        <v>896191427156</v>
      </c>
      <c r="C418" s="2" t="str">
        <f ca="1">IFERROR(__xludf.DUMMYFUNCTION("""COMPUTED_VALUE"""),"إيمان رمضان")</f>
        <v>إيمان رمضان</v>
      </c>
      <c r="D418" s="2">
        <f ca="1">IFERROR(__xludf.DUMMYFUNCTION("""COMPUTED_VALUE"""),2440)</f>
        <v>2440</v>
      </c>
      <c r="E418" s="2" t="str">
        <f ca="1">IFERROR(__xludf.DUMMYFUNCTION("""COMPUTED_VALUE"""),"EG01-EG02-EG03")</f>
        <v>EG01-EG02-EG03</v>
      </c>
      <c r="F418" s="2" t="str">
        <f ca="1">IFERROR(__xludf.DUMMYFUNCTION("""COMPUTED_VALUE"""),"emanali8134@gmail.com")</f>
        <v>emanali8134@gmail.com</v>
      </c>
      <c r="G418" s="2" t="str">
        <f ca="1">IFERROR(__xludf.DUMMYFUNCTION("""COMPUTED_VALUE"""),"01282166883")</f>
        <v>01282166883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 t="str">
        <f ca="1">IFERROR(__xludf.DUMMYFUNCTION("""COMPUTED_VALUE"""),"فاطمة سمير")</f>
        <v>فاطمة سمير</v>
      </c>
      <c r="B419" s="2">
        <f ca="1">IFERROR(__xludf.DUMMYFUNCTION("""COMPUTED_VALUE"""),804162065074)</f>
        <v>804162065074</v>
      </c>
      <c r="C419" s="2" t="str">
        <f ca="1">IFERROR(__xludf.DUMMYFUNCTION("""COMPUTED_VALUE"""),"فاطمة سمير")</f>
        <v>فاطمة سمير</v>
      </c>
      <c r="D419" s="2">
        <f ca="1">IFERROR(__xludf.DUMMYFUNCTION("""COMPUTED_VALUE"""),2453)</f>
        <v>2453</v>
      </c>
      <c r="E419" s="2" t="str">
        <f ca="1">IFERROR(__xludf.DUMMYFUNCTION("""COMPUTED_VALUE"""),"EG07-EG08-EG09")</f>
        <v>EG07-EG08-EG09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 t="str">
        <f ca="1">IFERROR(__xludf.DUMMYFUNCTION("""COMPUTED_VALUE"""),"آية عادل")</f>
        <v>آية عادل</v>
      </c>
      <c r="B420" s="2">
        <f ca="1">IFERROR(__xludf.DUMMYFUNCTION("""COMPUTED_VALUE"""),304149687570)</f>
        <v>304149687570</v>
      </c>
      <c r="C420" s="2" t="str">
        <f ca="1">IFERROR(__xludf.DUMMYFUNCTION("""COMPUTED_VALUE"""),"آية عادل")</f>
        <v>آية عادل</v>
      </c>
      <c r="D420" s="2">
        <f ca="1">IFERROR(__xludf.DUMMYFUNCTION("""COMPUTED_VALUE"""),2454)</f>
        <v>2454</v>
      </c>
      <c r="E420" s="2" t="str">
        <f ca="1">IFERROR(__xludf.DUMMYFUNCTION("""COMPUTED_VALUE"""),"EG01-EG02-EG03")</f>
        <v>EG01-EG02-EG03</v>
      </c>
      <c r="F420" s="2" t="str">
        <f ca="1">IFERROR(__xludf.DUMMYFUNCTION("""COMPUTED_VALUE"""),"aya963539@gmail.com")</f>
        <v>aya963539@gmail.com</v>
      </c>
      <c r="G420" s="2" t="str">
        <f ca="1">IFERROR(__xludf.DUMMYFUNCTION("""COMPUTED_VALUE"""),"01064460758")</f>
        <v>01064460758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 t="str">
        <f ca="1">IFERROR(__xludf.DUMMYFUNCTION("""COMPUTED_VALUE"""),"إيمان فؤاد")</f>
        <v>إيمان فؤاد</v>
      </c>
      <c r="B421" s="2">
        <f ca="1">IFERROR(__xludf.DUMMYFUNCTION("""COMPUTED_VALUE"""),234189763426)</f>
        <v>234189763426</v>
      </c>
      <c r="C421" s="2" t="str">
        <f ca="1">IFERROR(__xludf.DUMMYFUNCTION("""COMPUTED_VALUE"""),"إيمان فؤاد")</f>
        <v>إيمان فؤاد</v>
      </c>
      <c r="D421" s="2">
        <f ca="1">IFERROR(__xludf.DUMMYFUNCTION("""COMPUTED_VALUE"""),2426)</f>
        <v>2426</v>
      </c>
      <c r="E421" s="2" t="str">
        <f ca="1">IFERROR(__xludf.DUMMYFUNCTION("""COMPUTED_VALUE"""),"EG4-EG5-EG6-EG7-EG8-EG9")</f>
        <v>EG4-EG5-EG6-EG7-EG8-EG9</v>
      </c>
      <c r="F421" s="2" t="str">
        <f ca="1">IFERROR(__xludf.DUMMYFUNCTION("""COMPUTED_VALUE"""),"efouad774@gmail.com")</f>
        <v>efouad774@gmail.com</v>
      </c>
      <c r="G421" s="2" t="str">
        <f ca="1">IFERROR(__xludf.DUMMYFUNCTION("""COMPUTED_VALUE"""),"01203102091")</f>
        <v>01203102091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 t="str">
        <f ca="1">IFERROR(__xludf.DUMMYFUNCTION("""COMPUTED_VALUE"""),"منار نبيل")</f>
        <v>منار نبيل</v>
      </c>
      <c r="B422" s="2">
        <f ca="1">IFERROR(__xludf.DUMMYFUNCTION("""COMPUTED_VALUE"""),139146351896)</f>
        <v>139146351896</v>
      </c>
      <c r="C422" s="2" t="str">
        <f ca="1">IFERROR(__xludf.DUMMYFUNCTION("""COMPUTED_VALUE"""),"منار نبيل")</f>
        <v>منار نبيل</v>
      </c>
      <c r="D422" s="2">
        <f ca="1">IFERROR(__xludf.DUMMYFUNCTION("""COMPUTED_VALUE"""),2435)</f>
        <v>2435</v>
      </c>
      <c r="E422" s="2" t="str">
        <f ca="1">IFERROR(__xludf.DUMMYFUNCTION("""COMPUTED_VALUE"""),"EG4-EG05-EG06")</f>
        <v>EG4-EG05-EG06</v>
      </c>
      <c r="F422" s="2" t="str">
        <f ca="1">IFERROR(__xludf.DUMMYFUNCTION("""COMPUTED_VALUE"""),"manarnabil88@gmail.com")</f>
        <v>manarnabil88@gmail.com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 t="str">
        <f ca="1">IFERROR(__xludf.DUMMYFUNCTION("""COMPUTED_VALUE"""),"حسام البدري")</f>
        <v>حسام البدري</v>
      </c>
      <c r="B423" s="2">
        <f ca="1">IFERROR(__xludf.DUMMYFUNCTION("""COMPUTED_VALUE"""),193167923501)</f>
        <v>193167923501</v>
      </c>
      <c r="C423" s="2" t="str">
        <f ca="1">IFERROR(__xludf.DUMMYFUNCTION("""COMPUTED_VALUE"""),"حسام البدري")</f>
        <v>حسام البدري</v>
      </c>
      <c r="D423" s="2">
        <f ca="1">IFERROR(__xludf.DUMMYFUNCTION("""COMPUTED_VALUE"""),2451)</f>
        <v>2451</v>
      </c>
      <c r="E423" s="2" t="str">
        <f ca="1">IFERROR(__xludf.DUMMYFUNCTION("""COMPUTED_VALUE"""),"EG04-EG05-EG06-EG07-EG08-EG09-EG10-EG11-EG12")</f>
        <v>EG04-EG05-EG06-EG07-EG08-EG09-EG10-EG11-EG12</v>
      </c>
      <c r="F423" s="2" t="str">
        <f ca="1">IFERROR(__xludf.DUMMYFUNCTION("""COMPUTED_VALUE"""),"hossam.assaf80@gmail.com")</f>
        <v>hossam.assaf80@gmail.com</v>
      </c>
      <c r="G423" s="2" t="str">
        <f ca="1">IFERROR(__xludf.DUMMYFUNCTION("""COMPUTED_VALUE"""),"01000415486")</f>
        <v>01000415486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 t="str">
        <f ca="1">IFERROR(__xludf.DUMMYFUNCTION("""COMPUTED_VALUE"""),"محمد عبد الحميد")</f>
        <v>محمد عبد الحميد</v>
      </c>
      <c r="B424" s="2">
        <f ca="1">IFERROR(__xludf.DUMMYFUNCTION("""COMPUTED_VALUE"""),735137965041)</f>
        <v>735137965041</v>
      </c>
      <c r="C424" s="2" t="str">
        <f ca="1">IFERROR(__xludf.DUMMYFUNCTION("""COMPUTED_VALUE"""),"محمد عبد الحميد")</f>
        <v>محمد عبد الحميد</v>
      </c>
      <c r="D424" s="2">
        <f ca="1">IFERROR(__xludf.DUMMYFUNCTION("""COMPUTED_VALUE"""),2469)</f>
        <v>2469</v>
      </c>
      <c r="E424" s="2" t="str">
        <f ca="1">IFERROR(__xludf.DUMMYFUNCTION("""COMPUTED_VALUE"""),"EG04-EG05-EG06-EG07-EG08-EG09")</f>
        <v>EG04-EG05-EG06-EG07-EG08-EG09</v>
      </c>
      <c r="F424" s="2" t="str">
        <f ca="1">IFERROR(__xludf.DUMMYFUNCTION("""COMPUTED_VALUE"""),"mohamedbasis4@gmail.com")</f>
        <v>mohamedbasis4@gmail.com</v>
      </c>
      <c r="G424" s="2" t="str">
        <f ca="1">IFERROR(__xludf.DUMMYFUNCTION("""COMPUTED_VALUE"""),"01227115532 - 01555325577")</f>
        <v>01227115532 - 01555325577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 t="str">
        <f ca="1">IFERROR(__xludf.DUMMYFUNCTION("""COMPUTED_VALUE"""),"دعاء أبو الحديد")</f>
        <v>دعاء أبو الحديد</v>
      </c>
      <c r="B425" s="2">
        <f ca="1">IFERROR(__xludf.DUMMYFUNCTION("""COMPUTED_VALUE"""),284156708018)</f>
        <v>284156708018</v>
      </c>
      <c r="C425" s="2" t="str">
        <f ca="1">IFERROR(__xludf.DUMMYFUNCTION("""COMPUTED_VALUE"""),"دعاء أبو الحديد")</f>
        <v>دعاء أبو الحديد</v>
      </c>
      <c r="D425" s="2">
        <f ca="1">IFERROR(__xludf.DUMMYFUNCTION("""COMPUTED_VALUE"""),2439)</f>
        <v>2439</v>
      </c>
      <c r="E425" s="2" t="str">
        <f ca="1">IFERROR(__xludf.DUMMYFUNCTION("""COMPUTED_VALUE"""),"EG04-EG05-EG06-EG07")</f>
        <v>EG04-EG05-EG06-EG07</v>
      </c>
      <c r="F425" s="2" t="str">
        <f ca="1">IFERROR(__xludf.DUMMYFUNCTION("""COMPUTED_VALUE"""),"doaa.aboelhadid@gmail.com")</f>
        <v>doaa.aboelhadid@gmail.com</v>
      </c>
      <c r="G425" s="2" t="str">
        <f ca="1">IFERROR(__xludf.DUMMYFUNCTION("""COMPUTED_VALUE"""),"01090759683")</f>
        <v>01090759683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 t="str">
        <f ca="1">IFERROR(__xludf.DUMMYFUNCTION("""COMPUTED_VALUE"""),"يارا حسن")</f>
        <v>يارا حسن</v>
      </c>
      <c r="B426" s="2">
        <f ca="1">IFERROR(__xludf.DUMMYFUNCTION("""COMPUTED_VALUE"""),873194273252)</f>
        <v>873194273252</v>
      </c>
      <c r="C426" s="2" t="str">
        <f ca="1">IFERROR(__xludf.DUMMYFUNCTION("""COMPUTED_VALUE"""),"يارا حسن")</f>
        <v>يارا حسن</v>
      </c>
      <c r="D426" s="2">
        <f ca="1">IFERROR(__xludf.DUMMYFUNCTION("""COMPUTED_VALUE"""),2520)</f>
        <v>2520</v>
      </c>
      <c r="E426" s="2" t="str">
        <f ca="1">IFERROR(__xludf.DUMMYFUNCTION("""COMPUTED_VALUE"""),"EG03-EG04-EG05-EG06")</f>
        <v>EG03-EG04-EG05-EG06</v>
      </c>
      <c r="F426" s="2" t="str">
        <f ca="1">IFERROR(__xludf.DUMMYFUNCTION("""COMPUTED_VALUE"""),"yarahassan2027@gmail.com")</f>
        <v>yarahassan2027@gmail.com</v>
      </c>
      <c r="G426" s="2" t="str">
        <f ca="1">IFERROR(__xludf.DUMMYFUNCTION("""COMPUTED_VALUE"""),"01014975043")</f>
        <v>01014975043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 t="str">
        <f ca="1">IFERROR(__xludf.DUMMYFUNCTION("""COMPUTED_VALUE"""),"عبد الرازق فتحي")</f>
        <v>عبد الرازق فتحي</v>
      </c>
      <c r="B427" s="2">
        <f ca="1">IFERROR(__xludf.DUMMYFUNCTION("""COMPUTED_VALUE"""),410125641839)</f>
        <v>410125641839</v>
      </c>
      <c r="C427" s="2" t="str">
        <f ca="1">IFERROR(__xludf.DUMMYFUNCTION("""COMPUTED_VALUE"""),"عبد الرازق فتحي")</f>
        <v>عبد الرازق فتحي</v>
      </c>
      <c r="D427" s="2">
        <f ca="1">IFERROR(__xludf.DUMMYFUNCTION("""COMPUTED_VALUE"""),2437)</f>
        <v>2437</v>
      </c>
      <c r="E427" s="2" t="str">
        <f ca="1">IFERROR(__xludf.DUMMYFUNCTION("""COMPUTED_VALUE"""),"EG04-EG05-EG06")</f>
        <v>EG04-EG05-EG06</v>
      </c>
      <c r="F427" s="2" t="str">
        <f ca="1">IFERROR(__xludf.DUMMYFUNCTION("""COMPUTED_VALUE"""),"abdonet777@yahoo.com")</f>
        <v>abdonet777@yahoo.com</v>
      </c>
      <c r="G427" s="2" t="str">
        <f ca="1">IFERROR(__xludf.DUMMYFUNCTION("""COMPUTED_VALUE"""),"01069344824")</f>
        <v>01069344824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 t="str">
        <f ca="1">IFERROR(__xludf.DUMMYFUNCTION("""COMPUTED_VALUE"""),"إنجي مختار")</f>
        <v>إنجي مختار</v>
      </c>
      <c r="B428" s="2">
        <f ca="1">IFERROR(__xludf.DUMMYFUNCTION("""COMPUTED_VALUE"""),215195154738)</f>
        <v>215195154738</v>
      </c>
      <c r="C428" s="2" t="str">
        <f ca="1">IFERROR(__xludf.DUMMYFUNCTION("""COMPUTED_VALUE"""),"إنجي مختار")</f>
        <v>إنجي مختار</v>
      </c>
      <c r="D428" s="2">
        <f ca="1">IFERROR(__xludf.DUMMYFUNCTION("""COMPUTED_VALUE"""),2441)</f>
        <v>2441</v>
      </c>
      <c r="E428" s="2" t="str">
        <f ca="1">IFERROR(__xludf.DUMMYFUNCTION("""COMPUTED_VALUE"""),"EG01-EG02-EG03")</f>
        <v>EG01-EG02-EG03</v>
      </c>
      <c r="F428" s="2" t="str">
        <f ca="1">IFERROR(__xludf.DUMMYFUNCTION("""COMPUTED_VALUE"""),"enjymokhtar.219@gmail.com")</f>
        <v>enjymokhtar.219@gmail.com</v>
      </c>
      <c r="G428" s="2" t="str">
        <f ca="1">IFERROR(__xludf.DUMMYFUNCTION("""COMPUTED_VALUE"""),"01201521125")</f>
        <v>01201521125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 t="str">
        <f ca="1">IFERROR(__xludf.DUMMYFUNCTION("""COMPUTED_VALUE"""),"أشرف ماهر")</f>
        <v>أشرف ماهر</v>
      </c>
      <c r="B429" s="2">
        <f ca="1">IFERROR(__xludf.DUMMYFUNCTION("""COMPUTED_VALUE"""),358183213283)</f>
        <v>358183213283</v>
      </c>
      <c r="C429" s="2" t="str">
        <f ca="1">IFERROR(__xludf.DUMMYFUNCTION("""COMPUTED_VALUE"""),"أشرف ماهر")</f>
        <v>أشرف ماهر</v>
      </c>
      <c r="D429" s="2">
        <f ca="1">IFERROR(__xludf.DUMMYFUNCTION("""COMPUTED_VALUE"""),2463)</f>
        <v>2463</v>
      </c>
      <c r="E429" s="2" t="str">
        <f ca="1">IFERROR(__xludf.DUMMYFUNCTION("""COMPUTED_VALUE"""),"EG07-EG08-EG09")</f>
        <v>EG07-EG08-EG09</v>
      </c>
      <c r="F429" s="2" t="str">
        <f ca="1">IFERROR(__xludf.DUMMYFUNCTION("""COMPUTED_VALUE"""),"ashrf.d20011@yahoo.com")</f>
        <v>ashrf.d20011@yahoo.com</v>
      </c>
      <c r="G429" s="2" t="str">
        <f ca="1">IFERROR(__xludf.DUMMYFUNCTION("""COMPUTED_VALUE"""),"01140350043")</f>
        <v>01140350043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 t="str">
        <f ca="1">IFERROR(__xludf.DUMMYFUNCTION("""COMPUTED_VALUE"""),"عمرو طارق")</f>
        <v>عمرو طارق</v>
      </c>
      <c r="B430" s="2">
        <f ca="1">IFERROR(__xludf.DUMMYFUNCTION("""COMPUTED_VALUE"""),375181246026)</f>
        <v>375181246026</v>
      </c>
      <c r="C430" s="2" t="str">
        <f ca="1">IFERROR(__xludf.DUMMYFUNCTION("""COMPUTED_VALUE"""),"عمرو طارق")</f>
        <v>عمرو طارق</v>
      </c>
      <c r="D430" s="2">
        <f ca="1">IFERROR(__xludf.DUMMYFUNCTION("""COMPUTED_VALUE"""),2452)</f>
        <v>2452</v>
      </c>
      <c r="E430" s="2" t="str">
        <f ca="1">IFERROR(__xludf.DUMMYFUNCTION("""COMPUTED_VALUE"""),"EG04-EG05-EG06")</f>
        <v>EG04-EG05-EG06</v>
      </c>
      <c r="F430" s="2" t="str">
        <f ca="1">IFERROR(__xludf.DUMMYFUNCTION("""COMPUTED_VALUE"""),"amrtarek.1100@yahoo.com")</f>
        <v>amrtarek.1100@yahoo.com</v>
      </c>
      <c r="G430" s="2" t="str">
        <f ca="1">IFERROR(__xludf.DUMMYFUNCTION("""COMPUTED_VALUE"""),"01143727455")</f>
        <v>01143727455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 t="str">
        <f ca="1">IFERROR(__xludf.DUMMYFUNCTION("""COMPUTED_VALUE"""),"شيماء كمال")</f>
        <v>شيماء كمال</v>
      </c>
      <c r="B431" s="2">
        <f ca="1">IFERROR(__xludf.DUMMYFUNCTION("""COMPUTED_VALUE"""),257176871480)</f>
        <v>257176871480</v>
      </c>
      <c r="C431" s="2" t="str">
        <f ca="1">IFERROR(__xludf.DUMMYFUNCTION("""COMPUTED_VALUE"""),"شيماء كمال")</f>
        <v>شيماء كمال</v>
      </c>
      <c r="D431" s="2">
        <f ca="1">IFERROR(__xludf.DUMMYFUNCTION("""COMPUTED_VALUE"""),2461)</f>
        <v>2461</v>
      </c>
      <c r="E431" s="2" t="str">
        <f ca="1">IFERROR(__xludf.DUMMYFUNCTION("""COMPUTED_VALUE"""),"EG01-EG02-EG03")</f>
        <v>EG01-EG02-EG03</v>
      </c>
      <c r="F431" s="2" t="str">
        <f ca="1">IFERROR(__xludf.DUMMYFUNCTION("""COMPUTED_VALUE"""),"shimaakamal553@gmail.com")</f>
        <v>shimaakamal553@gmail.com</v>
      </c>
      <c r="G431" s="2" t="str">
        <f ca="1">IFERROR(__xludf.DUMMYFUNCTION("""COMPUTED_VALUE"""),"01157711782")</f>
        <v>01157711782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 t="str">
        <f ca="1">IFERROR(__xludf.DUMMYFUNCTION("""COMPUTED_VALUE"""),"روماني سعد")</f>
        <v>روماني سعد</v>
      </c>
      <c r="B432" s="2">
        <f ca="1">IFERROR(__xludf.DUMMYFUNCTION("""COMPUTED_VALUE"""),484190812809)</f>
        <v>484190812809</v>
      </c>
      <c r="C432" s="2" t="str">
        <f ca="1">IFERROR(__xludf.DUMMYFUNCTION("""COMPUTED_VALUE"""),"روماني سعد")</f>
        <v>روماني سعد</v>
      </c>
      <c r="D432" s="2">
        <f ca="1">IFERROR(__xludf.DUMMYFUNCTION("""COMPUTED_VALUE"""),2465)</f>
        <v>2465</v>
      </c>
      <c r="E432" s="2" t="str">
        <f ca="1">IFERROR(__xludf.DUMMYFUNCTION("""COMPUTED_VALUE"""),"EG11-EG12")</f>
        <v>EG11-EG12</v>
      </c>
      <c r="F432" s="2" t="str">
        <f ca="1">IFERROR(__xludf.DUMMYFUNCTION("""COMPUTED_VALUE"""),"romanyscience00@gmail.com")</f>
        <v>romanyscience00@gmail.com</v>
      </c>
      <c r="G432" s="2" t="str">
        <f ca="1">IFERROR(__xludf.DUMMYFUNCTION("""COMPUTED_VALUE"""),"01282802415")</f>
        <v>01282802415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 t="str">
        <f ca="1">IFERROR(__xludf.DUMMYFUNCTION("""COMPUTED_VALUE"""),"مريم أبو غراب")</f>
        <v>مريم أبو غراب</v>
      </c>
      <c r="B433" s="2">
        <f ca="1">IFERROR(__xludf.DUMMYFUNCTION("""COMPUTED_VALUE"""),858151472598)</f>
        <v>858151472598</v>
      </c>
      <c r="C433" s="2" t="str">
        <f ca="1">IFERROR(__xludf.DUMMYFUNCTION("""COMPUTED_VALUE"""),"مريم أبو غراب")</f>
        <v>مريم أبو غراب</v>
      </c>
      <c r="D433" s="2">
        <f ca="1">IFERROR(__xludf.DUMMYFUNCTION("""COMPUTED_VALUE"""),2477)</f>
        <v>2477</v>
      </c>
      <c r="E433" s="2" t="str">
        <f ca="1">IFERROR(__xludf.DUMMYFUNCTION("""COMPUTED_VALUE"""),"EG01-EG02-EG03-EG04-EG05-EG06")</f>
        <v>EG01-EG02-EG03-EG04-EG05-EG06</v>
      </c>
      <c r="F433" s="2" t="str">
        <f ca="1">IFERROR(__xludf.DUMMYFUNCTION("""COMPUTED_VALUE"""),"maryamabogourab98@gmail.com")</f>
        <v>maryamabogourab98@gmail.com</v>
      </c>
      <c r="G433" s="2" t="str">
        <f ca="1">IFERROR(__xludf.DUMMYFUNCTION("""COMPUTED_VALUE"""),"01024705051")</f>
        <v>01024705051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 t="str">
        <f ca="1">IFERROR(__xludf.DUMMYFUNCTION("""COMPUTED_VALUE"""),"شيماء جابر")</f>
        <v>شيماء جابر</v>
      </c>
      <c r="B434" s="2">
        <f ca="1">IFERROR(__xludf.DUMMYFUNCTION("""COMPUTED_VALUE"""),619178602629)</f>
        <v>619178602629</v>
      </c>
      <c r="C434" s="2" t="str">
        <f ca="1">IFERROR(__xludf.DUMMYFUNCTION("""COMPUTED_VALUE"""),"شيماء جابر")</f>
        <v>شيماء جابر</v>
      </c>
      <c r="D434" s="2">
        <f ca="1">IFERROR(__xludf.DUMMYFUNCTION("""COMPUTED_VALUE"""),2470)</f>
        <v>2470</v>
      </c>
      <c r="E434" s="2" t="str">
        <f ca="1">IFERROR(__xludf.DUMMYFUNCTION("""COMPUTED_VALUE"""),"EG07-EG08-EG09")</f>
        <v>EG07-EG08-EG09</v>
      </c>
      <c r="F434" s="2" t="str">
        <f ca="1">IFERROR(__xludf.DUMMYFUNCTION("""COMPUTED_VALUE"""),"shaymaagaber.sg@gmail.com")</f>
        <v>shaymaagaber.sg@gmail.com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 t="str">
        <f ca="1">IFERROR(__xludf.DUMMYFUNCTION("""COMPUTED_VALUE"""),"دينا رضوان")</f>
        <v>دينا رضوان</v>
      </c>
      <c r="B435" s="2">
        <f ca="1">IFERROR(__xludf.DUMMYFUNCTION("""COMPUTED_VALUE"""),590135797239)</f>
        <v>590135797239</v>
      </c>
      <c r="C435" s="2" t="str">
        <f ca="1">IFERROR(__xludf.DUMMYFUNCTION("""COMPUTED_VALUE"""),"دينا رضوان")</f>
        <v>دينا رضوان</v>
      </c>
      <c r="D435" s="2">
        <f ca="1">IFERROR(__xludf.DUMMYFUNCTION("""COMPUTED_VALUE"""),2447)</f>
        <v>2447</v>
      </c>
      <c r="E435" s="2" t="str">
        <f ca="1">IFERROR(__xludf.DUMMYFUNCTION("""COMPUTED_VALUE"""),"EG01-EG02-EG03-EG04-EG05")</f>
        <v>EG01-EG02-EG03-EG04-EG05</v>
      </c>
      <c r="F435" s="2" t="str">
        <f ca="1">IFERROR(__xludf.DUMMYFUNCTION("""COMPUTED_VALUE"""),"dinaradwan109@gmail.com")</f>
        <v>dinaradwan109@gmail.com</v>
      </c>
      <c r="G435" s="2" t="str">
        <f ca="1">IFERROR(__xludf.DUMMYFUNCTION("""COMPUTED_VALUE"""),"01144211463")</f>
        <v>01144211463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 t="str">
        <f ca="1">IFERROR(__xludf.DUMMYFUNCTION("""COMPUTED_VALUE"""),"أميرة رمضان")</f>
        <v>أميرة رمضان</v>
      </c>
      <c r="B436" s="2">
        <f ca="1">IFERROR(__xludf.DUMMYFUNCTION("""COMPUTED_VALUE"""),182137368351)</f>
        <v>182137368351</v>
      </c>
      <c r="C436" s="2" t="str">
        <f ca="1">IFERROR(__xludf.DUMMYFUNCTION("""COMPUTED_VALUE"""),"أميرة رمضان")</f>
        <v>أميرة رمضان</v>
      </c>
      <c r="D436" s="2">
        <f ca="1">IFERROR(__xludf.DUMMYFUNCTION("""COMPUTED_VALUE"""),2462)</f>
        <v>2462</v>
      </c>
      <c r="E436" s="2" t="str">
        <f ca="1">IFERROR(__xludf.DUMMYFUNCTION("""COMPUTED_VALUE"""),"EG03-EG04-EG05-EG06-EG07")</f>
        <v>EG03-EG04-EG05-EG06-EG07</v>
      </c>
      <c r="F436" s="2" t="str">
        <f ca="1">IFERROR(__xludf.DUMMYFUNCTION("""COMPUTED_VALUE"""),"meramera192333@gmail.com")</f>
        <v>meramera192333@gmail.com</v>
      </c>
      <c r="G436" s="2" t="str">
        <f ca="1">IFERROR(__xludf.DUMMYFUNCTION("""COMPUTED_VALUE"""),"01123054991")</f>
        <v>01123054991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 t="str">
        <f ca="1">IFERROR(__xludf.DUMMYFUNCTION("""COMPUTED_VALUE"""),"أسماء قاسم")</f>
        <v>أسماء قاسم</v>
      </c>
      <c r="B437" s="2">
        <f ca="1">IFERROR(__xludf.DUMMYFUNCTION("""COMPUTED_VALUE"""),183129070275)</f>
        <v>183129070275</v>
      </c>
      <c r="C437" s="2" t="str">
        <f ca="1">IFERROR(__xludf.DUMMYFUNCTION("""COMPUTED_VALUE"""),"أسماء قاسم")</f>
        <v>أسماء قاسم</v>
      </c>
      <c r="D437" s="2">
        <f ca="1">IFERROR(__xludf.DUMMYFUNCTION("""COMPUTED_VALUE"""),2458)</f>
        <v>2458</v>
      </c>
      <c r="E437" s="2" t="str">
        <f ca="1">IFERROR(__xludf.DUMMYFUNCTION("""COMPUTED_VALUE"""),"EG01-EG02-EG03")</f>
        <v>EG01-EG02-EG03</v>
      </c>
      <c r="F437" s="2" t="str">
        <f ca="1">IFERROR(__xludf.DUMMYFUNCTION("""COMPUTED_VALUE"""),"asmaakasem25@hotmail.com")</f>
        <v>asmaakasem25@hotmail.com</v>
      </c>
      <c r="G437" s="2" t="str">
        <f ca="1">IFERROR(__xludf.DUMMYFUNCTION("""COMPUTED_VALUE"""),"01100109067")</f>
        <v>01100109067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 t="str">
        <f ca="1">IFERROR(__xludf.DUMMYFUNCTION("""COMPUTED_VALUE"""),"إيناس أحمد")</f>
        <v>إيناس أحمد</v>
      </c>
      <c r="B438" s="2">
        <f ca="1">IFERROR(__xludf.DUMMYFUNCTION("""COMPUTED_VALUE"""),265124381798)</f>
        <v>265124381798</v>
      </c>
      <c r="C438" s="2" t="str">
        <f ca="1">IFERROR(__xludf.DUMMYFUNCTION("""COMPUTED_VALUE"""),"إيناس أحمد")</f>
        <v>إيناس أحمد</v>
      </c>
      <c r="D438" s="2">
        <f ca="1">IFERROR(__xludf.DUMMYFUNCTION("""COMPUTED_VALUE"""),2474)</f>
        <v>2474</v>
      </c>
      <c r="E438" s="2" t="str">
        <f ca="1">IFERROR(__xludf.DUMMYFUNCTION("""COMPUTED_VALUE"""),"EG01-EG02-EG03-EG04-EG05-EG06-EG07")</f>
        <v>EG01-EG02-EG03-EG04-EG05-EG06-EG07</v>
      </c>
      <c r="F438" s="2" t="str">
        <f ca="1">IFERROR(__xludf.DUMMYFUNCTION("""COMPUTED_VALUE"""),"enahany4@gmail.com")</f>
        <v>enahany4@gmail.com</v>
      </c>
      <c r="G438" s="2" t="str">
        <f ca="1">IFERROR(__xludf.DUMMYFUNCTION("""COMPUTED_VALUE"""),"01096788156")</f>
        <v>01096788156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 t="str">
        <f ca="1">IFERROR(__xludf.DUMMYFUNCTION("""COMPUTED_VALUE"""),"أحمد جودة")</f>
        <v>أحمد جودة</v>
      </c>
      <c r="B439" s="2">
        <f ca="1">IFERROR(__xludf.DUMMYFUNCTION("""COMPUTED_VALUE"""),643134674754)</f>
        <v>643134674754</v>
      </c>
      <c r="C439" s="2" t="str">
        <f ca="1">IFERROR(__xludf.DUMMYFUNCTION("""COMPUTED_VALUE"""),"أحمد جودة")</f>
        <v>أحمد جودة</v>
      </c>
      <c r="D439" s="2">
        <f ca="1">IFERROR(__xludf.DUMMYFUNCTION("""COMPUTED_VALUE"""),2475)</f>
        <v>2475</v>
      </c>
      <c r="E439" s="2" t="str">
        <f ca="1">IFERROR(__xludf.DUMMYFUNCTION("""COMPUTED_VALUE"""),"EG04-EG05-EG06")</f>
        <v>EG04-EG05-EG06</v>
      </c>
      <c r="F439" s="2" t="str">
        <f ca="1">IFERROR(__xludf.DUMMYFUNCTION("""COMPUTED_VALUE"""),"ahmedgoda712@gmail.com")</f>
        <v>ahmedgoda712@gmail.com</v>
      </c>
      <c r="G439" s="2" t="str">
        <f ca="1">IFERROR(__xludf.DUMMYFUNCTION("""COMPUTED_VALUE"""),"01212265381")</f>
        <v>01212265381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 t="str">
        <f ca="1">IFERROR(__xludf.DUMMYFUNCTION("""COMPUTED_VALUE"""),"عمرو الشريف")</f>
        <v>عمرو الشريف</v>
      </c>
      <c r="B440" s="2">
        <f ca="1">IFERROR(__xludf.DUMMYFUNCTION("""COMPUTED_VALUE"""),520172853627)</f>
        <v>520172853627</v>
      </c>
      <c r="C440" s="2" t="str">
        <f ca="1">IFERROR(__xludf.DUMMYFUNCTION("""COMPUTED_VALUE"""),"عمرو الشريف")</f>
        <v>عمرو الشريف</v>
      </c>
      <c r="D440" s="2">
        <f ca="1">IFERROR(__xludf.DUMMYFUNCTION("""COMPUTED_VALUE"""),2466)</f>
        <v>2466</v>
      </c>
      <c r="E440" s="2" t="str">
        <f ca="1">IFERROR(__xludf.DUMMYFUNCTION("""COMPUTED_VALUE"""),"EG04-EG05-EG06-EG07")</f>
        <v>EG04-EG05-EG06-EG07</v>
      </c>
      <c r="F440" s="2" t="str">
        <f ca="1">IFERROR(__xludf.DUMMYFUNCTION("""COMPUTED_VALUE"""),"amrgamalhamdi@gmail.com")</f>
        <v>amrgamalhamdi@gmail.com</v>
      </c>
      <c r="G440" s="2" t="str">
        <f ca="1">IFERROR(__xludf.DUMMYFUNCTION("""COMPUTED_VALUE"""),"01060743606")</f>
        <v>01060743606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 t="str">
        <f ca="1">IFERROR(__xludf.DUMMYFUNCTION("""COMPUTED_VALUE"""),"فاطمة لبيب")</f>
        <v>فاطمة لبيب</v>
      </c>
      <c r="B441" s="2">
        <f ca="1">IFERROR(__xludf.DUMMYFUNCTION("""COMPUTED_VALUE"""),374143640395)</f>
        <v>374143640395</v>
      </c>
      <c r="C441" s="2" t="str">
        <f ca="1">IFERROR(__xludf.DUMMYFUNCTION("""COMPUTED_VALUE"""),"فاطمة لبيب")</f>
        <v>فاطمة لبيب</v>
      </c>
      <c r="D441" s="2">
        <f ca="1">IFERROR(__xludf.DUMMYFUNCTION("""COMPUTED_VALUE"""),2473)</f>
        <v>2473</v>
      </c>
      <c r="E441" s="2" t="str">
        <f ca="1">IFERROR(__xludf.DUMMYFUNCTION("""COMPUTED_VALUE"""),"EG01-EG02-EG03-EG04-EG05-EG06")</f>
        <v>EG01-EG02-EG03-EG04-EG05-EG06</v>
      </c>
      <c r="F441" s="2" t="str">
        <f ca="1">IFERROR(__xludf.DUMMYFUNCTION("""COMPUTED_VALUE"""),"fatmalabib041@gmail.com")</f>
        <v>fatmalabib041@gmail.com</v>
      </c>
      <c r="G441" s="2" t="str">
        <f ca="1">IFERROR(__xludf.DUMMYFUNCTION("""COMPUTED_VALUE"""),"01019758284")</f>
        <v>01019758284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 t="str">
        <f ca="1">IFERROR(__xludf.DUMMYFUNCTION("""COMPUTED_VALUE"""),"أحمد علوي")</f>
        <v>أحمد علوي</v>
      </c>
      <c r="B442" s="2">
        <f ca="1">IFERROR(__xludf.DUMMYFUNCTION("""COMPUTED_VALUE"""),184134281752)</f>
        <v>184134281752</v>
      </c>
      <c r="C442" s="2" t="str">
        <f ca="1">IFERROR(__xludf.DUMMYFUNCTION("""COMPUTED_VALUE"""),"أحمد علوي")</f>
        <v>أحمد علوي</v>
      </c>
      <c r="D442" s="2">
        <f ca="1">IFERROR(__xludf.DUMMYFUNCTION("""COMPUTED_VALUE"""),2418)</f>
        <v>2418</v>
      </c>
      <c r="E442" s="2" t="str">
        <f ca="1">IFERROR(__xludf.DUMMYFUNCTION("""COMPUTED_VALUE"""),"EG07-EG08-EG09")</f>
        <v>EG07-EG08-EG09</v>
      </c>
      <c r="F442" s="2" t="str">
        <f ca="1">IFERROR(__xludf.DUMMYFUNCTION("""COMPUTED_VALUE"""),"ahmedolwy1973@gmail.com")</f>
        <v>ahmedolwy1973@gmail.com</v>
      </c>
      <c r="G442" s="2" t="str">
        <f ca="1">IFERROR(__xludf.DUMMYFUNCTION("""COMPUTED_VALUE"""),"01099194027")</f>
        <v>01099194027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 t="str">
        <f ca="1">IFERROR(__xludf.DUMMYFUNCTION("""COMPUTED_VALUE"""),"محمد فهمي")</f>
        <v>محمد فهمي</v>
      </c>
      <c r="B443" s="2">
        <f ca="1">IFERROR(__xludf.DUMMYFUNCTION("""COMPUTED_VALUE"""),718123675934)</f>
        <v>718123675934</v>
      </c>
      <c r="C443" s="2" t="str">
        <f ca="1">IFERROR(__xludf.DUMMYFUNCTION("""COMPUTED_VALUE"""),"محمد فهمي")</f>
        <v>محمد فهمي</v>
      </c>
      <c r="D443" s="2">
        <f ca="1">IFERROR(__xludf.DUMMYFUNCTION("""COMPUTED_VALUE"""),2449)</f>
        <v>2449</v>
      </c>
      <c r="E443" s="2" t="str">
        <f ca="1">IFERROR(__xludf.DUMMYFUNCTION("""COMPUTED_VALUE"""),"EG07-EG08-EG09")</f>
        <v>EG07-EG08-EG09</v>
      </c>
      <c r="F443" s="2" t="str">
        <f ca="1">IFERROR(__xludf.DUMMYFUNCTION("""COMPUTED_VALUE"""),"mohamed.fahmy0190@gmail.com")</f>
        <v>mohamed.fahmy0190@gmail.com</v>
      </c>
      <c r="G443" s="2" t="str">
        <f ca="1">IFERROR(__xludf.DUMMYFUNCTION("""COMPUTED_VALUE"""),"01110995621")</f>
        <v>01110995621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 t="str">
        <f ca="1">IFERROR(__xludf.DUMMYFUNCTION("""COMPUTED_VALUE"""),"فاطمة الزهراء حسين")</f>
        <v>فاطمة الزهراء حسين</v>
      </c>
      <c r="B444" s="2">
        <f ca="1">IFERROR(__xludf.DUMMYFUNCTION("""COMPUTED_VALUE"""),498189587153)</f>
        <v>498189587153</v>
      </c>
      <c r="C444" s="2" t="str">
        <f ca="1">IFERROR(__xludf.DUMMYFUNCTION("""COMPUTED_VALUE"""),"فاطمة الزهراء حسين")</f>
        <v>فاطمة الزهراء حسين</v>
      </c>
      <c r="D444" s="2">
        <f ca="1">IFERROR(__xludf.DUMMYFUNCTION("""COMPUTED_VALUE"""),2450)</f>
        <v>2450</v>
      </c>
      <c r="E444" s="2" t="str">
        <f ca="1">IFERROR(__xludf.DUMMYFUNCTION("""COMPUTED_VALUE"""),"EG04-EG05-EG06")</f>
        <v>EG04-EG05-EG06</v>
      </c>
      <c r="F444" s="2" t="str">
        <f ca="1">IFERROR(__xludf.DUMMYFUNCTION("""COMPUTED_VALUE"""),"samarana2654@gmail.com")</f>
        <v>samarana2654@gmail.com</v>
      </c>
      <c r="G444" s="2" t="str">
        <f ca="1">IFERROR(__xludf.DUMMYFUNCTION("""COMPUTED_VALUE"""),"01225233745")</f>
        <v>01225233745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 t="str">
        <f ca="1">IFERROR(__xludf.DUMMYFUNCTION("""COMPUTED_VALUE"""),"محمد توفيق")</f>
        <v>محمد توفيق</v>
      </c>
      <c r="B445" s="2">
        <f ca="1">IFERROR(__xludf.DUMMYFUNCTION("""COMPUTED_VALUE"""),742164906960)</f>
        <v>742164906960</v>
      </c>
      <c r="C445" s="2" t="str">
        <f ca="1">IFERROR(__xludf.DUMMYFUNCTION("""COMPUTED_VALUE"""),"محمد توفيق")</f>
        <v>محمد توفيق</v>
      </c>
      <c r="D445" s="2">
        <f ca="1">IFERROR(__xludf.DUMMYFUNCTION("""COMPUTED_VALUE"""),2051)</f>
        <v>2051</v>
      </c>
      <c r="E445" s="2"/>
      <c r="F445" s="2" t="str">
        <f ca="1">IFERROR(__xludf.DUMMYFUNCTION("""COMPUTED_VALUE"""),"mohammedtawfik1974@gmail.com")</f>
        <v>mohammedtawfik1974@gmail.com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 t="str">
        <f ca="1">IFERROR(__xludf.DUMMYFUNCTION("""COMPUTED_VALUE"""),"عبد الرحمن ربيع")</f>
        <v>عبد الرحمن ربيع</v>
      </c>
      <c r="B446" s="2">
        <f ca="1">IFERROR(__xludf.DUMMYFUNCTION("""COMPUTED_VALUE"""),796147347235)</f>
        <v>796147347235</v>
      </c>
      <c r="C446" s="2" t="str">
        <f ca="1">IFERROR(__xludf.DUMMYFUNCTION("""COMPUTED_VALUE"""),"عبد الرحمن ربيع")</f>
        <v>عبد الرحمن ربيع</v>
      </c>
      <c r="D446" s="2">
        <f ca="1">IFERROR(__xludf.DUMMYFUNCTION("""COMPUTED_VALUE"""),2457)</f>
        <v>2457</v>
      </c>
      <c r="E446" s="2" t="str">
        <f ca="1">IFERROR(__xludf.DUMMYFUNCTION("""COMPUTED_VALUE"""),"EG07-EG08-EG09")</f>
        <v>EG07-EG08-EG09</v>
      </c>
      <c r="F446" s="2" t="str">
        <f ca="1">IFERROR(__xludf.DUMMYFUNCTION("""COMPUTED_VALUE"""),"rabiea1222@gmail.com")</f>
        <v>rabiea1222@gmail.com</v>
      </c>
      <c r="G446" s="2" t="str">
        <f ca="1">IFERROR(__xludf.DUMMYFUNCTION("""COMPUTED_VALUE"""),"01095228365")</f>
        <v>01095228365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 t="str">
        <f ca="1">IFERROR(__xludf.DUMMYFUNCTION("""COMPUTED_VALUE"""),"أنطون ألبرت")</f>
        <v>أنطون ألبرت</v>
      </c>
      <c r="B447" s="2">
        <f ca="1">IFERROR(__xludf.DUMMYFUNCTION("""COMPUTED_VALUE"""),512161969162)</f>
        <v>512161969162</v>
      </c>
      <c r="C447" s="2" t="str">
        <f ca="1">IFERROR(__xludf.DUMMYFUNCTION("""COMPUTED_VALUE"""),"أنطون ألبرت")</f>
        <v>أنطون ألبرت</v>
      </c>
      <c r="D447" s="2">
        <f ca="1">IFERROR(__xludf.DUMMYFUNCTION("""COMPUTED_VALUE"""),2053)</f>
        <v>2053</v>
      </c>
      <c r="E447" s="2"/>
      <c r="F447" s="2" t="str">
        <f ca="1">IFERROR(__xludf.DUMMYFUNCTION("""COMPUTED_VALUE"""),"tonyalbert433@gmail.com")</f>
        <v>tonyalbert433@gmail.com</v>
      </c>
      <c r="G447" s="2" t="str">
        <f ca="1">IFERROR(__xludf.DUMMYFUNCTION("""COMPUTED_VALUE"""),"01220525771")</f>
        <v>01220525771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 t="str">
        <f ca="1">IFERROR(__xludf.DUMMYFUNCTION("""COMPUTED_VALUE"""),"شيرين محمد")</f>
        <v>شيرين محمد</v>
      </c>
      <c r="B448" s="2">
        <f ca="1">IFERROR(__xludf.DUMMYFUNCTION("""COMPUTED_VALUE"""),574109525960)</f>
        <v>574109525960</v>
      </c>
      <c r="C448" s="2" t="str">
        <f ca="1">IFERROR(__xludf.DUMMYFUNCTION("""COMPUTED_VALUE"""),"شيرين محمد")</f>
        <v>شيرين محمد</v>
      </c>
      <c r="D448" s="2">
        <f ca="1">IFERROR(__xludf.DUMMYFUNCTION("""COMPUTED_VALUE"""),2471)</f>
        <v>2471</v>
      </c>
      <c r="E448" s="2" t="str">
        <f ca="1">IFERROR(__xludf.DUMMYFUNCTION("""COMPUTED_VALUE"""),"EG04-EG05-EG06-EG07-EG08-EG09")</f>
        <v>EG04-EG05-EG06-EG07-EG08-EG09</v>
      </c>
      <c r="F448" s="2" t="str">
        <f ca="1">IFERROR(__xludf.DUMMYFUNCTION("""COMPUTED_VALUE"""),"sherin.mohamed.hafez@gmail.com")</f>
        <v>sherin.mohamed.hafez@gmail.com</v>
      </c>
      <c r="G448" s="2" t="str">
        <f ca="1">IFERROR(__xludf.DUMMYFUNCTION("""COMPUTED_VALUE"""),"01017179234")</f>
        <v>01017179234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 t="str">
        <f ca="1">IFERROR(__xludf.DUMMYFUNCTION("""COMPUTED_VALUE"""),"عبد المقصود حسن")</f>
        <v>عبد المقصود حسن</v>
      </c>
      <c r="B449" s="2">
        <f ca="1">IFERROR(__xludf.DUMMYFUNCTION("""COMPUTED_VALUE"""),872145824294)</f>
        <v>872145824294</v>
      </c>
      <c r="C449" s="2" t="str">
        <f ca="1">IFERROR(__xludf.DUMMYFUNCTION("""COMPUTED_VALUE"""),"عبد المقصود حسن")</f>
        <v>عبد المقصود حسن</v>
      </c>
      <c r="D449" s="2">
        <f ca="1">IFERROR(__xludf.DUMMYFUNCTION("""COMPUTED_VALUE"""),2464)</f>
        <v>2464</v>
      </c>
      <c r="E449" s="2" t="str">
        <f ca="1">IFERROR(__xludf.DUMMYFUNCTION("""COMPUTED_VALUE"""),"EG09-EG10-EG11")</f>
        <v>EG09-EG10-EG11</v>
      </c>
      <c r="F449" s="2" t="str">
        <f ca="1">IFERROR(__xludf.DUMMYFUNCTION("""COMPUTED_VALUE"""),"memomaksoood@gmail.com")</f>
        <v>memomaksoood@gmail.com</v>
      </c>
      <c r="G449" s="2" t="str">
        <f ca="1">IFERROR(__xludf.DUMMYFUNCTION("""COMPUTED_VALUE"""),"01272280157")</f>
        <v>01272280157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 t="str">
        <f ca="1">IFERROR(__xludf.DUMMYFUNCTION("""COMPUTED_VALUE"""),"يوستينا ويدي")</f>
        <v>يوستينا ويدي</v>
      </c>
      <c r="B450" s="2">
        <f ca="1">IFERROR(__xludf.DUMMYFUNCTION("""COMPUTED_VALUE"""),868184721354)</f>
        <v>868184721354</v>
      </c>
      <c r="C450" s="2" t="str">
        <f ca="1">IFERROR(__xludf.DUMMYFUNCTION("""COMPUTED_VALUE"""),"يوستينا ويدي")</f>
        <v>يوستينا ويدي</v>
      </c>
      <c r="D450" s="2">
        <f ca="1">IFERROR(__xludf.DUMMYFUNCTION("""COMPUTED_VALUE"""),2480)</f>
        <v>2480</v>
      </c>
      <c r="E450" s="2" t="str">
        <f ca="1">IFERROR(__xludf.DUMMYFUNCTION("""COMPUTED_VALUE"""),"EG04-EG05-EG06")</f>
        <v>EG04-EG05-EG06</v>
      </c>
      <c r="F450" s="2" t="str">
        <f ca="1">IFERROR(__xludf.DUMMYFUNCTION("""COMPUTED_VALUE"""),"youstina.waide123@gmail.com")</f>
        <v>youstina.waide123@gmail.com</v>
      </c>
      <c r="G450" s="2" t="str">
        <f ca="1">IFERROR(__xludf.DUMMYFUNCTION("""COMPUTED_VALUE"""),"01273882464")</f>
        <v>01273882464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 t="str">
        <f ca="1">IFERROR(__xludf.DUMMYFUNCTION("""COMPUTED_VALUE"""),"ريهام الطويل")</f>
        <v>ريهام الطويل</v>
      </c>
      <c r="B451" s="2">
        <f ca="1">IFERROR(__xludf.DUMMYFUNCTION("""COMPUTED_VALUE"""),969151976052)</f>
        <v>969151976052</v>
      </c>
      <c r="C451" s="2" t="str">
        <f ca="1">IFERROR(__xludf.DUMMYFUNCTION("""COMPUTED_VALUE"""),"ريهام الطويل")</f>
        <v>ريهام الطويل</v>
      </c>
      <c r="D451" s="2">
        <f ca="1">IFERROR(__xludf.DUMMYFUNCTION("""COMPUTED_VALUE"""),2468)</f>
        <v>2468</v>
      </c>
      <c r="E451" s="2" t="str">
        <f ca="1">IFERROR(__xludf.DUMMYFUNCTION("""COMPUTED_VALUE"""),"EG04-EG05-EG06")</f>
        <v>EG04-EG05-EG06</v>
      </c>
      <c r="F451" s="2" t="str">
        <f ca="1">IFERROR(__xludf.DUMMYFUNCTION("""COMPUTED_VALUE"""),"rihameltawil91@gmail.com")</f>
        <v>rihameltawil91@gmail.com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 t="str">
        <f ca="1">IFERROR(__xludf.DUMMYFUNCTION("""COMPUTED_VALUE"""),"أبو الصفا إسماعيل")</f>
        <v>أبو الصفا إسماعيل</v>
      </c>
      <c r="B452" s="2">
        <f ca="1">IFERROR(__xludf.DUMMYFUNCTION("""COMPUTED_VALUE"""),724157458293)</f>
        <v>724157458293</v>
      </c>
      <c r="C452" s="2" t="str">
        <f ca="1">IFERROR(__xludf.DUMMYFUNCTION("""COMPUTED_VALUE"""),"أبو الصفا إسماعيل")</f>
        <v>أبو الصفا إسماعيل</v>
      </c>
      <c r="D452" s="2">
        <f ca="1">IFERROR(__xludf.DUMMYFUNCTION("""COMPUTED_VALUE"""),2460)</f>
        <v>2460</v>
      </c>
      <c r="E452" s="2" t="str">
        <f ca="1">IFERROR(__xludf.DUMMYFUNCTION("""COMPUTED_VALUE"""),"EG07-EG08-EG09-EG10-EG11")</f>
        <v>EG07-EG08-EG09-EG10-EG11</v>
      </c>
      <c r="F452" s="2" t="str">
        <f ca="1">IFERROR(__xludf.DUMMYFUNCTION("""COMPUTED_VALUE"""),"safogo73@gmail.com")</f>
        <v>safogo73@gmail.com</v>
      </c>
      <c r="G452" s="2" t="str">
        <f ca="1">IFERROR(__xludf.DUMMYFUNCTION("""COMPUTED_VALUE"""),"01006339089")</f>
        <v>01006339089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 t="str">
        <f ca="1">IFERROR(__xludf.DUMMYFUNCTION("""COMPUTED_VALUE"""),"شيماء ماجد")</f>
        <v>شيماء ماجد</v>
      </c>
      <c r="B453" s="2">
        <f ca="1">IFERROR(__xludf.DUMMYFUNCTION("""COMPUTED_VALUE"""),983140839457)</f>
        <v>983140839457</v>
      </c>
      <c r="C453" s="2" t="str">
        <f ca="1">IFERROR(__xludf.DUMMYFUNCTION("""COMPUTED_VALUE"""),"شيماء ماجد")</f>
        <v>شيماء ماجد</v>
      </c>
      <c r="D453" s="2">
        <f ca="1">IFERROR(__xludf.DUMMYFUNCTION("""COMPUTED_VALUE"""),2482)</f>
        <v>2482</v>
      </c>
      <c r="E453" s="2" t="str">
        <f ca="1">IFERROR(__xludf.DUMMYFUNCTION("""COMPUTED_VALUE"""),"EG07-EG08-EG09")</f>
        <v>EG07-EG08-EG09</v>
      </c>
      <c r="F453" s="2" t="str">
        <f ca="1">IFERROR(__xludf.DUMMYFUNCTION("""COMPUTED_VALUE"""),"shimaamaged436@gmail.com")</f>
        <v>shimaamaged436@gmail.com</v>
      </c>
      <c r="G453" s="2" t="str">
        <f ca="1">IFERROR(__xludf.DUMMYFUNCTION("""COMPUTED_VALUE"""),"01271024461")</f>
        <v>01271024461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 t="str">
        <f ca="1">IFERROR(__xludf.DUMMYFUNCTION("""COMPUTED_VALUE"""),"إسراء مبارك")</f>
        <v>إسراء مبارك</v>
      </c>
      <c r="B454" s="2">
        <f ca="1">IFERROR(__xludf.DUMMYFUNCTION("""COMPUTED_VALUE"""),510131201316)</f>
        <v>510131201316</v>
      </c>
      <c r="C454" s="2" t="str">
        <f ca="1">IFERROR(__xludf.DUMMYFUNCTION("""COMPUTED_VALUE"""),"إسراء مبارك")</f>
        <v>إسراء مبارك</v>
      </c>
      <c r="D454" s="2"/>
      <c r="E454" s="2" t="str">
        <f ca="1">IFERROR(__xludf.DUMMYFUNCTION("""COMPUTED_VALUE"""),"EG04-EG05-EG06-EG07")</f>
        <v>EG04-EG05-EG06-EG07</v>
      </c>
      <c r="F454" s="2" t="str">
        <f ca="1">IFERROR(__xludf.DUMMYFUNCTION("""COMPUTED_VALUE"""),"essay.soo1996@gmail.com")</f>
        <v>essay.soo1996@gmail.com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 t="str">
        <f ca="1">IFERROR(__xludf.DUMMYFUNCTION("""COMPUTED_VALUE"""),"أحمد شعبان")</f>
        <v>أحمد شعبان</v>
      </c>
      <c r="B455" s="2">
        <f ca="1">IFERROR(__xludf.DUMMYFUNCTION("""COMPUTED_VALUE"""),987156102178)</f>
        <v>987156102178</v>
      </c>
      <c r="C455" s="2" t="str">
        <f ca="1">IFERROR(__xludf.DUMMYFUNCTION("""COMPUTED_VALUE"""),"أحمد شعبان")</f>
        <v>أحمد شعبان</v>
      </c>
      <c r="D455" s="2">
        <f ca="1">IFERROR(__xludf.DUMMYFUNCTION("""COMPUTED_VALUE"""),2481)</f>
        <v>2481</v>
      </c>
      <c r="E455" s="2" t="str">
        <f ca="1">IFERROR(__xludf.DUMMYFUNCTION("""COMPUTED_VALUE"""),"EG07-EG08-EG09-EG10-EG11-EG12")</f>
        <v>EG07-EG08-EG09-EG10-EG11-EG12</v>
      </c>
      <c r="F455" s="2" t="str">
        <f ca="1">IFERROR(__xludf.DUMMYFUNCTION("""COMPUTED_VALUE"""),"ahmedsakr1975@gmail.com")</f>
        <v>ahmedsakr1975@gmail.com</v>
      </c>
      <c r="G455" s="2" t="str">
        <f ca="1">IFERROR(__xludf.DUMMYFUNCTION("""COMPUTED_VALUE"""),"01118411148")</f>
        <v>01118411148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 t="str">
        <f ca="1">IFERROR(__xludf.DUMMYFUNCTION("""COMPUTED_VALUE"""),"عمرو حسين")</f>
        <v>عمرو حسين</v>
      </c>
      <c r="B456" s="2">
        <f ca="1">IFERROR(__xludf.DUMMYFUNCTION("""COMPUTED_VALUE"""),213182140457)</f>
        <v>213182140457</v>
      </c>
      <c r="C456" s="2" t="str">
        <f ca="1">IFERROR(__xludf.DUMMYFUNCTION("""COMPUTED_VALUE"""),"عمرو حسين")</f>
        <v>عمرو حسين</v>
      </c>
      <c r="D456" s="2">
        <f ca="1">IFERROR(__xludf.DUMMYFUNCTION("""COMPUTED_VALUE"""),2486)</f>
        <v>2486</v>
      </c>
      <c r="E456" s="2" t="str">
        <f ca="1">IFERROR(__xludf.DUMMYFUNCTION("""COMPUTED_VALUE"""),"EG07-EG08-EG09-EG10-EG11-EG12")</f>
        <v>EG07-EG08-EG09-EG10-EG11-EG12</v>
      </c>
      <c r="F456" s="2" t="str">
        <f ca="1">IFERROR(__xludf.DUMMYFUNCTION("""COMPUTED_VALUE"""),"amrhussien14@gmail.com")</f>
        <v>amrhussien14@gmail.com</v>
      </c>
      <c r="G456" s="2" t="str">
        <f ca="1">IFERROR(__xludf.DUMMYFUNCTION("""COMPUTED_VALUE"""),"01095433048")</f>
        <v>01095433048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 t="str">
        <f ca="1">IFERROR(__xludf.DUMMYFUNCTION("""COMPUTED_VALUE"""),"رامز باسيلي")</f>
        <v>رامز باسيلي</v>
      </c>
      <c r="B457" s="2">
        <f ca="1">IFERROR(__xludf.DUMMYFUNCTION("""COMPUTED_VALUE"""),707135059424)</f>
        <v>707135059424</v>
      </c>
      <c r="C457" s="2" t="str">
        <f ca="1">IFERROR(__xludf.DUMMYFUNCTION("""COMPUTED_VALUE"""),"رامز باسيلي")</f>
        <v>رامز باسيلي</v>
      </c>
      <c r="D457" s="2">
        <f ca="1">IFERROR(__xludf.DUMMYFUNCTION("""COMPUTED_VALUE"""),2497)</f>
        <v>2497</v>
      </c>
      <c r="E457" s="2" t="str">
        <f ca="1">IFERROR(__xludf.DUMMYFUNCTION("""COMPUTED_VALUE"""),"EG07-EG08-EG09-EG10-EG11-EG12")</f>
        <v>EG07-EG08-EG09-EG10-EG11-EG12</v>
      </c>
      <c r="F457" s="2" t="str">
        <f ca="1">IFERROR(__xludf.DUMMYFUNCTION("""COMPUTED_VALUE"""),"rzsa33@gmail.com")</f>
        <v>rzsa33@gmail.com</v>
      </c>
      <c r="G457" s="2" t="str">
        <f ca="1">IFERROR(__xludf.DUMMYFUNCTION("""COMPUTED_VALUE"""),"01228046146")</f>
        <v>01228046146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 t="str">
        <f ca="1">IFERROR(__xludf.DUMMYFUNCTION("""COMPUTED_VALUE"""),"أميرة عبد العزيز")</f>
        <v>أميرة عبد العزيز</v>
      </c>
      <c r="B458" s="2">
        <f ca="1">IFERROR(__xludf.DUMMYFUNCTION("""COMPUTED_VALUE"""),925193924973)</f>
        <v>925193924973</v>
      </c>
      <c r="C458" s="2" t="str">
        <f ca="1">IFERROR(__xludf.DUMMYFUNCTION("""COMPUTED_VALUE"""),"أميرة عبد العزيز")</f>
        <v>أميرة عبد العزيز</v>
      </c>
      <c r="D458" s="2">
        <f ca="1">IFERROR(__xludf.DUMMYFUNCTION("""COMPUTED_VALUE"""),2487)</f>
        <v>2487</v>
      </c>
      <c r="E458" s="2" t="str">
        <f ca="1">IFERROR(__xludf.DUMMYFUNCTION("""COMPUTED_VALUE"""),"EG01-EG02-EG03")</f>
        <v>EG01-EG02-EG03</v>
      </c>
      <c r="F458" s="2" t="str">
        <f ca="1">IFERROR(__xludf.DUMMYFUNCTION("""COMPUTED_VALUE"""),"amira.galal60@yahoo.com")</f>
        <v>amira.galal60@yahoo.com</v>
      </c>
      <c r="G458" s="2" t="str">
        <f ca="1">IFERROR(__xludf.DUMMYFUNCTION("""COMPUTED_VALUE"""),"01013983718")</f>
        <v>01013983718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 t="str">
        <f ca="1">IFERROR(__xludf.DUMMYFUNCTION("""COMPUTED_VALUE"""),"منى صلاح")</f>
        <v>منى صلاح</v>
      </c>
      <c r="B459" s="2">
        <f ca="1">IFERROR(__xludf.DUMMYFUNCTION("""COMPUTED_VALUE"""),458171934281)</f>
        <v>458171934281</v>
      </c>
      <c r="C459" s="2" t="str">
        <f ca="1">IFERROR(__xludf.DUMMYFUNCTION("""COMPUTED_VALUE"""),"منى صلاح")</f>
        <v>منى صلاح</v>
      </c>
      <c r="D459" s="2">
        <f ca="1">IFERROR(__xludf.DUMMYFUNCTION("""COMPUTED_VALUE"""),2472)</f>
        <v>2472</v>
      </c>
      <c r="E459" s="2" t="str">
        <f ca="1">IFERROR(__xludf.DUMMYFUNCTION("""COMPUTED_VALUE"""),"EG04-EG05-EG06-EG07-EG08-EG09")</f>
        <v>EG04-EG05-EG06-EG07-EG08-EG09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 t="str">
        <f ca="1">IFERROR(__xludf.DUMMYFUNCTION("""COMPUTED_VALUE"""),"شيماء حسين فهمي")</f>
        <v>شيماء حسين فهمي</v>
      </c>
      <c r="B460" s="2">
        <f ca="1">IFERROR(__xludf.DUMMYFUNCTION("""COMPUTED_VALUE"""),573149872824)</f>
        <v>573149872824</v>
      </c>
      <c r="C460" s="2" t="str">
        <f ca="1">IFERROR(__xludf.DUMMYFUNCTION("""COMPUTED_VALUE"""),"شيماء حسين فهمي")</f>
        <v>شيماء حسين فهمي</v>
      </c>
      <c r="D460" s="2">
        <f ca="1">IFERROR(__xludf.DUMMYFUNCTION("""COMPUTED_VALUE"""),2491)</f>
        <v>2491</v>
      </c>
      <c r="E460" s="2" t="str">
        <f ca="1">IFERROR(__xludf.DUMMYFUNCTION("""COMPUTED_VALUE"""),"EG01-EG02-EG03")</f>
        <v>EG01-EG02-EG03</v>
      </c>
      <c r="F460" s="2" t="str">
        <f ca="1">IFERROR(__xludf.DUMMYFUNCTION("""COMPUTED_VALUE"""),"shimaahussain2@gmail.com")</f>
        <v>shimaahussain2@gmail.com</v>
      </c>
      <c r="G460" s="2" t="str">
        <f ca="1">IFERROR(__xludf.DUMMYFUNCTION("""COMPUTED_VALUE"""),"01016634509")</f>
        <v>01016634509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 t="str">
        <f ca="1">IFERROR(__xludf.DUMMYFUNCTION("""COMPUTED_VALUE"""),"عبد الرحمن أشرف")</f>
        <v>عبد الرحمن أشرف</v>
      </c>
      <c r="B461" s="2">
        <f ca="1">IFERROR(__xludf.DUMMYFUNCTION("""COMPUTED_VALUE"""),827159763903)</f>
        <v>827159763903</v>
      </c>
      <c r="C461" s="2" t="str">
        <f ca="1">IFERROR(__xludf.DUMMYFUNCTION("""COMPUTED_VALUE"""),"عبد الرحمن أشرف")</f>
        <v>عبد الرحمن أشرف</v>
      </c>
      <c r="D461" s="2">
        <f ca="1">IFERROR(__xludf.DUMMYFUNCTION("""COMPUTED_VALUE"""),2488)</f>
        <v>2488</v>
      </c>
      <c r="E461" s="2" t="str">
        <f ca="1">IFERROR(__xludf.DUMMYFUNCTION("""COMPUTED_VALUE"""),"EG04-EG05-EG06-EG07")</f>
        <v>EG04-EG05-EG06-EG07</v>
      </c>
      <c r="F461" s="2" t="str">
        <f ca="1">IFERROR(__xludf.DUMMYFUNCTION("""COMPUTED_VALUE"""),"abdo11ashraf99@gmail.com")</f>
        <v>abdo11ashraf99@gmail.com</v>
      </c>
      <c r="G461" s="2" t="str">
        <f ca="1">IFERROR(__xludf.DUMMYFUNCTION("""COMPUTED_VALUE"""),"01025827201")</f>
        <v>01025827201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 t="str">
        <f ca="1">IFERROR(__xludf.DUMMYFUNCTION("""COMPUTED_VALUE"""),"دينا إسماعيل")</f>
        <v>دينا إسماعيل</v>
      </c>
      <c r="B462" s="2">
        <f ca="1">IFERROR(__xludf.DUMMYFUNCTION("""COMPUTED_VALUE"""),472132150306)</f>
        <v>472132150306</v>
      </c>
      <c r="C462" s="2" t="str">
        <f ca="1">IFERROR(__xludf.DUMMYFUNCTION("""COMPUTED_VALUE"""),"دينا إسماعيل")</f>
        <v>دينا إسماعيل</v>
      </c>
      <c r="D462" s="2">
        <f ca="1">IFERROR(__xludf.DUMMYFUNCTION("""COMPUTED_VALUE"""),2485)</f>
        <v>2485</v>
      </c>
      <c r="E462" s="2" t="str">
        <f ca="1">IFERROR(__xludf.DUMMYFUNCTION("""COMPUTED_VALUE"""),"EG04-EG05-EG06-EG07-EG08-EG09")</f>
        <v>EG04-EG05-EG06-EG07-EG08-EG09</v>
      </c>
      <c r="F462" s="2" t="str">
        <f ca="1">IFERROR(__xludf.DUMMYFUNCTION("""COMPUTED_VALUE"""),"dinaadel9623@gmail.com")</f>
        <v>dinaadel9623@gmail.com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 t="str">
        <f ca="1">IFERROR(__xludf.DUMMYFUNCTION("""COMPUTED_VALUE"""),"رنا البدري")</f>
        <v>رنا البدري</v>
      </c>
      <c r="B463" s="2">
        <f ca="1">IFERROR(__xludf.DUMMYFUNCTION("""COMPUTED_VALUE"""),803173848636)</f>
        <v>803173848636</v>
      </c>
      <c r="C463" s="2" t="str">
        <f ca="1">IFERROR(__xludf.DUMMYFUNCTION("""COMPUTED_VALUE"""),"رنا البدري")</f>
        <v>رنا البدري</v>
      </c>
      <c r="D463" s="2">
        <f ca="1">IFERROR(__xludf.DUMMYFUNCTION("""COMPUTED_VALUE"""),2498)</f>
        <v>2498</v>
      </c>
      <c r="E463" s="2" t="str">
        <f ca="1">IFERROR(__xludf.DUMMYFUNCTION("""COMPUTED_VALUE"""),"EG04-EG05-EG06")</f>
        <v>EG04-EG05-EG06</v>
      </c>
      <c r="F463" s="2" t="str">
        <f ca="1">IFERROR(__xludf.DUMMYFUNCTION("""COMPUTED_VALUE"""),"ranaelbadry753@gmail.com")</f>
        <v>ranaelbadry753@gmail.com</v>
      </c>
      <c r="G463" s="2" t="str">
        <f ca="1">IFERROR(__xludf.DUMMYFUNCTION("""COMPUTED_VALUE"""),"01090632568")</f>
        <v>01090632568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 t="str">
        <f ca="1">IFERROR(__xludf.DUMMYFUNCTION("""COMPUTED_VALUE"""),"نسمة محمد")</f>
        <v>نسمة محمد</v>
      </c>
      <c r="B464" s="2">
        <f ca="1">IFERROR(__xludf.DUMMYFUNCTION("""COMPUTED_VALUE"""),434196242350)</f>
        <v>434196242350</v>
      </c>
      <c r="C464" s="2" t="str">
        <f ca="1">IFERROR(__xludf.DUMMYFUNCTION("""COMPUTED_VALUE"""),"نسمة محمد")</f>
        <v>نسمة محمد</v>
      </c>
      <c r="D464" s="2">
        <f ca="1">IFERROR(__xludf.DUMMYFUNCTION("""COMPUTED_VALUE"""),2478)</f>
        <v>2478</v>
      </c>
      <c r="E464" s="2" t="str">
        <f ca="1">IFERROR(__xludf.DUMMYFUNCTION("""COMPUTED_VALUE"""),"EG07-EG08-EG09")</f>
        <v>EG07-EG08-EG09</v>
      </c>
      <c r="F464" s="2" t="str">
        <f ca="1">IFERROR(__xludf.DUMMYFUNCTION("""COMPUTED_VALUE"""),"nm1238991@gmail.com")</f>
        <v>nm1238991@gmail.com</v>
      </c>
      <c r="G464" s="2" t="str">
        <f ca="1">IFERROR(__xludf.DUMMYFUNCTION("""COMPUTED_VALUE"""),"01069534013")</f>
        <v>01069534013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 t="str">
        <f ca="1">IFERROR(__xludf.DUMMYFUNCTION("""COMPUTED_VALUE"""),"شريف الرخاوي")</f>
        <v>شريف الرخاوي</v>
      </c>
      <c r="B465" s="2">
        <f ca="1">IFERROR(__xludf.DUMMYFUNCTION("""COMPUTED_VALUE"""),810152324716)</f>
        <v>810152324716</v>
      </c>
      <c r="C465" s="2" t="str">
        <f ca="1">IFERROR(__xludf.DUMMYFUNCTION("""COMPUTED_VALUE"""),"شريف الرخاوي")</f>
        <v>شريف الرخاوي</v>
      </c>
      <c r="D465" s="2"/>
      <c r="E465" s="2" t="str">
        <f ca="1">IFERROR(__xludf.DUMMYFUNCTION("""COMPUTED_VALUE"""),"EG10-EG11-G12")</f>
        <v>EG10-EG11-G12</v>
      </c>
      <c r="F465" s="2" t="str">
        <f ca="1">IFERROR(__xludf.DUMMYFUNCTION("""COMPUTED_VALUE"""),"sherif_khair45@hotmail.com")</f>
        <v>sherif_khair45@hotmail.com</v>
      </c>
      <c r="G465" s="2" t="str">
        <f ca="1">IFERROR(__xludf.DUMMYFUNCTION("""COMPUTED_VALUE"""),"01018483822")</f>
        <v>01018483822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 t="str">
        <f ca="1">IFERROR(__xludf.DUMMYFUNCTION("""COMPUTED_VALUE"""),"سارة جرجس")</f>
        <v>سارة جرجس</v>
      </c>
      <c r="B466" s="2">
        <f ca="1">IFERROR(__xludf.DUMMYFUNCTION("""COMPUTED_VALUE"""),598135839671)</f>
        <v>598135839671</v>
      </c>
      <c r="C466" s="2" t="str">
        <f ca="1">IFERROR(__xludf.DUMMYFUNCTION("""COMPUTED_VALUE"""),"سارة جرجس")</f>
        <v>سارة جرجس</v>
      </c>
      <c r="D466" s="2">
        <f ca="1">IFERROR(__xludf.DUMMYFUNCTION("""COMPUTED_VALUE"""),2493)</f>
        <v>2493</v>
      </c>
      <c r="E466" s="2" t="str">
        <f ca="1">IFERROR(__xludf.DUMMYFUNCTION("""COMPUTED_VALUE"""),"EG01-EG02-EG03-EG04-EG05")</f>
        <v>EG01-EG02-EG03-EG04-EG05</v>
      </c>
      <c r="F466" s="2" t="str">
        <f ca="1">IFERROR(__xludf.DUMMYFUNCTION("""COMPUTED_VALUE"""),"aueed.eteachers@gmail.com")</f>
        <v>aueed.eteachers@gmail.com</v>
      </c>
      <c r="G466" s="2" t="str">
        <f ca="1">IFERROR(__xludf.DUMMYFUNCTION("""COMPUTED_VALUE"""),"01270819064")</f>
        <v>01270819064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 t="str">
        <f ca="1">IFERROR(__xludf.DUMMYFUNCTION("""COMPUTED_VALUE"""),"إيمان سعداوي")</f>
        <v>إيمان سعداوي</v>
      </c>
      <c r="B467" s="2">
        <f ca="1">IFERROR(__xludf.DUMMYFUNCTION("""COMPUTED_VALUE"""),570172941064)</f>
        <v>570172941064</v>
      </c>
      <c r="C467" s="2" t="str">
        <f ca="1">IFERROR(__xludf.DUMMYFUNCTION("""COMPUTED_VALUE"""),"إيمان سعداوي")</f>
        <v>إيمان سعداوي</v>
      </c>
      <c r="D467" s="2">
        <f ca="1">IFERROR(__xludf.DUMMYFUNCTION("""COMPUTED_VALUE"""),2495)</f>
        <v>2495</v>
      </c>
      <c r="E467" s="2" t="str">
        <f ca="1">IFERROR(__xludf.DUMMYFUNCTION("""COMPUTED_VALUE"""),"EG05-EG06")</f>
        <v>EG05-EG06</v>
      </c>
      <c r="F467" s="2" t="str">
        <f ca="1">IFERROR(__xludf.DUMMYFUNCTION("""COMPUTED_VALUE"""),"emanseadawy22@gmail.com")</f>
        <v>emanseadawy22@gmail.com</v>
      </c>
      <c r="G467" s="2" t="str">
        <f ca="1">IFERROR(__xludf.DUMMYFUNCTION("""COMPUTED_VALUE"""),"01080328965")</f>
        <v>01080328965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 t="str">
        <f ca="1">IFERROR(__xludf.DUMMYFUNCTION("""COMPUTED_VALUE"""),"خالد غالي")</f>
        <v>خالد غالي</v>
      </c>
      <c r="B468" s="2">
        <f ca="1">IFERROR(__xludf.DUMMYFUNCTION("""COMPUTED_VALUE"""),725121824513)</f>
        <v>725121824513</v>
      </c>
      <c r="C468" s="2" t="str">
        <f ca="1">IFERROR(__xludf.DUMMYFUNCTION("""COMPUTED_VALUE"""),"خالد غالي")</f>
        <v>خالد غالي</v>
      </c>
      <c r="D468" s="2">
        <f ca="1">IFERROR(__xludf.DUMMYFUNCTION("""COMPUTED_VALUE"""),2510)</f>
        <v>2510</v>
      </c>
      <c r="E468" s="2" t="str">
        <f ca="1">IFERROR(__xludf.DUMMYFUNCTION("""COMPUTED_VALUE"""),"EG10-EG11-EG12")</f>
        <v>EG10-EG11-EG12</v>
      </c>
      <c r="F468" s="2" t="str">
        <f ca="1">IFERROR(__xludf.DUMMYFUNCTION("""COMPUTED_VALUE"""),"khaled.ghaly.acd@gmail.com")</f>
        <v>khaled.ghaly.acd@gmail.com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 t="str">
        <f ca="1">IFERROR(__xludf.DUMMYFUNCTION("""COMPUTED_VALUE"""),"أحمد عبد الونيس")</f>
        <v>أحمد عبد الونيس</v>
      </c>
      <c r="B469" s="2">
        <f ca="1">IFERROR(__xludf.DUMMYFUNCTION("""COMPUTED_VALUE"""),206148501987)</f>
        <v>206148501987</v>
      </c>
      <c r="C469" s="2" t="str">
        <f ca="1">IFERROR(__xludf.DUMMYFUNCTION("""COMPUTED_VALUE"""),"أحمد عبد الونيس")</f>
        <v>أحمد عبد الونيس</v>
      </c>
      <c r="D469" s="2">
        <f ca="1">IFERROR(__xludf.DUMMYFUNCTION("""COMPUTED_VALUE"""),2496)</f>
        <v>2496</v>
      </c>
      <c r="E469" s="2" t="str">
        <f ca="1">IFERROR(__xludf.DUMMYFUNCTION("""COMPUTED_VALUE"""),"EG07-EG08-EG09-EG10")</f>
        <v>EG07-EG08-EG09-EG10</v>
      </c>
      <c r="F469" s="2" t="str">
        <f ca="1">IFERROR(__xludf.DUMMYFUNCTION("""COMPUTED_VALUE"""),"aabdelwanis10@gmail.com")</f>
        <v>aabdelwanis10@gmail.com</v>
      </c>
      <c r="G469" s="2" t="str">
        <f ca="1">IFERROR(__xludf.DUMMYFUNCTION("""COMPUTED_VALUE"""),"01277938694")</f>
        <v>01277938694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 t="str">
        <f ca="1">IFERROR(__xludf.DUMMYFUNCTION("""COMPUTED_VALUE"""),"هدى عادل")</f>
        <v>هدى عادل</v>
      </c>
      <c r="B470" s="2">
        <f ca="1">IFERROR(__xludf.DUMMYFUNCTION("""COMPUTED_VALUE"""),609181324791)</f>
        <v>609181324791</v>
      </c>
      <c r="C470" s="2" t="str">
        <f ca="1">IFERROR(__xludf.DUMMYFUNCTION("""COMPUTED_VALUE"""),"هدى عادل")</f>
        <v>هدى عادل</v>
      </c>
      <c r="D470" s="2">
        <f ca="1">IFERROR(__xludf.DUMMYFUNCTION("""COMPUTED_VALUE"""),2512)</f>
        <v>2512</v>
      </c>
      <c r="E470" s="2" t="str">
        <f ca="1">IFERROR(__xludf.DUMMYFUNCTION("""COMPUTED_VALUE"""),"EG01-EG02-EG03")</f>
        <v>EG01-EG02-EG03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 t="str">
        <f ca="1">IFERROR(__xludf.DUMMYFUNCTION("""COMPUTED_VALUE"""),"حنان زيدان")</f>
        <v>حنان زيدان</v>
      </c>
      <c r="B471" s="2">
        <f ca="1">IFERROR(__xludf.DUMMYFUNCTION("""COMPUTED_VALUE"""),675158027827)</f>
        <v>675158027827</v>
      </c>
      <c r="C471" s="2" t="str">
        <f ca="1">IFERROR(__xludf.DUMMYFUNCTION("""COMPUTED_VALUE"""),"حنان زيدان")</f>
        <v>حنان زيدان</v>
      </c>
      <c r="D471" s="2">
        <f ca="1">IFERROR(__xludf.DUMMYFUNCTION("""COMPUTED_VALUE"""),2492)</f>
        <v>2492</v>
      </c>
      <c r="E471" s="2" t="str">
        <f ca="1">IFERROR(__xludf.DUMMYFUNCTION("""COMPUTED_VALUE"""),"EG07-EG08-EG09")</f>
        <v>EG07-EG08-EG09</v>
      </c>
      <c r="F471" s="2" t="str">
        <f ca="1">IFERROR(__xludf.DUMMYFUNCTION("""COMPUTED_VALUE"""),"zidanhanan106@gmail.com")</f>
        <v>zidanhanan106@gmail.com</v>
      </c>
      <c r="G471" s="2" t="str">
        <f ca="1">IFERROR(__xludf.DUMMYFUNCTION("""COMPUTED_VALUE"""),"01000832547")</f>
        <v>01000832547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 t="str">
        <f ca="1">IFERROR(__xludf.DUMMYFUNCTION("""COMPUTED_VALUE"""),"شيماء سيد")</f>
        <v>شيماء سيد</v>
      </c>
      <c r="B472" s="2">
        <f ca="1">IFERROR(__xludf.DUMMYFUNCTION("""COMPUTED_VALUE"""),213134791302)</f>
        <v>213134791302</v>
      </c>
      <c r="C472" s="2" t="str">
        <f ca="1">IFERROR(__xludf.DUMMYFUNCTION("""COMPUTED_VALUE"""),"شيماء سيد")</f>
        <v>شيماء سيد</v>
      </c>
      <c r="D472" s="2">
        <f ca="1">IFERROR(__xludf.DUMMYFUNCTION("""COMPUTED_VALUE"""),2511)</f>
        <v>2511</v>
      </c>
      <c r="E472" s="2" t="str">
        <f ca="1">IFERROR(__xludf.DUMMYFUNCTION("""COMPUTED_VALUE"""),"EG04-EG05-EG06-EG07-EG08-EG09")</f>
        <v>EG04-EG05-EG06-EG07-EG08-EG09</v>
      </c>
      <c r="F472" s="2" t="str">
        <f ca="1">IFERROR(__xludf.DUMMYFUNCTION("""COMPUTED_VALUE"""),"shimaasayed7796@gmail.com")</f>
        <v>shimaasayed7796@gmail.com</v>
      </c>
      <c r="G472" s="2" t="str">
        <f ca="1">IFERROR(__xludf.DUMMYFUNCTION("""COMPUTED_VALUE"""),"01014038811")</f>
        <v>01014038811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 t="str">
        <f ca="1">IFERROR(__xludf.DUMMYFUNCTION("""COMPUTED_VALUE"""),"آية حمدي")</f>
        <v>آية حمدي</v>
      </c>
      <c r="B473" s="2">
        <f ca="1">IFERROR(__xludf.DUMMYFUNCTION("""COMPUTED_VALUE"""),514130261047)</f>
        <v>514130261047</v>
      </c>
      <c r="C473" s="2" t="str">
        <f ca="1">IFERROR(__xludf.DUMMYFUNCTION("""COMPUTED_VALUE"""),"آية حمدي")</f>
        <v>آية حمدي</v>
      </c>
      <c r="D473" s="2">
        <f ca="1">IFERROR(__xludf.DUMMYFUNCTION("""COMPUTED_VALUE"""),2509)</f>
        <v>2509</v>
      </c>
      <c r="E473" s="2" t="str">
        <f ca="1">IFERROR(__xludf.DUMMYFUNCTION("""COMPUTED_VALUE"""),"EG04-EG05-EG06")</f>
        <v>EG04-EG05-EG06</v>
      </c>
      <c r="F473" s="2" t="str">
        <f ca="1">IFERROR(__xludf.DUMMYFUNCTION("""COMPUTED_VALUE"""),"aya.emara96@gmail.com")</f>
        <v>aya.emara96@gmail.com</v>
      </c>
      <c r="G473" s="2">
        <f ca="1">IFERROR(__xludf.DUMMYFUNCTION("""COMPUTED_VALUE"""),1097953066)</f>
        <v>1097953066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 t="str">
        <f ca="1">IFERROR(__xludf.DUMMYFUNCTION("""COMPUTED_VALUE"""),"منة الله أشرف")</f>
        <v>منة الله أشرف</v>
      </c>
      <c r="B474" s="2">
        <f ca="1">IFERROR(__xludf.DUMMYFUNCTION("""COMPUTED_VALUE"""),319175494359)</f>
        <v>319175494359</v>
      </c>
      <c r="C474" s="2" t="str">
        <f ca="1">IFERROR(__xludf.DUMMYFUNCTION("""COMPUTED_VALUE"""),"منة الله أشرف")</f>
        <v>منة الله أشرف</v>
      </c>
      <c r="D474" s="2">
        <f ca="1">IFERROR(__xludf.DUMMYFUNCTION("""COMPUTED_VALUE"""),2476)</f>
        <v>2476</v>
      </c>
      <c r="E474" s="2" t="str">
        <f ca="1">IFERROR(__xludf.DUMMYFUNCTION("""COMPUTED_VALUE"""),"EG04-EG05")</f>
        <v>EG04-EG05</v>
      </c>
      <c r="F474" s="2" t="str">
        <f ca="1">IFERROR(__xludf.DUMMYFUNCTION("""COMPUTED_VALUE"""),"mennaashraf863@gmail.com")</f>
        <v>mennaashraf863@gmail.com</v>
      </c>
      <c r="G474" s="2" t="str">
        <f ca="1">IFERROR(__xludf.DUMMYFUNCTION("""COMPUTED_VALUE"""),"01222505132")</f>
        <v>01222505132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 t="str">
        <f ca="1">IFERROR(__xludf.DUMMYFUNCTION("""COMPUTED_VALUE"""),"عبد الهادي غز")</f>
        <v>عبد الهادي غز</v>
      </c>
      <c r="B475" s="2">
        <f ca="1">IFERROR(__xludf.DUMMYFUNCTION("""COMPUTED_VALUE"""),607140826840)</f>
        <v>607140826840</v>
      </c>
      <c r="C475" s="2" t="str">
        <f ca="1">IFERROR(__xludf.DUMMYFUNCTION("""COMPUTED_VALUE"""),"عبد الهادي غز")</f>
        <v>عبد الهادي غز</v>
      </c>
      <c r="D475" s="2">
        <f ca="1">IFERROR(__xludf.DUMMYFUNCTION("""COMPUTED_VALUE"""),2828)</f>
        <v>2828</v>
      </c>
      <c r="E475" s="2" t="str">
        <f ca="1">IFERROR(__xludf.DUMMYFUNCTION("""COMPUTED_VALUE"""),"EG07-EG08-EG09-EG10-EG11-EG12")</f>
        <v>EG07-EG08-EG09-EG10-EG11-EG12</v>
      </c>
      <c r="F475" s="2" t="str">
        <f ca="1">IFERROR(__xludf.DUMMYFUNCTION("""COMPUTED_VALUE"""),"abdelhadyghzz@yahoo.com")</f>
        <v>abdelhadyghzz@yahoo.com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 t="str">
        <f ca="1">IFERROR(__xludf.DUMMYFUNCTION("""COMPUTED_VALUE"""),"منال إبراهيم")</f>
        <v>منال إبراهيم</v>
      </c>
      <c r="B476" s="2">
        <f ca="1">IFERROR(__xludf.DUMMYFUNCTION("""COMPUTED_VALUE"""),974169434219)</f>
        <v>974169434219</v>
      </c>
      <c r="C476" s="2" t="str">
        <f ca="1">IFERROR(__xludf.DUMMYFUNCTION("""COMPUTED_VALUE"""),"منال إبراهيم")</f>
        <v>منال إبراهيم</v>
      </c>
      <c r="D476" s="2">
        <f ca="1">IFERROR(__xludf.DUMMYFUNCTION("""COMPUTED_VALUE"""),2448)</f>
        <v>2448</v>
      </c>
      <c r="E476" s="2" t="str">
        <f ca="1">IFERROR(__xludf.DUMMYFUNCTION("""COMPUTED_VALUE"""),"EG01-EG02-EG03")</f>
        <v>EG01-EG02-EG03</v>
      </c>
      <c r="F476" s="2" t="str">
        <f ca="1">IFERROR(__xludf.DUMMYFUNCTION("""COMPUTED_VALUE"""),"manalabdelnaby10@gmail.com")</f>
        <v>manalabdelnaby10@gmail.com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 t="str">
        <f ca="1">IFERROR(__xludf.DUMMYFUNCTION("""COMPUTED_VALUE"""),"مها الكردي")</f>
        <v>مها الكردي</v>
      </c>
      <c r="B477" s="2">
        <f ca="1">IFERROR(__xludf.DUMMYFUNCTION("""COMPUTED_VALUE"""),413139051352)</f>
        <v>413139051352</v>
      </c>
      <c r="C477" s="2" t="str">
        <f ca="1">IFERROR(__xludf.DUMMYFUNCTION("""COMPUTED_VALUE"""),"مها الكردي")</f>
        <v>مها الكردي</v>
      </c>
      <c r="D477" s="2">
        <f ca="1">IFERROR(__xludf.DUMMYFUNCTION("""COMPUTED_VALUE"""),2506)</f>
        <v>2506</v>
      </c>
      <c r="E477" s="2" t="str">
        <f ca="1">IFERROR(__xludf.DUMMYFUNCTION("""COMPUTED_VALUE"""),"EG4-EG5-EG6")</f>
        <v>EG4-EG5-EG6</v>
      </c>
      <c r="F477" s="2" t="str">
        <f ca="1">IFERROR(__xludf.DUMMYFUNCTION("""COMPUTED_VALUE"""),"mahaelhamzay@gmail.com")</f>
        <v>mahaelhamzay@gmail.com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 t="str">
        <f ca="1">IFERROR(__xludf.DUMMYFUNCTION("""COMPUTED_VALUE"""),"مصطفى محمود")</f>
        <v>مصطفى محمود</v>
      </c>
      <c r="B478" s="2">
        <f ca="1">IFERROR(__xludf.DUMMYFUNCTION("""COMPUTED_VALUE"""),348197264895)</f>
        <v>348197264895</v>
      </c>
      <c r="C478" s="2" t="str">
        <f ca="1">IFERROR(__xludf.DUMMYFUNCTION("""COMPUTED_VALUE"""),"مصطفى محمود")</f>
        <v>مصطفى محمود</v>
      </c>
      <c r="D478" s="2">
        <f ca="1">IFERROR(__xludf.DUMMYFUNCTION("""COMPUTED_VALUE"""),2434)</f>
        <v>2434</v>
      </c>
      <c r="E478" s="2" t="str">
        <f ca="1">IFERROR(__xludf.DUMMYFUNCTION("""COMPUTED_VALUE"""),"EG4-EG05-EG06")</f>
        <v>EG4-EG05-EG06</v>
      </c>
      <c r="F478" s="2" t="str">
        <f ca="1">IFERROR(__xludf.DUMMYFUNCTION("""COMPUTED_VALUE"""),"mustaphahistory@gmail.com")</f>
        <v>mustaphahistory@gmail.com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 t="str">
        <f ca="1">IFERROR(__xludf.DUMMYFUNCTION("""COMPUTED_VALUE"""),"كيرلس بطرس")</f>
        <v>كيرلس بطرس</v>
      </c>
      <c r="B479" s="2">
        <f ca="1">IFERROR(__xludf.DUMMYFUNCTION("""COMPUTED_VALUE"""),894178098602)</f>
        <v>894178098602</v>
      </c>
      <c r="C479" s="2" t="str">
        <f ca="1">IFERROR(__xludf.DUMMYFUNCTION("""COMPUTED_VALUE"""),"كيرلس بطرس")</f>
        <v>كيرلس بطرس</v>
      </c>
      <c r="D479" s="2">
        <f ca="1">IFERROR(__xludf.DUMMYFUNCTION("""COMPUTED_VALUE"""),2529)</f>
        <v>2529</v>
      </c>
      <c r="E479" s="2" t="str">
        <f ca="1">IFERROR(__xludf.DUMMYFUNCTION("""COMPUTED_VALUE"""),"EG04-EG05-EG06")</f>
        <v>EG04-EG05-EG06</v>
      </c>
      <c r="F479" s="2" t="str">
        <f ca="1">IFERROR(__xludf.DUMMYFUNCTION("""COMPUTED_VALUE"""),"kirolosbotrosrizk@gmail.com")</f>
        <v>kirolosbotrosrizk@gmail.com</v>
      </c>
      <c r="G479" s="2" t="str">
        <f ca="1">IFERROR(__xludf.DUMMYFUNCTION("""COMPUTED_VALUE"""),"01212650406")</f>
        <v>01212650406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 t="str">
        <f ca="1">IFERROR(__xludf.DUMMYFUNCTION("""COMPUTED_VALUE"""),"بسمة مرسي")</f>
        <v>بسمة مرسي</v>
      </c>
      <c r="B480" s="2">
        <f ca="1">IFERROR(__xludf.DUMMYFUNCTION("""COMPUTED_VALUE"""),389178162973)</f>
        <v>389178162973</v>
      </c>
      <c r="C480" s="2" t="str">
        <f ca="1">IFERROR(__xludf.DUMMYFUNCTION("""COMPUTED_VALUE"""),"بسمة مرسي")</f>
        <v>بسمة مرسي</v>
      </c>
      <c r="D480" s="2">
        <f ca="1">IFERROR(__xludf.DUMMYFUNCTION("""COMPUTED_VALUE"""),2528)</f>
        <v>2528</v>
      </c>
      <c r="E480" s="2" t="str">
        <f ca="1">IFERROR(__xludf.DUMMYFUNCTION("""COMPUTED_VALUE"""),"EG04-EG05")</f>
        <v>EG04-EG05</v>
      </c>
      <c r="F480" s="2" t="str">
        <f ca="1">IFERROR(__xludf.DUMMYFUNCTION("""COMPUTED_VALUE"""),"cute.pospos@gmail.com")</f>
        <v>cute.pospos@gmail.com</v>
      </c>
      <c r="G480" s="2" t="str">
        <f ca="1">IFERROR(__xludf.DUMMYFUNCTION("""COMPUTED_VALUE"""),"01142388120")</f>
        <v>01142388120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 t="str">
        <f ca="1">IFERROR(__xludf.DUMMYFUNCTION("""COMPUTED_VALUE"""),"بسمة سعيد")</f>
        <v>بسمة سعيد</v>
      </c>
      <c r="B481" s="2">
        <f ca="1">IFERROR(__xludf.DUMMYFUNCTION("""COMPUTED_VALUE"""),526148262980)</f>
        <v>526148262980</v>
      </c>
      <c r="C481" s="2" t="str">
        <f ca="1">IFERROR(__xludf.DUMMYFUNCTION("""COMPUTED_VALUE"""),"بسمة سعيد")</f>
        <v>بسمة سعيد</v>
      </c>
      <c r="D481" s="2">
        <f ca="1">IFERROR(__xludf.DUMMYFUNCTION("""COMPUTED_VALUE"""),2526)</f>
        <v>2526</v>
      </c>
      <c r="E481" s="2" t="str">
        <f ca="1">IFERROR(__xludf.DUMMYFUNCTION("""COMPUTED_VALUE"""),"EG04-EG05-EG06")</f>
        <v>EG04-EG05-EG06</v>
      </c>
      <c r="F481" s="2" t="str">
        <f ca="1">IFERROR(__xludf.DUMMYFUNCTION("""COMPUTED_VALUE"""),"basmasaeed2714@gmail.com")</f>
        <v>basmasaeed2714@gmail.com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 t="str">
        <f ca="1">IFERROR(__xludf.DUMMYFUNCTION("""COMPUTED_VALUE"""),"حسام الدين الزغبي")</f>
        <v>حسام الدين الزغبي</v>
      </c>
      <c r="B482" s="2">
        <f ca="1">IFERROR(__xludf.DUMMYFUNCTION("""COMPUTED_VALUE"""),186169282803)</f>
        <v>186169282803</v>
      </c>
      <c r="C482" s="2" t="str">
        <f ca="1">IFERROR(__xludf.DUMMYFUNCTION("""COMPUTED_VALUE"""),"حسام الدين الزغبي")</f>
        <v>حسام الدين الزغبي</v>
      </c>
      <c r="D482" s="2">
        <f ca="1">IFERROR(__xludf.DUMMYFUNCTION("""COMPUTED_VALUE"""),2044)</f>
        <v>2044</v>
      </c>
      <c r="E482" s="2" t="str">
        <f ca="1">IFERROR(__xludf.DUMMYFUNCTION("""COMPUTED_VALUE"""),"EG07-EG08-EG09")</f>
        <v>EG07-EG08-EG09</v>
      </c>
      <c r="F482" s="2" t="str">
        <f ca="1">IFERROR(__xludf.DUMMYFUNCTION("""COMPUTED_VALUE"""),"hossammath@yahoo.com")</f>
        <v>hossammath@yahoo.com</v>
      </c>
      <c r="G482" s="2" t="str">
        <f ca="1">IFERROR(__xludf.DUMMYFUNCTION("""COMPUTED_VALUE"""),"01006233576")</f>
        <v>01006233576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 t="str">
        <f ca="1">IFERROR(__xludf.DUMMYFUNCTION("""COMPUTED_VALUE"""),"مي الهمشري")</f>
        <v>مي الهمشري</v>
      </c>
      <c r="B483" s="2">
        <f ca="1">IFERROR(__xludf.DUMMYFUNCTION("""COMPUTED_VALUE"""),703149308423)</f>
        <v>703149308423</v>
      </c>
      <c r="C483" s="2" t="str">
        <f ca="1">IFERROR(__xludf.DUMMYFUNCTION("""COMPUTED_VALUE"""),"مي الهمشري")</f>
        <v>مي الهمشري</v>
      </c>
      <c r="D483" s="2">
        <f ca="1">IFERROR(__xludf.DUMMYFUNCTION("""COMPUTED_VALUE"""),2535)</f>
        <v>2535</v>
      </c>
      <c r="E483" s="2" t="str">
        <f ca="1">IFERROR(__xludf.DUMMYFUNCTION("""COMPUTED_VALUE"""),"EG04-EG05-EG06")</f>
        <v>EG04-EG05-EG06</v>
      </c>
      <c r="F483" s="2" t="str">
        <f ca="1">IFERROR(__xludf.DUMMYFUNCTION("""COMPUTED_VALUE"""),"may.elhamshary18@gmail.com")</f>
        <v>may.elhamshary18@gmail.com</v>
      </c>
      <c r="G483" s="2" t="str">
        <f ca="1">IFERROR(__xludf.DUMMYFUNCTION("""COMPUTED_VALUE"""),"01098180108")</f>
        <v>01098180108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 t="str">
        <f ca="1">IFERROR(__xludf.DUMMYFUNCTION("""COMPUTED_VALUE"""),"عادل الحلفاوي")</f>
        <v>عادل الحلفاوي</v>
      </c>
      <c r="B484" s="2">
        <f ca="1">IFERROR(__xludf.DUMMYFUNCTION("""COMPUTED_VALUE"""),258162458472)</f>
        <v>258162458472</v>
      </c>
      <c r="C484" s="2" t="str">
        <f ca="1">IFERROR(__xludf.DUMMYFUNCTION("""COMPUTED_VALUE"""),"عادل الحلفاوي")</f>
        <v>عادل الحلفاوي</v>
      </c>
      <c r="D484" s="2">
        <f ca="1">IFERROR(__xludf.DUMMYFUNCTION("""COMPUTED_VALUE"""),2541)</f>
        <v>2541</v>
      </c>
      <c r="E484" s="2" t="str">
        <f ca="1">IFERROR(__xludf.DUMMYFUNCTION("""COMPUTED_VALUE"""),"EG04-EG05-EG06-EG07")</f>
        <v>EG04-EG05-EG06-EG07</v>
      </c>
      <c r="F484" s="2" t="str">
        <f ca="1">IFERROR(__xludf.DUMMYFUNCTION("""COMPUTED_VALUE"""),"adelhalfawytea@gmail.com")</f>
        <v>adelhalfawytea@gmail.com</v>
      </c>
      <c r="G484" s="2" t="str">
        <f ca="1">IFERROR(__xludf.DUMMYFUNCTION("""COMPUTED_VALUE"""),"01026332686")</f>
        <v>01026332686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 t="str">
        <f ca="1">IFERROR(__xludf.DUMMYFUNCTION("""COMPUTED_VALUE"""),"عبد الله سامي")</f>
        <v>عبد الله سامي</v>
      </c>
      <c r="B485" s="2">
        <f ca="1">IFERROR(__xludf.DUMMYFUNCTION("""COMPUTED_VALUE"""),819179164789)</f>
        <v>819179164789</v>
      </c>
      <c r="C485" s="2" t="str">
        <f ca="1">IFERROR(__xludf.DUMMYFUNCTION("""COMPUTED_VALUE"""),"عبد الله سامي")</f>
        <v>عبد الله سامي</v>
      </c>
      <c r="D485" s="2">
        <f ca="1">IFERROR(__xludf.DUMMYFUNCTION("""COMPUTED_VALUE"""),2527)</f>
        <v>2527</v>
      </c>
      <c r="E485" s="2" t="str">
        <f ca="1">IFERROR(__xludf.DUMMYFUNCTION("""COMPUTED_VALUE"""),"EG07-EG08-EG09")</f>
        <v>EG07-EG08-EG09</v>
      </c>
      <c r="F485" s="2" t="str">
        <f ca="1">IFERROR(__xludf.DUMMYFUNCTION("""COMPUTED_VALUE"""),"bsamy3661@gmail.com")</f>
        <v>bsamy3661@gmail.com</v>
      </c>
      <c r="G485" s="2" t="str">
        <f ca="1">IFERROR(__xludf.DUMMYFUNCTION("""COMPUTED_VALUE"""),"01022651019")</f>
        <v>01022651019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 t="str">
        <f ca="1">IFERROR(__xludf.DUMMYFUNCTION("""COMPUTED_VALUE"""),"حسام قنديل")</f>
        <v>حسام قنديل</v>
      </c>
      <c r="B486" s="2">
        <f ca="1">IFERROR(__xludf.DUMMYFUNCTION("""COMPUTED_VALUE"""),407189748903)</f>
        <v>407189748903</v>
      </c>
      <c r="C486" s="2" t="str">
        <f ca="1">IFERROR(__xludf.DUMMYFUNCTION("""COMPUTED_VALUE"""),"حسام قنديل")</f>
        <v>حسام قنديل</v>
      </c>
      <c r="D486" s="2">
        <f ca="1">IFERROR(__xludf.DUMMYFUNCTION("""COMPUTED_VALUE"""),2544)</f>
        <v>2544</v>
      </c>
      <c r="E486" s="2" t="str">
        <f ca="1">IFERROR(__xludf.DUMMYFUNCTION("""COMPUTED_VALUE"""),"EG04-EG05-EG06-EG07-EG08-EG09")</f>
        <v>EG04-EG05-EG06-EG07-EG08-EG09</v>
      </c>
      <c r="F486" s="2" t="str">
        <f ca="1">IFERROR(__xludf.DUMMYFUNCTION("""COMPUTED_VALUE"""),"hossam.kandel70@gmail.com")</f>
        <v>hossam.kandel70@gmail.com</v>
      </c>
      <c r="G486" s="2" t="str">
        <f ca="1">IFERROR(__xludf.DUMMYFUNCTION("""COMPUTED_VALUE"""),"01227304602")</f>
        <v>01227304602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 t="str">
        <f ca="1">IFERROR(__xludf.DUMMYFUNCTION("""COMPUTED_VALUE"""),"إيمان حسن")</f>
        <v>إيمان حسن</v>
      </c>
      <c r="B487" s="2">
        <f ca="1">IFERROR(__xludf.DUMMYFUNCTION("""COMPUTED_VALUE"""),204103586289)</f>
        <v>204103586289</v>
      </c>
      <c r="C487" s="2" t="str">
        <f ca="1">IFERROR(__xludf.DUMMYFUNCTION("""COMPUTED_VALUE"""),"إيمان حسن")</f>
        <v>إيمان حسن</v>
      </c>
      <c r="D487" s="2">
        <f ca="1">IFERROR(__xludf.DUMMYFUNCTION("""COMPUTED_VALUE"""),2550)</f>
        <v>2550</v>
      </c>
      <c r="E487" s="2" t="str">
        <f ca="1">IFERROR(__xludf.DUMMYFUNCTION("""COMPUTED_VALUE"""),"EG03-EG04-EG05-EG06")</f>
        <v>EG03-EG04-EG05-EG06</v>
      </c>
      <c r="F487" s="2" t="str">
        <f ca="1">IFERROR(__xludf.DUMMYFUNCTION("""COMPUTED_VALUE"""),"eh718010@gmail.com")</f>
        <v>eh718010@gmail.com</v>
      </c>
      <c r="G487" s="2" t="str">
        <f ca="1">IFERROR(__xludf.DUMMYFUNCTION("""COMPUTED_VALUE"""),"01011118294")</f>
        <v>01011118294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 t="str">
        <f ca="1">IFERROR(__xludf.DUMMYFUNCTION("""COMPUTED_VALUE"""),"عمر جمعة")</f>
        <v>عمر جمعة</v>
      </c>
      <c r="B488" s="2">
        <f ca="1">IFERROR(__xludf.DUMMYFUNCTION("""COMPUTED_VALUE"""),895145269153)</f>
        <v>895145269153</v>
      </c>
      <c r="C488" s="2" t="str">
        <f ca="1">IFERROR(__xludf.DUMMYFUNCTION("""COMPUTED_VALUE"""),"عمر جمعة")</f>
        <v>عمر جمعة</v>
      </c>
      <c r="D488" s="2">
        <f ca="1">IFERROR(__xludf.DUMMYFUNCTION("""COMPUTED_VALUE"""),2534)</f>
        <v>2534</v>
      </c>
      <c r="E488" s="2" t="str">
        <f ca="1">IFERROR(__xludf.DUMMYFUNCTION("""COMPUTED_VALUE"""),"EG04-EG05-EG06")</f>
        <v>EG04-EG05-EG06</v>
      </c>
      <c r="F488" s="2" t="str">
        <f ca="1">IFERROR(__xludf.DUMMYFUNCTION("""COMPUTED_VALUE"""),"ogomaa57@gmail.com")</f>
        <v>ogomaa57@gmail.com</v>
      </c>
      <c r="G488" s="2" t="str">
        <f ca="1">IFERROR(__xludf.DUMMYFUNCTION("""COMPUTED_VALUE"""),"01002637904")</f>
        <v>01002637904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 t="str">
        <f ca="1">IFERROR(__xludf.DUMMYFUNCTION("""COMPUTED_VALUE"""),"نيرة إسماعيل")</f>
        <v>نيرة إسماعيل</v>
      </c>
      <c r="B489" s="2">
        <f ca="1">IFERROR(__xludf.DUMMYFUNCTION("""COMPUTED_VALUE"""),189136923623)</f>
        <v>189136923623</v>
      </c>
      <c r="C489" s="2" t="str">
        <f ca="1">IFERROR(__xludf.DUMMYFUNCTION("""COMPUTED_VALUE"""),"نيرة إسماعيل")</f>
        <v>نيرة إسماعيل</v>
      </c>
      <c r="D489" s="2">
        <f ca="1">IFERROR(__xludf.DUMMYFUNCTION("""COMPUTED_VALUE"""),2542)</f>
        <v>2542</v>
      </c>
      <c r="E489" s="2" t="str">
        <f ca="1">IFERROR(__xludf.DUMMYFUNCTION("""COMPUTED_VALUE"""),"EG04-EG05-EG06")</f>
        <v>EG04-EG05-EG06</v>
      </c>
      <c r="F489" s="2" t="str">
        <f ca="1">IFERROR(__xludf.DUMMYFUNCTION("""COMPUTED_VALUE"""),"nayeraismailm@gmail.com")</f>
        <v>nayeraismailm@gmail.com</v>
      </c>
      <c r="G489" s="2" t="str">
        <f ca="1">IFERROR(__xludf.DUMMYFUNCTION("""COMPUTED_VALUE"""),"01022608292")</f>
        <v>01022608292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 t="str">
        <f ca="1">IFERROR(__xludf.DUMMYFUNCTION("""COMPUTED_VALUE"""),"كارولين إسحاق")</f>
        <v>كارولين إسحاق</v>
      </c>
      <c r="B490" s="2">
        <f ca="1">IFERROR(__xludf.DUMMYFUNCTION("""COMPUTED_VALUE"""),653189026206)</f>
        <v>653189026206</v>
      </c>
      <c r="C490" s="2" t="str">
        <f ca="1">IFERROR(__xludf.DUMMYFUNCTION("""COMPUTED_VALUE"""),"كارولين إسحاق")</f>
        <v>كارولين إسحاق</v>
      </c>
      <c r="D490" s="2">
        <f ca="1">IFERROR(__xludf.DUMMYFUNCTION("""COMPUTED_VALUE"""),2521)</f>
        <v>2521</v>
      </c>
      <c r="E490" s="2" t="str">
        <f ca="1">IFERROR(__xludf.DUMMYFUNCTION("""COMPUTED_VALUE"""),"EG04-EG05-EG06")</f>
        <v>EG04-EG05-EG06</v>
      </c>
      <c r="F490" s="2" t="str">
        <f ca="1">IFERROR(__xludf.DUMMYFUNCTION("""COMPUTED_VALUE"""),"carolineezak250@gmail.com")</f>
        <v>carolineezak250@gmail.com</v>
      </c>
      <c r="G490" s="2" t="str">
        <f ca="1">IFERROR(__xludf.DUMMYFUNCTION("""COMPUTED_VALUE"""),"01200451640")</f>
        <v>01200451640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 t="str">
        <f ca="1">IFERROR(__xludf.DUMMYFUNCTION("""COMPUTED_VALUE"""),"محمود جلال")</f>
        <v>محمود جلال</v>
      </c>
      <c r="B491" s="2">
        <f ca="1">IFERROR(__xludf.DUMMYFUNCTION("""COMPUTED_VALUE"""),403198357923)</f>
        <v>403198357923</v>
      </c>
      <c r="C491" s="2" t="str">
        <f ca="1">IFERROR(__xludf.DUMMYFUNCTION("""COMPUTED_VALUE"""),"محمود جلال")</f>
        <v>محمود جلال</v>
      </c>
      <c r="D491" s="2">
        <f ca="1">IFERROR(__xludf.DUMMYFUNCTION("""COMPUTED_VALUE"""),2516)</f>
        <v>2516</v>
      </c>
      <c r="E491" s="2" t="str">
        <f ca="1">IFERROR(__xludf.DUMMYFUNCTION("""COMPUTED_VALUE"""),"EG07-EG08-EG09")</f>
        <v>EG07-EG08-EG09</v>
      </c>
      <c r="F491" s="2" t="str">
        <f ca="1">IFERROR(__xludf.DUMMYFUNCTION("""COMPUTED_VALUE"""),"galalgalal185@gmail.com")</f>
        <v>galalgalal185@gmail.com</v>
      </c>
      <c r="G491" s="2" t="str">
        <f ca="1">IFERROR(__xludf.DUMMYFUNCTION("""COMPUTED_VALUE"""),"01006486535")</f>
        <v>01006486535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 t="str">
        <f ca="1">IFERROR(__xludf.DUMMYFUNCTION("""COMPUTED_VALUE"""),"سارة صبري")</f>
        <v>سارة صبري</v>
      </c>
      <c r="B492" s="2">
        <f ca="1">IFERROR(__xludf.DUMMYFUNCTION("""COMPUTED_VALUE"""),340126030476)</f>
        <v>340126030476</v>
      </c>
      <c r="C492" s="2" t="str">
        <f ca="1">IFERROR(__xludf.DUMMYFUNCTION("""COMPUTED_VALUE"""),"سارة صبري")</f>
        <v>سارة صبري</v>
      </c>
      <c r="D492" s="2">
        <f ca="1">IFERROR(__xludf.DUMMYFUNCTION("""COMPUTED_VALUE"""),2483)</f>
        <v>2483</v>
      </c>
      <c r="E492" s="2" t="str">
        <f ca="1">IFERROR(__xludf.DUMMYFUNCTION("""COMPUTED_VALUE"""),"EG04-EG05-EG06-EG07-EG08-EG09")</f>
        <v>EG04-EG05-EG06-EG07-EG08-EG09</v>
      </c>
      <c r="F492" s="2" t="str">
        <f ca="1">IFERROR(__xludf.DUMMYFUNCTION("""COMPUTED_VALUE"""),"sarasabry32@yahoo.com")</f>
        <v>sarasabry32@yahoo.com</v>
      </c>
      <c r="G492" s="2" t="str">
        <f ca="1">IFERROR(__xludf.DUMMYFUNCTION("""COMPUTED_VALUE"""),"+201024181225")</f>
        <v>+201024181225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 t="str">
        <f ca="1">IFERROR(__xludf.DUMMYFUNCTION("""COMPUTED_VALUE"""),"محمد شعبان")</f>
        <v>محمد شعبان</v>
      </c>
      <c r="B493" s="2">
        <f ca="1">IFERROR(__xludf.DUMMYFUNCTION("""COMPUTED_VALUE"""),203175727593)</f>
        <v>203175727593</v>
      </c>
      <c r="C493" s="2" t="str">
        <f ca="1">IFERROR(__xludf.DUMMYFUNCTION("""COMPUTED_VALUE"""),"محمد شعبان")</f>
        <v>محمد شعبان</v>
      </c>
      <c r="D493" s="2">
        <f ca="1">IFERROR(__xludf.DUMMYFUNCTION("""COMPUTED_VALUE"""),2626)</f>
        <v>2626</v>
      </c>
      <c r="E493" s="2" t="str">
        <f ca="1">IFERROR(__xludf.DUMMYFUNCTION("""COMPUTED_VALUE"""),"EG04-EG05-EG06")</f>
        <v>EG04-EG05-EG06</v>
      </c>
      <c r="F493" s="2" t="str">
        <f ca="1">IFERROR(__xludf.DUMMYFUNCTION("""COMPUTED_VALUE"""),"ms3455672@gmail.com")</f>
        <v>ms3455672@gmail.com</v>
      </c>
      <c r="G493" s="2" t="str">
        <f ca="1">IFERROR(__xludf.DUMMYFUNCTION("""COMPUTED_VALUE"""),"01068974535")</f>
        <v>01068974535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 t="str">
        <f ca="1">IFERROR(__xludf.DUMMYFUNCTION("""COMPUTED_VALUE"""),"سمية محمد")</f>
        <v>سمية محمد</v>
      </c>
      <c r="B494" s="2">
        <f ca="1">IFERROR(__xludf.DUMMYFUNCTION("""COMPUTED_VALUE"""),142195036319)</f>
        <v>142195036319</v>
      </c>
      <c r="C494" s="2" t="str">
        <f ca="1">IFERROR(__xludf.DUMMYFUNCTION("""COMPUTED_VALUE"""),"سمية محمد")</f>
        <v>سمية محمد</v>
      </c>
      <c r="D494" s="2">
        <f ca="1">IFERROR(__xludf.DUMMYFUNCTION("""COMPUTED_VALUE"""),2445)</f>
        <v>2445</v>
      </c>
      <c r="E494" s="2" t="str">
        <f ca="1">IFERROR(__xludf.DUMMYFUNCTION("""COMPUTED_VALUE"""),"EG01-EG02-EG03-EG04-EG05-EG06")</f>
        <v>EG01-EG02-EG03-EG04-EG05-EG06</v>
      </c>
      <c r="F494" s="2" t="str">
        <f ca="1">IFERROR(__xludf.DUMMYFUNCTION("""COMPUTED_VALUE"""),"somaiamohmed2050@gmail.com")</f>
        <v>somaiamohmed2050@gmail.com</v>
      </c>
      <c r="G494" s="2" t="str">
        <f ca="1">IFERROR(__xludf.DUMMYFUNCTION("""COMPUTED_VALUE"""),"01096034557")</f>
        <v>01096034557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 t="str">
        <f ca="1">IFERROR(__xludf.DUMMYFUNCTION("""COMPUTED_VALUE"""),"أحمد جمال")</f>
        <v>أحمد جمال</v>
      </c>
      <c r="B495" s="2">
        <f ca="1">IFERROR(__xludf.DUMMYFUNCTION("""COMPUTED_VALUE"""),196162052652)</f>
        <v>196162052652</v>
      </c>
      <c r="C495" s="2" t="str">
        <f ca="1">IFERROR(__xludf.DUMMYFUNCTION("""COMPUTED_VALUE"""),"أحمد جمال")</f>
        <v>أحمد جمال</v>
      </c>
      <c r="D495" s="2">
        <f ca="1">IFERROR(__xludf.DUMMYFUNCTION("""COMPUTED_VALUE"""),2494)</f>
        <v>2494</v>
      </c>
      <c r="E495" s="2" t="str">
        <f ca="1">IFERROR(__xludf.DUMMYFUNCTION("""COMPUTED_VALUE"""),"EG04-EG05-EG06-EG07-EG08-EG09")</f>
        <v>EG04-EG05-EG06-EG07-EG08-EG09</v>
      </c>
      <c r="F495" s="2" t="str">
        <f ca="1">IFERROR(__xludf.DUMMYFUNCTION("""COMPUTED_VALUE"""),"medoarabichotmail@gmail.com")</f>
        <v>medoarabichotmail@gmail.com</v>
      </c>
      <c r="G495" s="2" t="str">
        <f ca="1">IFERROR(__xludf.DUMMYFUNCTION("""COMPUTED_VALUE"""),"01061778524")</f>
        <v>01061778524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 t="str">
        <f ca="1">IFERROR(__xludf.DUMMYFUNCTION("""COMPUTED_VALUE"""),"رنا حسن")</f>
        <v>رنا حسن</v>
      </c>
      <c r="B496" s="2">
        <f ca="1">IFERROR(__xludf.DUMMYFUNCTION("""COMPUTED_VALUE"""),906101634295)</f>
        <v>906101634295</v>
      </c>
      <c r="C496" s="2" t="str">
        <f ca="1">IFERROR(__xludf.DUMMYFUNCTION("""COMPUTED_VALUE"""),"رنا حسن")</f>
        <v>رنا حسن</v>
      </c>
      <c r="D496" s="2" t="str">
        <f ca="1">IFERROR(__xludf.DUMMYFUNCTION("""COMPUTED_VALUE"""),"#N/A")</f>
        <v>#N/A</v>
      </c>
      <c r="E496" s="2"/>
      <c r="F496" s="2" t="str">
        <f ca="1">IFERROR(__xludf.DUMMYFUNCTION("""COMPUTED_VALUE"""),"rana.hassan@nagwa.com")</f>
        <v>rana.hassan@nagwa.com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 t="str">
        <f ca="1">IFERROR(__xludf.DUMMYFUNCTION("""COMPUTED_VALUE"""),"محمود محمد")</f>
        <v>محمود محمد</v>
      </c>
      <c r="B497" s="2">
        <f ca="1">IFERROR(__xludf.DUMMYFUNCTION("""COMPUTED_VALUE"""),679186893032)</f>
        <v>679186893032</v>
      </c>
      <c r="C497" s="2" t="str">
        <f ca="1">IFERROR(__xludf.DUMMYFUNCTION("""COMPUTED_VALUE"""),"محمود محمد")</f>
        <v>محمود محمد</v>
      </c>
      <c r="D497" s="2" t="str">
        <f ca="1">IFERROR(__xludf.DUMMYFUNCTION("""COMPUTED_VALUE"""),"#N/A")</f>
        <v>#N/A</v>
      </c>
      <c r="E497" s="2"/>
      <c r="F497" s="2" t="str">
        <f ca="1">IFERROR(__xludf.DUMMYFUNCTION("""COMPUTED_VALUE"""),"mahmoud.mohammed@nagwa.com")</f>
        <v>mahmoud.mohammed@nagwa.com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 t="str">
        <f ca="1">IFERROR(__xludf.DUMMYFUNCTION("""COMPUTED_VALUE"""),"محمود عبده")</f>
        <v>محمود عبده</v>
      </c>
      <c r="B498" s="2">
        <f ca="1">IFERROR(__xludf.DUMMYFUNCTION("""COMPUTED_VALUE"""),324151012329)</f>
        <v>324151012329</v>
      </c>
      <c r="C498" s="2" t="str">
        <f ca="1">IFERROR(__xludf.DUMMYFUNCTION("""COMPUTED_VALUE"""),"محمود عبده")</f>
        <v>محمود عبده</v>
      </c>
      <c r="D498" s="2" t="str">
        <f ca="1">IFERROR(__xludf.DUMMYFUNCTION("""COMPUTED_VALUE"""),"#N/A")</f>
        <v>#N/A</v>
      </c>
      <c r="E498" s="2"/>
      <c r="F498" s="2" t="str">
        <f ca="1">IFERROR(__xludf.DUMMYFUNCTION("""COMPUTED_VALUE"""),"mahmoud.abdo@nagwa.com")</f>
        <v>mahmoud.abdo@nagwa.com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 t="str">
        <f ca="1">IFERROR(__xludf.DUMMYFUNCTION("""COMPUTED_VALUE"""),"شريف صلاح")</f>
        <v>شريف صلاح</v>
      </c>
      <c r="B499" s="2">
        <f ca="1">IFERROR(__xludf.DUMMYFUNCTION("""COMPUTED_VALUE"""),125147363253)</f>
        <v>125147363253</v>
      </c>
      <c r="C499" s="2" t="str">
        <f ca="1">IFERROR(__xludf.DUMMYFUNCTION("""COMPUTED_VALUE"""),"شريف صلاح")</f>
        <v>شريف صلاح</v>
      </c>
      <c r="D499" s="2">
        <f ca="1">IFERROR(__xludf.DUMMYFUNCTION("""COMPUTED_VALUE"""),2050)</f>
        <v>2050</v>
      </c>
      <c r="E499" s="2" t="str">
        <f ca="1">IFERROR(__xludf.DUMMYFUNCTION("""COMPUTED_VALUE"""),"EG07-EG08-EG09")</f>
        <v>EG07-EG08-EG09</v>
      </c>
      <c r="F499" s="2" t="str">
        <f ca="1">IFERROR(__xludf.DUMMYFUNCTION("""COMPUTED_VALUE"""),"mrsherifsalah85@gmail.com")</f>
        <v>mrsherifsalah85@gmail.com</v>
      </c>
      <c r="G499" s="2" t="str">
        <f ca="1">IFERROR(__xludf.DUMMYFUNCTION("""COMPUTED_VALUE"""),"01020165124")</f>
        <v>01020165124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 t="str">
        <f ca="1">IFERROR(__xludf.DUMMYFUNCTION("""COMPUTED_VALUE"""),"علي حامد")</f>
        <v>علي حامد</v>
      </c>
      <c r="B500" s="2">
        <f ca="1">IFERROR(__xludf.DUMMYFUNCTION("""COMPUTED_VALUE"""),157194097243)</f>
        <v>157194097243</v>
      </c>
      <c r="C500" s="2" t="str">
        <f ca="1">IFERROR(__xludf.DUMMYFUNCTION("""COMPUTED_VALUE"""),"علي حامد")</f>
        <v>علي حامد</v>
      </c>
      <c r="D500" s="2">
        <f ca="1">IFERROR(__xludf.DUMMYFUNCTION("""COMPUTED_VALUE"""),2556)</f>
        <v>2556</v>
      </c>
      <c r="E500" s="2" t="str">
        <f ca="1">IFERROR(__xludf.DUMMYFUNCTION("""COMPUTED_VALUE"""),"EG04-EG05-EG06")</f>
        <v>EG04-EG05-EG06</v>
      </c>
      <c r="F500" s="2" t="str">
        <f ca="1">IFERROR(__xludf.DUMMYFUNCTION("""COMPUTED_VALUE"""),"hamdly634@gmail.com")</f>
        <v>hamdly634@gmail.com</v>
      </c>
      <c r="G500" s="2" t="str">
        <f ca="1">IFERROR(__xludf.DUMMYFUNCTION("""COMPUTED_VALUE"""),"01157080971")</f>
        <v>01157080971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 t="str">
        <f ca="1">IFERROR(__xludf.DUMMYFUNCTION("""COMPUTED_VALUE"""),"سالي خالد")</f>
        <v>سالي خالد</v>
      </c>
      <c r="B501" s="2">
        <f ca="1">IFERROR(__xludf.DUMMYFUNCTION("""COMPUTED_VALUE"""),485171368085)</f>
        <v>485171368085</v>
      </c>
      <c r="C501" s="2" t="str">
        <f ca="1">IFERROR(__xludf.DUMMYFUNCTION("""COMPUTED_VALUE"""),"سالي خالد")</f>
        <v>سالي خالد</v>
      </c>
      <c r="D501" s="2">
        <f ca="1">IFERROR(__xludf.DUMMYFUNCTION("""COMPUTED_VALUE"""),2566)</f>
        <v>2566</v>
      </c>
      <c r="E501" s="2" t="str">
        <f ca="1">IFERROR(__xludf.DUMMYFUNCTION("""COMPUTED_VALUE"""),"EG07-EG08-EG09")</f>
        <v>EG07-EG08-EG09</v>
      </c>
      <c r="F501" s="2" t="str">
        <f ca="1">IFERROR(__xludf.DUMMYFUNCTION("""COMPUTED_VALUE"""),"sally.khalledsamy@outlook.com")</f>
        <v>sally.khalledsamy@outlook.com</v>
      </c>
      <c r="G501" s="2" t="str">
        <f ca="1">IFERROR(__xludf.DUMMYFUNCTION("""COMPUTED_VALUE"""),"01149979990")</f>
        <v>01149979990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 t="str">
        <f ca="1">IFERROR(__xludf.DUMMYFUNCTION("""COMPUTED_VALUE"""),"منة الله محمد")</f>
        <v>منة الله محمد</v>
      </c>
      <c r="B502" s="2">
        <f ca="1">IFERROR(__xludf.DUMMYFUNCTION("""COMPUTED_VALUE"""),594108798987)</f>
        <v>594108798987</v>
      </c>
      <c r="C502" s="2" t="str">
        <f ca="1">IFERROR(__xludf.DUMMYFUNCTION("""COMPUTED_VALUE"""),"منة الله محمد")</f>
        <v>منة الله محمد</v>
      </c>
      <c r="D502" s="2">
        <f ca="1">IFERROR(__xludf.DUMMYFUNCTION("""COMPUTED_VALUE"""),2547)</f>
        <v>2547</v>
      </c>
      <c r="E502" s="2" t="str">
        <f ca="1">IFERROR(__xludf.DUMMYFUNCTION("""COMPUTED_VALUE"""),"EG04-EG05-EG06")</f>
        <v>EG04-EG05-EG06</v>
      </c>
      <c r="F502" s="2" t="str">
        <f ca="1">IFERROR(__xludf.DUMMYFUNCTION("""COMPUTED_VALUE"""),"mennatullahmohamed23@gmail.com")</f>
        <v>mennatullahmohamed23@gmail.com</v>
      </c>
      <c r="G502" s="2" t="str">
        <f ca="1">IFERROR(__xludf.DUMMYFUNCTION("""COMPUTED_VALUE"""),"01203531607")</f>
        <v>01203531607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 t="str">
        <f ca="1">IFERROR(__xludf.DUMMYFUNCTION("""COMPUTED_VALUE"""),"محمود حسنين")</f>
        <v>محمود حسنين</v>
      </c>
      <c r="B503" s="2">
        <f ca="1">IFERROR(__xludf.DUMMYFUNCTION("""COMPUTED_VALUE"""),809150758018)</f>
        <v>809150758018</v>
      </c>
      <c r="C503" s="2" t="str">
        <f ca="1">IFERROR(__xludf.DUMMYFUNCTION("""COMPUTED_VALUE"""),"محمود حسنين")</f>
        <v>محمود حسنين</v>
      </c>
      <c r="D503" s="2">
        <f ca="1">IFERROR(__xludf.DUMMYFUNCTION("""COMPUTED_VALUE"""),2564)</f>
        <v>2564</v>
      </c>
      <c r="E503" s="2" t="str">
        <f ca="1">IFERROR(__xludf.DUMMYFUNCTION("""COMPUTED_VALUE"""),"EG07-EG08-EG09-EG10-EG11-EG12")</f>
        <v>EG07-EG08-EG09-EG10-EG11-EG12</v>
      </c>
      <c r="F503" s="2" t="str">
        <f ca="1">IFERROR(__xludf.DUMMYFUNCTION("""COMPUTED_VALUE"""),"mm.hh7238@gmail.com")</f>
        <v>mm.hh7238@gmail.com</v>
      </c>
      <c r="G503" s="2" t="str">
        <f ca="1">IFERROR(__xludf.DUMMYFUNCTION("""COMPUTED_VALUE"""),"01098964450")</f>
        <v>01098964450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 t="str">
        <f ca="1">IFERROR(__xludf.DUMMYFUNCTION("""COMPUTED_VALUE"""),"نورهان عماد")</f>
        <v>نورهان عماد</v>
      </c>
      <c r="B504" s="2">
        <f ca="1">IFERROR(__xludf.DUMMYFUNCTION("""COMPUTED_VALUE"""),276184302392)</f>
        <v>276184302392</v>
      </c>
      <c r="C504" s="2" t="str">
        <f ca="1">IFERROR(__xludf.DUMMYFUNCTION("""COMPUTED_VALUE"""),"نورهان عماد")</f>
        <v>نورهان عماد</v>
      </c>
      <c r="D504" s="2">
        <f ca="1">IFERROR(__xludf.DUMMYFUNCTION("""COMPUTED_VALUE"""),2557)</f>
        <v>2557</v>
      </c>
      <c r="E504" s="2" t="str">
        <f ca="1">IFERROR(__xludf.DUMMYFUNCTION("""COMPUTED_VALUE"""),"EG04-EG05-EG06")</f>
        <v>EG04-EG05-EG06</v>
      </c>
      <c r="F504" s="2" t="str">
        <f ca="1">IFERROR(__xludf.DUMMYFUNCTION("""COMPUTED_VALUE"""),"nourhanemad92@gmail.com")</f>
        <v>nourhanemad92@gmail.com</v>
      </c>
      <c r="G504" s="2" t="str">
        <f ca="1">IFERROR(__xludf.DUMMYFUNCTION("""COMPUTED_VALUE"""),"01007704272")</f>
        <v>01007704272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 t="str">
        <f ca="1">IFERROR(__xludf.DUMMYFUNCTION("""COMPUTED_VALUE"""),"سارة سلامة")</f>
        <v>سارة سلامة</v>
      </c>
      <c r="B505" s="2">
        <f ca="1">IFERROR(__xludf.DUMMYFUNCTION("""COMPUTED_VALUE"""),989127575602)</f>
        <v>989127575602</v>
      </c>
      <c r="C505" s="2" t="str">
        <f ca="1">IFERROR(__xludf.DUMMYFUNCTION("""COMPUTED_VALUE"""),"سارة سلامة")</f>
        <v>سارة سلامة</v>
      </c>
      <c r="D505" s="2">
        <f ca="1">IFERROR(__xludf.DUMMYFUNCTION("""COMPUTED_VALUE"""),2560)</f>
        <v>2560</v>
      </c>
      <c r="E505" s="2" t="str">
        <f ca="1">IFERROR(__xludf.DUMMYFUNCTION("""COMPUTED_VALUE"""),"EG04-EG05")</f>
        <v>EG04-EG05</v>
      </c>
      <c r="F505" s="2" t="str">
        <f ca="1">IFERROR(__xludf.DUMMYFUNCTION("""COMPUTED_VALUE"""),"sarageo405060@gmail.com")</f>
        <v>sarageo405060@gmail.com</v>
      </c>
      <c r="G505" s="2" t="str">
        <f ca="1">IFERROR(__xludf.DUMMYFUNCTION("""COMPUTED_VALUE"""),"01125500358")</f>
        <v>01125500358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 t="str">
        <f ca="1">IFERROR(__xludf.DUMMYFUNCTION("""COMPUTED_VALUE"""),"عمرو العقبي")</f>
        <v>عمرو العقبي</v>
      </c>
      <c r="B506" s="2">
        <f ca="1">IFERROR(__xludf.DUMMYFUNCTION("""COMPUTED_VALUE"""),726184376073)</f>
        <v>726184376073</v>
      </c>
      <c r="C506" s="2" t="str">
        <f ca="1">IFERROR(__xludf.DUMMYFUNCTION("""COMPUTED_VALUE"""),"عمرو العقبي")</f>
        <v>عمرو العقبي</v>
      </c>
      <c r="D506" s="2">
        <f ca="1">IFERROR(__xludf.DUMMYFUNCTION("""COMPUTED_VALUE"""),2522)</f>
        <v>2522</v>
      </c>
      <c r="E506" s="2" t="str">
        <f ca="1">IFERROR(__xludf.DUMMYFUNCTION("""COMPUTED_VALUE"""),"EG10-EG11-EG12")</f>
        <v>EG10-EG11-EG12</v>
      </c>
      <c r="F506" s="2" t="str">
        <f ca="1">IFERROR(__xludf.DUMMYFUNCTION("""COMPUTED_VALUE"""),"mr.amro.elukby@gmail.com")</f>
        <v>mr.amro.elukby@gmail.com</v>
      </c>
      <c r="G506" s="2" t="str">
        <f ca="1">IFERROR(__xludf.DUMMYFUNCTION("""COMPUTED_VALUE"""),"01004106537")</f>
        <v>01004106537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 t="str">
        <f ca="1">IFERROR(__xludf.DUMMYFUNCTION("""COMPUTED_VALUE"""),"إسراء رامي")</f>
        <v>إسراء رامي</v>
      </c>
      <c r="B507" s="2">
        <f ca="1">IFERROR(__xludf.DUMMYFUNCTION("""COMPUTED_VALUE"""),939180714785)</f>
        <v>939180714785</v>
      </c>
      <c r="C507" s="2" t="str">
        <f ca="1">IFERROR(__xludf.DUMMYFUNCTION("""COMPUTED_VALUE"""),"إسراء رامي")</f>
        <v>إسراء رامي</v>
      </c>
      <c r="D507" s="2">
        <f ca="1">IFERROR(__xludf.DUMMYFUNCTION("""COMPUTED_VALUE"""),2562)</f>
        <v>2562</v>
      </c>
      <c r="E507" s="2" t="str">
        <f ca="1">IFERROR(__xludf.DUMMYFUNCTION("""COMPUTED_VALUE"""),"EG04-EG05-EG06")</f>
        <v>EG04-EG05-EG06</v>
      </c>
      <c r="F507" s="2" t="str">
        <f ca="1">IFERROR(__xludf.DUMMYFUNCTION("""COMPUTED_VALUE"""),"esraaramy50@gmail.com")</f>
        <v>esraaramy50@gmail.com</v>
      </c>
      <c r="G507" s="2" t="str">
        <f ca="1">IFERROR(__xludf.DUMMYFUNCTION("""COMPUTED_VALUE"""),"01032803981")</f>
        <v>01032803981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 t="str">
        <f ca="1">IFERROR(__xludf.DUMMYFUNCTION("""COMPUTED_VALUE"""),"يوسف عبد الوهاب")</f>
        <v>يوسف عبد الوهاب</v>
      </c>
      <c r="B508" s="2">
        <f ca="1">IFERROR(__xludf.DUMMYFUNCTION("""COMPUTED_VALUE"""),495158084197)</f>
        <v>495158084197</v>
      </c>
      <c r="C508" s="2" t="str">
        <f ca="1">IFERROR(__xludf.DUMMYFUNCTION("""COMPUTED_VALUE"""),"يوسف عبد الوهاب")</f>
        <v>يوسف عبد الوهاب</v>
      </c>
      <c r="D508" s="2">
        <f ca="1">IFERROR(__xludf.DUMMYFUNCTION("""COMPUTED_VALUE"""),2552)</f>
        <v>2552</v>
      </c>
      <c r="E508" s="2" t="str">
        <f ca="1">IFERROR(__xludf.DUMMYFUNCTION("""COMPUTED_VALUE"""),"EG09-EG10-EG11")</f>
        <v>EG09-EG10-EG11</v>
      </c>
      <c r="F508" s="2" t="str">
        <f ca="1">IFERROR(__xludf.DUMMYFUNCTION("""COMPUTED_VALUE"""),"youssef.ibrahem20@gmail.com")</f>
        <v>youssef.ibrahem20@gmail.com</v>
      </c>
      <c r="G508" s="2" t="str">
        <f ca="1">IFERROR(__xludf.DUMMYFUNCTION("""COMPUTED_VALUE"""),"01110454612")</f>
        <v>01110454612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 t="str">
        <f ca="1">IFERROR(__xludf.DUMMYFUNCTION("""COMPUTED_VALUE"""),"يارا سلطان")</f>
        <v>يارا سلطان</v>
      </c>
      <c r="B509" s="2">
        <f ca="1">IFERROR(__xludf.DUMMYFUNCTION("""COMPUTED_VALUE"""),919170561064)</f>
        <v>919170561064</v>
      </c>
      <c r="C509" s="2" t="str">
        <f ca="1">IFERROR(__xludf.DUMMYFUNCTION("""COMPUTED_VALUE"""),"يارا سلطان")</f>
        <v>يارا سلطان</v>
      </c>
      <c r="D509" s="2">
        <f ca="1">IFERROR(__xludf.DUMMYFUNCTION("""COMPUTED_VALUE"""),2561)</f>
        <v>2561</v>
      </c>
      <c r="E509" s="2" t="str">
        <f ca="1">IFERROR(__xludf.DUMMYFUNCTION("""COMPUTED_VALUE"""),"EG01-EG02-EG03")</f>
        <v>EG01-EG02-EG03</v>
      </c>
      <c r="F509" s="2" t="str">
        <f ca="1">IFERROR(__xludf.DUMMYFUNCTION("""COMPUTED_VALUE"""),"ywael044@gmail.com")</f>
        <v>ywael044@gmail.com</v>
      </c>
      <c r="G509" s="2" t="str">
        <f ca="1">IFERROR(__xludf.DUMMYFUNCTION("""COMPUTED_VALUE"""),"01271833101")</f>
        <v>01271833101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 t="str">
        <f ca="1">IFERROR(__xludf.DUMMYFUNCTION("""COMPUTED_VALUE"""),"نهاد يسري")</f>
        <v>نهاد يسري</v>
      </c>
      <c r="B510" s="2">
        <f ca="1">IFERROR(__xludf.DUMMYFUNCTION("""COMPUTED_VALUE"""),605108626197)</f>
        <v>605108626197</v>
      </c>
      <c r="C510" s="2" t="str">
        <f ca="1">IFERROR(__xludf.DUMMYFUNCTION("""COMPUTED_VALUE"""),"نهاد يسري")</f>
        <v>نهاد يسري</v>
      </c>
      <c r="D510" s="2">
        <f ca="1">IFERROR(__xludf.DUMMYFUNCTION("""COMPUTED_VALUE"""),2555)</f>
        <v>2555</v>
      </c>
      <c r="E510" s="2" t="str">
        <f ca="1">IFERROR(__xludf.DUMMYFUNCTION("""COMPUTED_VALUE"""),"EG08-EG09")</f>
        <v>EG08-EG09</v>
      </c>
      <c r="F510" s="2" t="str">
        <f ca="1">IFERROR(__xludf.DUMMYFUNCTION("""COMPUTED_VALUE"""),"nehadyousry1984@gmail.com")</f>
        <v>nehadyousry1984@gmail.com</v>
      </c>
      <c r="G510" s="2" t="str">
        <f ca="1">IFERROR(__xludf.DUMMYFUNCTION("""COMPUTED_VALUE"""),"01221944623")</f>
        <v>01221944623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 t="str">
        <f ca="1">IFERROR(__xludf.DUMMYFUNCTION("""COMPUTED_VALUE"""),"إسلام حسن")</f>
        <v>إسلام حسن</v>
      </c>
      <c r="B511" s="2">
        <f ca="1">IFERROR(__xludf.DUMMYFUNCTION("""COMPUTED_VALUE"""),876195784914)</f>
        <v>876195784914</v>
      </c>
      <c r="C511" s="2" t="str">
        <f ca="1">IFERROR(__xludf.DUMMYFUNCTION("""COMPUTED_VALUE"""),"إسلام حسن")</f>
        <v>إسلام حسن</v>
      </c>
      <c r="D511" s="2">
        <f ca="1">IFERROR(__xludf.DUMMYFUNCTION("""COMPUTED_VALUE"""),2553)</f>
        <v>2553</v>
      </c>
      <c r="E511" s="2" t="str">
        <f ca="1">IFERROR(__xludf.DUMMYFUNCTION("""COMPUTED_VALUE"""),"EG07-EG08-EG09")</f>
        <v>EG07-EG08-EG09</v>
      </c>
      <c r="F511" s="2" t="str">
        <f ca="1">IFERROR(__xludf.DUMMYFUNCTION("""COMPUTED_VALUE"""),"dr.eslam.h.i@gmail.com")</f>
        <v>dr.eslam.h.i@gmail.com</v>
      </c>
      <c r="G511" s="2" t="str">
        <f ca="1">IFERROR(__xludf.DUMMYFUNCTION("""COMPUTED_VALUE"""),"01002501821")</f>
        <v>01002501821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 t="str">
        <f ca="1">IFERROR(__xludf.DUMMYFUNCTION("""COMPUTED_VALUE"""),"أحمد عاشور")</f>
        <v>أحمد عاشور</v>
      </c>
      <c r="B512" s="2">
        <f ca="1">IFERROR(__xludf.DUMMYFUNCTION("""COMPUTED_VALUE"""),197153280125)</f>
        <v>197153280125</v>
      </c>
      <c r="C512" s="2" t="str">
        <f ca="1">IFERROR(__xludf.DUMMYFUNCTION("""COMPUTED_VALUE"""),"أحمد عاشور")</f>
        <v>أحمد عاشور</v>
      </c>
      <c r="D512" s="2" t="str">
        <f ca="1">IFERROR(__xludf.DUMMYFUNCTION("""COMPUTED_VALUE"""),"#N/A")</f>
        <v>#N/A</v>
      </c>
      <c r="E512" s="2"/>
      <c r="F512" s="2" t="str">
        <f ca="1">IFERROR(__xludf.DUMMYFUNCTION("""COMPUTED_VALUE"""),"ahmedashourayyad@gmail.com")</f>
        <v>ahmedashourayyad@gmail.com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 t="str">
        <f ca="1">IFERROR(__xludf.DUMMYFUNCTION("""COMPUTED_VALUE"""),"محمد رأفت")</f>
        <v>محمد رأفت</v>
      </c>
      <c r="B513" s="2">
        <f ca="1">IFERROR(__xludf.DUMMYFUNCTION("""COMPUTED_VALUE"""),815141510923)</f>
        <v>815141510923</v>
      </c>
      <c r="C513" s="2" t="str">
        <f ca="1">IFERROR(__xludf.DUMMYFUNCTION("""COMPUTED_VALUE"""),"محمد رأفت")</f>
        <v>محمد رأفت</v>
      </c>
      <c r="D513" s="2">
        <f ca="1">IFERROR(__xludf.DUMMYFUNCTION("""COMPUTED_VALUE"""),2558)</f>
        <v>2558</v>
      </c>
      <c r="E513" s="2" t="str">
        <f ca="1">IFERROR(__xludf.DUMMYFUNCTION("""COMPUTED_VALUE"""),"EG04-EG05-EG06")</f>
        <v>EG04-EG05-EG06</v>
      </c>
      <c r="F513" s="2" t="str">
        <f ca="1">IFERROR(__xludf.DUMMYFUNCTION("""COMPUTED_VALUE"""),"m.h.raffat@gmail.com")</f>
        <v>m.h.raffat@gmail.com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 t="str">
        <f ca="1">IFERROR(__xludf.DUMMYFUNCTION("""COMPUTED_VALUE"""),"أسماء الحسيني")</f>
        <v>أسماء الحسيني</v>
      </c>
      <c r="B514" s="2">
        <f ca="1">IFERROR(__xludf.DUMMYFUNCTION("""COMPUTED_VALUE"""),623157516497)</f>
        <v>623157516497</v>
      </c>
      <c r="C514" s="2" t="str">
        <f ca="1">IFERROR(__xludf.DUMMYFUNCTION("""COMPUTED_VALUE"""),"أسماء الحسيني")</f>
        <v>أسماء الحسيني</v>
      </c>
      <c r="D514" s="2">
        <f ca="1">IFERROR(__xludf.DUMMYFUNCTION("""COMPUTED_VALUE"""),2580)</f>
        <v>2580</v>
      </c>
      <c r="E514" s="2" t="str">
        <f ca="1">IFERROR(__xludf.DUMMYFUNCTION("""COMPUTED_VALUE"""),"EG01-EG02-EG03")</f>
        <v>EG01-EG02-EG03</v>
      </c>
      <c r="F514" s="2" t="str">
        <f ca="1">IFERROR(__xludf.DUMMYFUNCTION("""COMPUTED_VALUE"""),"elhosseinyasmaa@gmail.com")</f>
        <v>elhosseinyasmaa@gmail.com</v>
      </c>
      <c r="G514" s="2" t="str">
        <f ca="1">IFERROR(__xludf.DUMMYFUNCTION("""COMPUTED_VALUE"""),"01006995563")</f>
        <v>01006995563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 t="str">
        <f ca="1">IFERROR(__xludf.DUMMYFUNCTION("""COMPUTED_VALUE"""),"أحمد حسني")</f>
        <v>أحمد حسني</v>
      </c>
      <c r="B515" s="2">
        <f ca="1">IFERROR(__xludf.DUMMYFUNCTION("""COMPUTED_VALUE"""),678162816468)</f>
        <v>678162816468</v>
      </c>
      <c r="C515" s="2" t="str">
        <f ca="1">IFERROR(__xludf.DUMMYFUNCTION("""COMPUTED_VALUE"""),"أحمد حسني")</f>
        <v>أحمد حسني</v>
      </c>
      <c r="D515" s="2">
        <f ca="1">IFERROR(__xludf.DUMMYFUNCTION("""COMPUTED_VALUE"""),2579)</f>
        <v>2579</v>
      </c>
      <c r="E515" s="2" t="str">
        <f ca="1">IFERROR(__xludf.DUMMYFUNCTION("""COMPUTED_VALUE"""),"EG07-EG08-EG09")</f>
        <v>EG07-EG08-EG09</v>
      </c>
      <c r="F515" s="2" t="str">
        <f ca="1">IFERROR(__xludf.DUMMYFUNCTION("""COMPUTED_VALUE"""),"mr_ahmedhosni@yahoo.com")</f>
        <v>mr_ahmedhosni@yahoo.com</v>
      </c>
      <c r="G515" s="2" t="str">
        <f ca="1">IFERROR(__xludf.DUMMYFUNCTION("""COMPUTED_VALUE"""),"01000120625")</f>
        <v>01000120625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 t="str">
        <f ca="1">IFERROR(__xludf.DUMMYFUNCTION("""COMPUTED_VALUE"""),"نسمة سلطان")</f>
        <v>نسمة سلطان</v>
      </c>
      <c r="B516" s="2">
        <f ca="1">IFERROR(__xludf.DUMMYFUNCTION("""COMPUTED_VALUE"""),960186095390)</f>
        <v>960186095390</v>
      </c>
      <c r="C516" s="2" t="str">
        <f ca="1">IFERROR(__xludf.DUMMYFUNCTION("""COMPUTED_VALUE"""),"نسمة سلطان")</f>
        <v>نسمة سلطان</v>
      </c>
      <c r="D516" s="2">
        <f ca="1">IFERROR(__xludf.DUMMYFUNCTION("""COMPUTED_VALUE"""),2587)</f>
        <v>2587</v>
      </c>
      <c r="E516" s="2" t="str">
        <f ca="1">IFERROR(__xludf.DUMMYFUNCTION("""COMPUTED_VALUE"""),"EG01-EG02-EG03")</f>
        <v>EG01-EG02-EG03</v>
      </c>
      <c r="F516" s="2" t="str">
        <f ca="1">IFERROR(__xludf.DUMMYFUNCTION("""COMPUTED_VALUE"""),"nesmasultan933@gmail.com")</f>
        <v>nesmasultan933@gmail.com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 t="str">
        <f ca="1">IFERROR(__xludf.DUMMYFUNCTION("""COMPUTED_VALUE"""),"عادل عبد الله")</f>
        <v>عادل عبد الله</v>
      </c>
      <c r="B517" s="2">
        <f ca="1">IFERROR(__xludf.DUMMYFUNCTION("""COMPUTED_VALUE"""),472125058909)</f>
        <v>472125058909</v>
      </c>
      <c r="C517" s="2" t="str">
        <f ca="1">IFERROR(__xludf.DUMMYFUNCTION("""COMPUTED_VALUE"""),"عادل عبد الله")</f>
        <v>عادل عبد الله</v>
      </c>
      <c r="D517" s="2">
        <f ca="1">IFERROR(__xludf.DUMMYFUNCTION("""COMPUTED_VALUE"""),2578)</f>
        <v>2578</v>
      </c>
      <c r="E517" s="2" t="str">
        <f ca="1">IFERROR(__xludf.DUMMYFUNCTION("""COMPUTED_VALUE"""),"EG04-EG06-EG07-EG08-EG09")</f>
        <v>EG04-EG06-EG07-EG08-EG09</v>
      </c>
      <c r="F517" s="2" t="str">
        <f ca="1">IFERROR(__xludf.DUMMYFUNCTION("""COMPUTED_VALUE"""),"a.abdallah.depd@gmail.com")</f>
        <v>a.abdallah.depd@gmail.com</v>
      </c>
      <c r="G517" s="2" t="str">
        <f ca="1">IFERROR(__xludf.DUMMYFUNCTION("""COMPUTED_VALUE"""),"01118300659 - 01225781819")</f>
        <v>01118300659 - 01225781819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 t="str">
        <f ca="1">IFERROR(__xludf.DUMMYFUNCTION("""COMPUTED_VALUE"""),"شيماء سليمان")</f>
        <v>شيماء سليمان</v>
      </c>
      <c r="B518" s="2">
        <f ca="1">IFERROR(__xludf.DUMMYFUNCTION("""COMPUTED_VALUE"""),574161321575)</f>
        <v>574161321575</v>
      </c>
      <c r="C518" s="2" t="str">
        <f ca="1">IFERROR(__xludf.DUMMYFUNCTION("""COMPUTED_VALUE"""),"شيماء سليمان")</f>
        <v>شيماء سليمان</v>
      </c>
      <c r="D518" s="2">
        <f ca="1">IFERROR(__xludf.DUMMYFUNCTION("""COMPUTED_VALUE"""),2581)</f>
        <v>2581</v>
      </c>
      <c r="E518" s="2" t="str">
        <f ca="1">IFERROR(__xludf.DUMMYFUNCTION("""COMPUTED_VALUE"""),"EG01-EG02-EG03")</f>
        <v>EG01-EG02-EG03</v>
      </c>
      <c r="F518" s="2" t="str">
        <f ca="1">IFERROR(__xludf.DUMMYFUNCTION("""COMPUTED_VALUE"""),"shimosoliman4016@gmail.com")</f>
        <v>shimosoliman4016@gmail.com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 t="str">
        <f ca="1">IFERROR(__xludf.DUMMYFUNCTION("""COMPUTED_VALUE"""),"رباب أحمد")</f>
        <v>رباب أحمد</v>
      </c>
      <c r="B519" s="2">
        <f ca="1">IFERROR(__xludf.DUMMYFUNCTION("""COMPUTED_VALUE"""),379179346029)</f>
        <v>379179346029</v>
      </c>
      <c r="C519" s="2" t="str">
        <f ca="1">IFERROR(__xludf.DUMMYFUNCTION("""COMPUTED_VALUE"""),"رباب أحمد")</f>
        <v>رباب أحمد</v>
      </c>
      <c r="D519" s="2">
        <f ca="1">IFERROR(__xludf.DUMMYFUNCTION("""COMPUTED_VALUE"""),2326)</f>
        <v>2326</v>
      </c>
      <c r="E519" s="2" t="str">
        <f ca="1">IFERROR(__xludf.DUMMYFUNCTION("""COMPUTED_VALUE"""),"EG04-EG05-EG06-EG07-EG08")</f>
        <v>EG04-EG05-EG06-EG07-EG08</v>
      </c>
      <c r="F519" s="2" t="str">
        <f ca="1">IFERROR(__xludf.DUMMYFUNCTION("""COMPUTED_VALUE"""),"rababelhenawey@gmail.com")</f>
        <v>rababelhenawey@gmail.com</v>
      </c>
      <c r="G519" s="2">
        <f ca="1">IFERROR(__xludf.DUMMYFUNCTION("""COMPUTED_VALUE"""),201111445648)</f>
        <v>201111445648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 t="str">
        <f ca="1">IFERROR(__xludf.DUMMYFUNCTION("""COMPUTED_VALUE"""),"أسامة خليل")</f>
        <v>أسامة خليل</v>
      </c>
      <c r="B520" s="2">
        <f ca="1">IFERROR(__xludf.DUMMYFUNCTION("""COMPUTED_VALUE"""),156165436060)</f>
        <v>156165436060</v>
      </c>
      <c r="C520" s="2" t="str">
        <f ca="1">IFERROR(__xludf.DUMMYFUNCTION("""COMPUTED_VALUE"""),"أسامة خليل")</f>
        <v>أسامة خليل</v>
      </c>
      <c r="D520" s="2">
        <f ca="1">IFERROR(__xludf.DUMMYFUNCTION("""COMPUTED_VALUE"""),2599)</f>
        <v>2599</v>
      </c>
      <c r="E520" s="2" t="str">
        <f ca="1">IFERROR(__xludf.DUMMYFUNCTION("""COMPUTED_VALUE"""),"EG06-EG07-EG08-EG09")</f>
        <v>EG06-EG07-EG08-EG09</v>
      </c>
      <c r="F520" s="2" t="str">
        <f ca="1">IFERROR(__xludf.DUMMYFUNCTION("""COMPUTED_VALUE"""),"okhalim2022@gmail.com")</f>
        <v>okhalim2022@gmail.com</v>
      </c>
      <c r="G520" s="2" t="str">
        <f ca="1">IFERROR(__xludf.DUMMYFUNCTION("""COMPUTED_VALUE"""),"01024105035")</f>
        <v>01024105035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 t="str">
        <f ca="1">IFERROR(__xludf.DUMMYFUNCTION("""COMPUTED_VALUE"""),"خديجة عبد الرحمن")</f>
        <v>خديجة عبد الرحمن</v>
      </c>
      <c r="B521" s="2">
        <f ca="1">IFERROR(__xludf.DUMMYFUNCTION("""COMPUTED_VALUE"""),706195648651)</f>
        <v>706195648651</v>
      </c>
      <c r="C521" s="2" t="str">
        <f ca="1">IFERROR(__xludf.DUMMYFUNCTION("""COMPUTED_VALUE"""),"خديجة عبد الرحمن")</f>
        <v>خديجة عبد الرحمن</v>
      </c>
      <c r="D521" s="2">
        <f ca="1">IFERROR(__xludf.DUMMYFUNCTION("""COMPUTED_VALUE"""),2603)</f>
        <v>2603</v>
      </c>
      <c r="E521" s="2" t="str">
        <f ca="1">IFERROR(__xludf.DUMMYFUNCTION("""COMPUTED_VALUE"""),"EG04-EG05-EG06")</f>
        <v>EG04-EG05-EG06</v>
      </c>
      <c r="F521" s="2" t="str">
        <f ca="1">IFERROR(__xludf.DUMMYFUNCTION("""COMPUTED_VALUE"""),"khadijaabdelrahman88@gmail.com")</f>
        <v>khadijaabdelrahman88@gmail.com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 t="str">
        <f ca="1">IFERROR(__xludf.DUMMYFUNCTION("""COMPUTED_VALUE"""),"حسين حلمي")</f>
        <v>حسين حلمي</v>
      </c>
      <c r="B522" s="2">
        <f ca="1">IFERROR(__xludf.DUMMYFUNCTION("""COMPUTED_VALUE"""),318195473726)</f>
        <v>318195473726</v>
      </c>
      <c r="C522" s="2" t="str">
        <f ca="1">IFERROR(__xludf.DUMMYFUNCTION("""COMPUTED_VALUE"""),"حسين حلمي")</f>
        <v>حسين حلمي</v>
      </c>
      <c r="D522" s="2">
        <f ca="1">IFERROR(__xludf.DUMMYFUNCTION("""COMPUTED_VALUE"""),2072)</f>
        <v>2072</v>
      </c>
      <c r="E522" s="2" t="str">
        <f ca="1">IFERROR(__xludf.DUMMYFUNCTION("""COMPUTED_VALUE"""),"EG01-EG02-EG03")</f>
        <v>EG01-EG02-EG03</v>
      </c>
      <c r="F522" s="2" t="str">
        <f ca="1">IFERROR(__xludf.DUMMYFUNCTION("""COMPUTED_VALUE"""),"hussienhelmy54@gmail.com")</f>
        <v>hussienhelmy54@gmail.com</v>
      </c>
      <c r="G522" s="2" t="str">
        <f ca="1">IFERROR(__xludf.DUMMYFUNCTION("""COMPUTED_VALUE"""),"01222364937")</f>
        <v>01222364937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 t="str">
        <f ca="1">IFERROR(__xludf.DUMMYFUNCTION("""COMPUTED_VALUE"""),"نوران لطفي")</f>
        <v>نوران لطفي</v>
      </c>
      <c r="B523" s="2">
        <f ca="1">IFERROR(__xludf.DUMMYFUNCTION("""COMPUTED_VALUE"""),463137028567)</f>
        <v>463137028567</v>
      </c>
      <c r="C523" s="2" t="str">
        <f ca="1">IFERROR(__xludf.DUMMYFUNCTION("""COMPUTED_VALUE"""),"نوران لطفي")</f>
        <v>نوران لطفي</v>
      </c>
      <c r="D523" s="2">
        <f ca="1">IFERROR(__xludf.DUMMYFUNCTION("""COMPUTED_VALUE"""),2563)</f>
        <v>2563</v>
      </c>
      <c r="E523" s="2" t="str">
        <f ca="1">IFERROR(__xludf.DUMMYFUNCTION("""COMPUTED_VALUE"""),"EG07-EG08")</f>
        <v>EG07-EG08</v>
      </c>
      <c r="F523" s="2" t="str">
        <f ca="1">IFERROR(__xludf.DUMMYFUNCTION("""COMPUTED_VALUE"""),"nouranlotfy63@gmail.com")</f>
        <v>nouranlotfy63@gmail.com</v>
      </c>
      <c r="G523" s="2" t="str">
        <f ca="1">IFERROR(__xludf.DUMMYFUNCTION("""COMPUTED_VALUE"""),"01001625777")</f>
        <v>01001625777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 t="str">
        <f ca="1">IFERROR(__xludf.DUMMYFUNCTION("""COMPUTED_VALUE"""),"علاء أبو الحسن")</f>
        <v>علاء أبو الحسن</v>
      </c>
      <c r="B524" s="2">
        <f ca="1">IFERROR(__xludf.DUMMYFUNCTION("""COMPUTED_VALUE"""),816138159850)</f>
        <v>816138159850</v>
      </c>
      <c r="C524" s="2" t="str">
        <f ca="1">IFERROR(__xludf.DUMMYFUNCTION("""COMPUTED_VALUE"""),"علاء أبو الحسن")</f>
        <v>علاء أبو الحسن</v>
      </c>
      <c r="D524" s="2">
        <f ca="1">IFERROR(__xludf.DUMMYFUNCTION("""COMPUTED_VALUE"""),2661)</f>
        <v>2661</v>
      </c>
      <c r="E524" s="2" t="str">
        <f ca="1">IFERROR(__xludf.DUMMYFUNCTION("""COMPUTED_VALUE"""),"EG07-EG08-EG09-EG10-EG11")</f>
        <v>EG07-EG08-EG09-EG10-EG11</v>
      </c>
      <c r="F524" s="2" t="str">
        <f ca="1">IFERROR(__xludf.DUMMYFUNCTION("""COMPUTED_VALUE"""),"abouelhassan777@gmail.com")</f>
        <v>abouelhassan777@gmail.com</v>
      </c>
      <c r="G524" s="2" t="str">
        <f ca="1">IFERROR(__xludf.DUMMYFUNCTION("""COMPUTED_VALUE"""),"01143319486")</f>
        <v>01143319486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 t="str">
        <f ca="1">IFERROR(__xludf.DUMMYFUNCTION("""COMPUTED_VALUE"""),"ريهام علي")</f>
        <v>ريهام علي</v>
      </c>
      <c r="B525" s="2">
        <f ca="1">IFERROR(__xludf.DUMMYFUNCTION("""COMPUTED_VALUE"""),697109284394)</f>
        <v>697109284394</v>
      </c>
      <c r="C525" s="2" t="str">
        <f ca="1">IFERROR(__xludf.DUMMYFUNCTION("""COMPUTED_VALUE"""),"ريهام علي")</f>
        <v>ريهام علي</v>
      </c>
      <c r="D525" s="2">
        <f ca="1">IFERROR(__xludf.DUMMYFUNCTION("""COMPUTED_VALUE"""),2586)</f>
        <v>2586</v>
      </c>
      <c r="E525" s="2" t="str">
        <f ca="1">IFERROR(__xludf.DUMMYFUNCTION("""COMPUTED_VALUE"""),"EG07-EG08-EG09")</f>
        <v>EG07-EG08-EG09</v>
      </c>
      <c r="F525" s="2" t="str">
        <f ca="1">IFERROR(__xludf.DUMMYFUNCTION("""COMPUTED_VALUE"""),"rehamaly.76@gmail.com")</f>
        <v>rehamaly.76@gmail.com</v>
      </c>
      <c r="G525" s="2" t="str">
        <f ca="1">IFERROR(__xludf.DUMMYFUNCTION("""COMPUTED_VALUE"""),"01206255208")</f>
        <v>01206255208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 t="str">
        <f ca="1">IFERROR(__xludf.DUMMYFUNCTION("""COMPUTED_VALUE"""),"محمد نبيه")</f>
        <v>محمد نبيه</v>
      </c>
      <c r="B526" s="2">
        <f ca="1">IFERROR(__xludf.DUMMYFUNCTION("""COMPUTED_VALUE"""),589184652592)</f>
        <v>589184652592</v>
      </c>
      <c r="C526" s="2" t="str">
        <f ca="1">IFERROR(__xludf.DUMMYFUNCTION("""COMPUTED_VALUE"""),"محمد نبيه")</f>
        <v>محمد نبيه</v>
      </c>
      <c r="D526" s="2">
        <f ca="1">IFERROR(__xludf.DUMMYFUNCTION("""COMPUTED_VALUE"""),2592)</f>
        <v>2592</v>
      </c>
      <c r="E526" s="2" t="str">
        <f ca="1">IFERROR(__xludf.DUMMYFUNCTION("""COMPUTED_VALUE"""),"EG07-EG08-EG09")</f>
        <v>EG07-EG08-EG09</v>
      </c>
      <c r="F526" s="2" t="str">
        <f ca="1">IFERROR(__xludf.DUMMYFUNCTION("""COMPUTED_VALUE"""),"mohmednbih2019@gmail.com")</f>
        <v>mohmednbih2019@gmail.com</v>
      </c>
      <c r="G526" s="2" t="str">
        <f ca="1">IFERROR(__xludf.DUMMYFUNCTION("""COMPUTED_VALUE"""),"01003911095")</f>
        <v>01003911095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 t="str">
        <f ca="1">IFERROR(__xludf.DUMMYFUNCTION("""COMPUTED_VALUE"""),"ياسمين سمير")</f>
        <v>ياسمين سمير</v>
      </c>
      <c r="B527" s="2">
        <f ca="1">IFERROR(__xludf.DUMMYFUNCTION("""COMPUTED_VALUE"""),367106989606)</f>
        <v>367106989606</v>
      </c>
      <c r="C527" s="2" t="str">
        <f ca="1">IFERROR(__xludf.DUMMYFUNCTION("""COMPUTED_VALUE"""),"ياسمين سمير")</f>
        <v>ياسمين سمير</v>
      </c>
      <c r="D527" s="2">
        <f ca="1">IFERROR(__xludf.DUMMYFUNCTION("""COMPUTED_VALUE"""),2585)</f>
        <v>2585</v>
      </c>
      <c r="E527" s="2" t="str">
        <f ca="1">IFERROR(__xludf.DUMMYFUNCTION("""COMPUTED_VALUE"""),"EG07-EG08-EG09-EG10-EG11-EG12")</f>
        <v>EG07-EG08-EG09-EG10-EG11-EG12</v>
      </c>
      <c r="F527" s="2" t="str">
        <f ca="1">IFERROR(__xludf.DUMMYFUNCTION("""COMPUTED_VALUE"""),"jasminaahmed60@gmail.com")</f>
        <v>jasminaahmed60@gmail.com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 t="str">
        <f ca="1">IFERROR(__xludf.DUMMYFUNCTION("""COMPUTED_VALUE"""),"علي طنطاوي")</f>
        <v>علي طنطاوي</v>
      </c>
      <c r="B528" s="2">
        <f ca="1">IFERROR(__xludf.DUMMYFUNCTION("""COMPUTED_VALUE"""),840176714634)</f>
        <v>840176714634</v>
      </c>
      <c r="C528" s="2" t="str">
        <f ca="1">IFERROR(__xludf.DUMMYFUNCTION("""COMPUTED_VALUE"""),"علي طنطاوي")</f>
        <v>علي طنطاوي</v>
      </c>
      <c r="D528" s="2">
        <f ca="1">IFERROR(__xludf.DUMMYFUNCTION("""COMPUTED_VALUE"""),2584)</f>
        <v>2584</v>
      </c>
      <c r="E528" s="2" t="str">
        <f ca="1">IFERROR(__xludf.DUMMYFUNCTION("""COMPUTED_VALUE"""),"EG07-EG08-EG09-EG10-EG11-EG12")</f>
        <v>EG07-EG08-EG09-EG10-EG11-EG12</v>
      </c>
      <c r="F528" s="2" t="str">
        <f ca="1">IFERROR(__xludf.DUMMYFUNCTION("""COMPUTED_VALUE"""),"ali.tantawy10@icloud.com")</f>
        <v>ali.tantawy10@icloud.com</v>
      </c>
      <c r="G528" s="2" t="str">
        <f ca="1">IFERROR(__xludf.DUMMYFUNCTION("""COMPUTED_VALUE"""),"01069571410")</f>
        <v>01069571410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 t="str">
        <f ca="1">IFERROR(__xludf.DUMMYFUNCTION("""COMPUTED_VALUE"""),"أحمد حسين")</f>
        <v>أحمد حسين</v>
      </c>
      <c r="B529" s="2">
        <f ca="1">IFERROR(__xludf.DUMMYFUNCTION("""COMPUTED_VALUE"""),270138641795)</f>
        <v>270138641795</v>
      </c>
      <c r="C529" s="2" t="str">
        <f ca="1">IFERROR(__xludf.DUMMYFUNCTION("""COMPUTED_VALUE"""),"أحمد حسين")</f>
        <v>أحمد حسين</v>
      </c>
      <c r="D529" s="2">
        <f ca="1">IFERROR(__xludf.DUMMYFUNCTION("""COMPUTED_VALUE"""),2612)</f>
        <v>2612</v>
      </c>
      <c r="E529" s="2" t="str">
        <f ca="1">IFERROR(__xludf.DUMMYFUNCTION("""COMPUTED_VALUE"""),"EG07-EG08-EG09")</f>
        <v>EG07-EG08-EG09</v>
      </c>
      <c r="F529" s="2" t="str">
        <f ca="1">IFERROR(__xludf.DUMMYFUNCTION("""COMPUTED_VALUE"""),"dr.english007@gmail.com")</f>
        <v>dr.english007@gmail.com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 t="str">
        <f ca="1">IFERROR(__xludf.DUMMYFUNCTION("""COMPUTED_VALUE"""),"نورا سلطان")</f>
        <v>نورا سلطان</v>
      </c>
      <c r="B530" s="2">
        <f ca="1">IFERROR(__xludf.DUMMYFUNCTION("""COMPUTED_VALUE"""),903167431715)</f>
        <v>903167431715</v>
      </c>
      <c r="C530" s="2" t="str">
        <f ca="1">IFERROR(__xludf.DUMMYFUNCTION("""COMPUTED_VALUE"""),"نورا سلطان")</f>
        <v>نورا سلطان</v>
      </c>
      <c r="D530" s="2">
        <f ca="1">IFERROR(__xludf.DUMMYFUNCTION("""COMPUTED_VALUE"""),2618)</f>
        <v>2618</v>
      </c>
      <c r="E530" s="2" t="str">
        <f ca="1">IFERROR(__xludf.DUMMYFUNCTION("""COMPUTED_VALUE"""),"EG04-EG05-EG06-EG07-EG08-EG09")</f>
        <v>EG04-EG05-EG06-EG07-EG08-EG09</v>
      </c>
      <c r="F530" s="2" t="str">
        <f ca="1">IFERROR(__xludf.DUMMYFUNCTION("""COMPUTED_VALUE"""),"nourasultan97@gmail.com")</f>
        <v>nourasultan97@gmail.com</v>
      </c>
      <c r="G530" s="2" t="str">
        <f ca="1">IFERROR(__xludf.DUMMYFUNCTION("""COMPUTED_VALUE"""),"01025577259")</f>
        <v>01025577259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 t="str">
        <f ca="1">IFERROR(__xludf.DUMMYFUNCTION("""COMPUTED_VALUE"""),"إيمان علاء")</f>
        <v>إيمان علاء</v>
      </c>
      <c r="B531" s="2">
        <f ca="1">IFERROR(__xludf.DUMMYFUNCTION("""COMPUTED_VALUE"""),623198675307)</f>
        <v>623198675307</v>
      </c>
      <c r="C531" s="2" t="str">
        <f ca="1">IFERROR(__xludf.DUMMYFUNCTION("""COMPUTED_VALUE"""),"إيمان علاء")</f>
        <v>إيمان علاء</v>
      </c>
      <c r="D531" s="2">
        <f ca="1">IFERROR(__xludf.DUMMYFUNCTION("""COMPUTED_VALUE"""),2613)</f>
        <v>2613</v>
      </c>
      <c r="E531" s="2" t="str">
        <f ca="1">IFERROR(__xludf.DUMMYFUNCTION("""COMPUTED_VALUE"""),"EG07-EG08-EG09")</f>
        <v>EG07-EG08-EG09</v>
      </c>
      <c r="F531" s="2" t="str">
        <f ca="1">IFERROR(__xludf.DUMMYFUNCTION("""COMPUTED_VALUE"""),"emanalaahassan@gmail.com")</f>
        <v>emanalaahassan@gmail.com</v>
      </c>
      <c r="G531" s="2" t="str">
        <f ca="1">IFERROR(__xludf.DUMMYFUNCTION("""COMPUTED_VALUE"""),"01092570623")</f>
        <v>01092570623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 t="str">
        <f ca="1">IFERROR(__xludf.DUMMYFUNCTION("""COMPUTED_VALUE"""),"ندى شريف")</f>
        <v>ندى شريف</v>
      </c>
      <c r="B532" s="2">
        <f ca="1">IFERROR(__xludf.DUMMYFUNCTION("""COMPUTED_VALUE"""),695139708380)</f>
        <v>695139708380</v>
      </c>
      <c r="C532" s="2" t="str">
        <f ca="1">IFERROR(__xludf.DUMMYFUNCTION("""COMPUTED_VALUE"""),"ندى شريف")</f>
        <v>ندى شريف</v>
      </c>
      <c r="D532" s="2">
        <f ca="1">IFERROR(__xludf.DUMMYFUNCTION("""COMPUTED_VALUE"""),2614)</f>
        <v>2614</v>
      </c>
      <c r="E532" s="2" t="str">
        <f ca="1">IFERROR(__xludf.DUMMYFUNCTION("""COMPUTED_VALUE"""),"EG01-EG02-EG03-EG04-EG05")</f>
        <v>EG01-EG02-EG03-EG04-EG05</v>
      </c>
      <c r="F532" s="2" t="str">
        <f ca="1">IFERROR(__xludf.DUMMYFUNCTION("""COMPUTED_VALUE"""),"nadasherif1007@gmail.com")</f>
        <v>nadasherif1007@gmail.com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 t="str">
        <f ca="1">IFERROR(__xludf.DUMMYFUNCTION("""COMPUTED_VALUE"""),"كريمة سعيد")</f>
        <v>كريمة سعيد</v>
      </c>
      <c r="B533" s="2">
        <f ca="1">IFERROR(__xludf.DUMMYFUNCTION("""COMPUTED_VALUE"""),636191708065)</f>
        <v>636191708065</v>
      </c>
      <c r="C533" s="2" t="str">
        <f ca="1">IFERROR(__xludf.DUMMYFUNCTION("""COMPUTED_VALUE"""),"كريمة سعيد")</f>
        <v>كريمة سعيد</v>
      </c>
      <c r="D533" s="2">
        <f ca="1">IFERROR(__xludf.DUMMYFUNCTION("""COMPUTED_VALUE"""),2604)</f>
        <v>2604</v>
      </c>
      <c r="E533" s="2" t="str">
        <f ca="1">IFERROR(__xludf.DUMMYFUNCTION("""COMPUTED_VALUE"""),"EG04-EG05-EG06")</f>
        <v>EG04-EG05-EG06</v>
      </c>
      <c r="F533" s="2" t="str">
        <f ca="1">IFERROR(__xludf.DUMMYFUNCTION("""COMPUTED_VALUE"""),"karema0saed@gmail.com")</f>
        <v>karema0saed@gmail.com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 t="str">
        <f ca="1">IFERROR(__xludf.DUMMYFUNCTION("""COMPUTED_VALUE"""),"أيمن علي")</f>
        <v>أيمن علي</v>
      </c>
      <c r="B534" s="2">
        <f ca="1">IFERROR(__xludf.DUMMYFUNCTION("""COMPUTED_VALUE"""),236169469685)</f>
        <v>236169469685</v>
      </c>
      <c r="C534" s="2" t="str">
        <f ca="1">IFERROR(__xludf.DUMMYFUNCTION("""COMPUTED_VALUE"""),"أيمن علي")</f>
        <v>أيمن علي</v>
      </c>
      <c r="D534" s="2">
        <f ca="1">IFERROR(__xludf.DUMMYFUNCTION("""COMPUTED_VALUE"""),2625)</f>
        <v>2625</v>
      </c>
      <c r="E534" s="2" t="str">
        <f ca="1">IFERROR(__xludf.DUMMYFUNCTION("""COMPUTED_VALUE"""),"EG07-EG08-EG09")</f>
        <v>EG07-EG08-EG09</v>
      </c>
      <c r="F534" s="2" t="str">
        <f ca="1">IFERROR(__xludf.DUMMYFUNCTION("""COMPUTED_VALUE"""),"ayman3li077@gmail.com")</f>
        <v>ayman3li077@gmail.com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 t="str">
        <f ca="1">IFERROR(__xludf.DUMMYFUNCTION("""COMPUTED_VALUE"""),"محمود رجب")</f>
        <v>محمود رجب</v>
      </c>
      <c r="B535" s="2">
        <f ca="1">IFERROR(__xludf.DUMMYFUNCTION("""COMPUTED_VALUE"""),863124634182)</f>
        <v>863124634182</v>
      </c>
      <c r="C535" s="2" t="str">
        <f ca="1">IFERROR(__xludf.DUMMYFUNCTION("""COMPUTED_VALUE"""),"محمود رجب")</f>
        <v>محمود رجب</v>
      </c>
      <c r="D535" s="2">
        <f ca="1">IFERROR(__xludf.DUMMYFUNCTION("""COMPUTED_VALUE"""),2598)</f>
        <v>2598</v>
      </c>
      <c r="E535" s="2" t="str">
        <f ca="1">IFERROR(__xludf.DUMMYFUNCTION("""COMPUTED_VALUE"""),"EG04-EG05-EG06-EG07-EG08-EG09")</f>
        <v>EG04-EG05-EG06-EG07-EG08-EG09</v>
      </c>
      <c r="F535" s="2" t="str">
        <f ca="1">IFERROR(__xludf.DUMMYFUNCTION("""COMPUTED_VALUE"""),"mragab2@gmail.com")</f>
        <v>mragab2@gmail.com</v>
      </c>
      <c r="G535" s="2" t="str">
        <f ca="1">IFERROR(__xludf.DUMMYFUNCTION("""COMPUTED_VALUE"""),"01111180258")</f>
        <v>01111180258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 t="str">
        <f ca="1">IFERROR(__xludf.DUMMYFUNCTION("""COMPUTED_VALUE"""),"باسم المصري")</f>
        <v>باسم المصري</v>
      </c>
      <c r="B536" s="2">
        <f ca="1">IFERROR(__xludf.DUMMYFUNCTION("""COMPUTED_VALUE"""),389173496489)</f>
        <v>389173496489</v>
      </c>
      <c r="C536" s="2" t="str">
        <f ca="1">IFERROR(__xludf.DUMMYFUNCTION("""COMPUTED_VALUE"""),"باسم المصري")</f>
        <v>باسم المصري</v>
      </c>
      <c r="D536" s="2">
        <f ca="1">IFERROR(__xludf.DUMMYFUNCTION("""COMPUTED_VALUE"""),2565)</f>
        <v>2565</v>
      </c>
      <c r="E536" s="2" t="str">
        <f ca="1">IFERROR(__xludf.DUMMYFUNCTION("""COMPUTED_VALUE"""),"EG04-EG05-EG06")</f>
        <v>EG04-EG05-EG06</v>
      </c>
      <c r="F536" s="2" t="str">
        <f ca="1">IFERROR(__xludf.DUMMYFUNCTION("""COMPUTED_VALUE"""),"bassemalmasry80@gmail.com")</f>
        <v>bassemalmasry80@gmail.com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 t="str">
        <f ca="1">IFERROR(__xludf.DUMMYFUNCTION("""COMPUTED_VALUE"""),"أحمد خيري")</f>
        <v>أحمد خيري</v>
      </c>
      <c r="B537" s="2">
        <f ca="1">IFERROR(__xludf.DUMMYFUNCTION("""COMPUTED_VALUE"""),679107028652)</f>
        <v>679107028652</v>
      </c>
      <c r="C537" s="2" t="str">
        <f ca="1">IFERROR(__xludf.DUMMYFUNCTION("""COMPUTED_VALUE"""),"أحمد خيري")</f>
        <v>أحمد خيري</v>
      </c>
      <c r="D537" s="2">
        <f ca="1">IFERROR(__xludf.DUMMYFUNCTION("""COMPUTED_VALUE"""),2607)</f>
        <v>2607</v>
      </c>
      <c r="E537" s="2" t="str">
        <f ca="1">IFERROR(__xludf.DUMMYFUNCTION("""COMPUTED_VALUE"""),"EG04-EG05-EG06-EG07-EG08-EG09")</f>
        <v>EG04-EG05-EG06-EG07-EG08-EG09</v>
      </c>
      <c r="F537" s="2" t="str">
        <f ca="1">IFERROR(__xludf.DUMMYFUNCTION("""COMPUTED_VALUE"""),"akhiry443@gmail.com")</f>
        <v>akhiry443@gmail.com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 t="str">
        <f ca="1">IFERROR(__xludf.DUMMYFUNCTION("""COMPUTED_VALUE"""),"هدى شعبان")</f>
        <v>هدى شعبان</v>
      </c>
      <c r="B538" s="2">
        <f ca="1">IFERROR(__xludf.DUMMYFUNCTION("""COMPUTED_VALUE"""),175142750434)</f>
        <v>175142750434</v>
      </c>
      <c r="C538" s="2" t="str">
        <f ca="1">IFERROR(__xludf.DUMMYFUNCTION("""COMPUTED_VALUE"""),"هدى شعبان")</f>
        <v>هدى شعبان</v>
      </c>
      <c r="D538" s="2">
        <f ca="1">IFERROR(__xludf.DUMMYFUNCTION("""COMPUTED_VALUE"""),2600)</f>
        <v>2600</v>
      </c>
      <c r="E538" s="2" t="str">
        <f ca="1">IFERROR(__xludf.DUMMYFUNCTION("""COMPUTED_VALUE"""),"EG01-EG02-EG03")</f>
        <v>EG01-EG02-EG03</v>
      </c>
      <c r="F538" s="2" t="str">
        <f ca="1">IFERROR(__xludf.DUMMYFUNCTION("""COMPUTED_VALUE"""),"dodo.lougy2014@gmail.com")</f>
        <v>dodo.lougy2014@gmail.com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 t="str">
        <f ca="1">IFERROR(__xludf.DUMMYFUNCTION("""COMPUTED_VALUE"""),"ريهام أحمد")</f>
        <v>ريهام أحمد</v>
      </c>
      <c r="B539" s="2">
        <f ca="1">IFERROR(__xludf.DUMMYFUNCTION("""COMPUTED_VALUE"""),165185273620)</f>
        <v>165185273620</v>
      </c>
      <c r="C539" s="2" t="str">
        <f ca="1">IFERROR(__xludf.DUMMYFUNCTION("""COMPUTED_VALUE"""),"ريهام أحمد")</f>
        <v>ريهام أحمد</v>
      </c>
      <c r="D539" s="2">
        <f ca="1">IFERROR(__xludf.DUMMYFUNCTION("""COMPUTED_VALUE"""),2617)</f>
        <v>2617</v>
      </c>
      <c r="E539" s="2" t="str">
        <f ca="1">IFERROR(__xludf.DUMMYFUNCTION("""COMPUTED_VALUE"""),"EG04-EG05-EG06-EG07-EG08-EG09")</f>
        <v>EG04-EG05-EG06-EG07-EG08-EG09</v>
      </c>
      <c r="F539" s="2" t="str">
        <f ca="1">IFERROR(__xludf.DUMMYFUNCTION("""COMPUTED_VALUE"""),"rihamaql@gmail.com")</f>
        <v>rihamaql@gmail.com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 t="str">
        <f ca="1">IFERROR(__xludf.DUMMYFUNCTION("""COMPUTED_VALUE"""),"نهى عبد الرحمن")</f>
        <v>نهى عبد الرحمن</v>
      </c>
      <c r="B540" s="2">
        <f ca="1">IFERROR(__xludf.DUMMYFUNCTION("""COMPUTED_VALUE"""),972107636075)</f>
        <v>972107636075</v>
      </c>
      <c r="C540" s="2" t="str">
        <f ca="1">IFERROR(__xludf.DUMMYFUNCTION("""COMPUTED_VALUE"""),"نهى عبد الرحمن")</f>
        <v>نهى عبد الرحمن</v>
      </c>
      <c r="D540" s="2">
        <f ca="1">IFERROR(__xludf.DUMMYFUNCTION("""COMPUTED_VALUE"""),2621)</f>
        <v>2621</v>
      </c>
      <c r="E540" s="2" t="str">
        <f ca="1">IFERROR(__xludf.DUMMYFUNCTION("""COMPUTED_VALUE"""),"EG07-EG08-EG09-EG10-EG11-EG12")</f>
        <v>EG07-EG08-EG09-EG10-EG11-EG12</v>
      </c>
      <c r="F540" s="2" t="str">
        <f ca="1">IFERROR(__xludf.DUMMYFUNCTION("""COMPUTED_VALUE"""),"nohaabdelrahman840@gmail.com")</f>
        <v>nohaabdelrahman840@gmail.com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 t="str">
        <f ca="1">IFERROR(__xludf.DUMMYFUNCTION("""COMPUTED_VALUE"""),"نورهان فاضل")</f>
        <v>نورهان فاضل</v>
      </c>
      <c r="B541" s="2">
        <f ca="1">IFERROR(__xludf.DUMMYFUNCTION("""COMPUTED_VALUE"""),927186502806)</f>
        <v>927186502806</v>
      </c>
      <c r="C541" s="2" t="str">
        <f ca="1">IFERROR(__xludf.DUMMYFUNCTION("""COMPUTED_VALUE"""),"نورهان فاضل")</f>
        <v>نورهان فاضل</v>
      </c>
      <c r="D541" s="2">
        <f ca="1">IFERROR(__xludf.DUMMYFUNCTION("""COMPUTED_VALUE"""),2596)</f>
        <v>2596</v>
      </c>
      <c r="E541" s="2" t="str">
        <f ca="1">IFERROR(__xludf.DUMMYFUNCTION("""COMPUTED_VALUE"""),"EG01-EG02-EG03-EG04-EG05")</f>
        <v>EG01-EG02-EG03-EG04-EG05</v>
      </c>
      <c r="F541" s="2" t="str">
        <f ca="1">IFERROR(__xludf.DUMMYFUNCTION("""COMPUTED_VALUE"""),"nourhan.fdel5@gmail.com")</f>
        <v>nourhan.fdel5@gmail.com</v>
      </c>
      <c r="G541" s="2" t="str">
        <f ca="1">IFERROR(__xludf.DUMMYFUNCTION("""COMPUTED_VALUE"""),"01091234112")</f>
        <v>01091234112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 t="str">
        <f ca="1">IFERROR(__xludf.DUMMYFUNCTION("""COMPUTED_VALUE"""),"كاثرين ذكي")</f>
        <v>كاثرين ذكي</v>
      </c>
      <c r="B542" s="2">
        <f ca="1">IFERROR(__xludf.DUMMYFUNCTION("""COMPUTED_VALUE"""),164181742498)</f>
        <v>164181742498</v>
      </c>
      <c r="C542" s="2" t="str">
        <f ca="1">IFERROR(__xludf.DUMMYFUNCTION("""COMPUTED_VALUE"""),"كاثرين ذكي")</f>
        <v>كاثرين ذكي</v>
      </c>
      <c r="D542" s="2">
        <f ca="1">IFERROR(__xludf.DUMMYFUNCTION("""COMPUTED_VALUE"""),2554)</f>
        <v>2554</v>
      </c>
      <c r="E542" s="2" t="str">
        <f ca="1">IFERROR(__xludf.DUMMYFUNCTION("""COMPUTED_VALUE"""),"EG07-EG08")</f>
        <v>EG07-EG08</v>
      </c>
      <c r="F542" s="2" t="str">
        <f ca="1">IFERROR(__xludf.DUMMYFUNCTION("""COMPUTED_VALUE"""),"catherinezaki90@gmail.com")</f>
        <v>catherinezaki90@gmail.com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 t="str">
        <f ca="1">IFERROR(__xludf.DUMMYFUNCTION("""COMPUTED_VALUE"""),"داليا نبيل")</f>
        <v>داليا نبيل</v>
      </c>
      <c r="B543" s="2">
        <f ca="1">IFERROR(__xludf.DUMMYFUNCTION("""COMPUTED_VALUE"""),596160630240)</f>
        <v>596160630240</v>
      </c>
      <c r="C543" s="2" t="str">
        <f ca="1">IFERROR(__xludf.DUMMYFUNCTION("""COMPUTED_VALUE"""),"داليا نبيل")</f>
        <v>داليا نبيل</v>
      </c>
      <c r="D543" s="2">
        <f ca="1">IFERROR(__xludf.DUMMYFUNCTION("""COMPUTED_VALUE"""),2622)</f>
        <v>2622</v>
      </c>
      <c r="E543" s="2" t="str">
        <f ca="1">IFERROR(__xludf.DUMMYFUNCTION("""COMPUTED_VALUE"""),"EG04-EG05-EG06")</f>
        <v>EG04-EG05-EG06</v>
      </c>
      <c r="F543" s="2" t="str">
        <f ca="1">IFERROR(__xludf.DUMMYFUNCTION("""COMPUTED_VALUE"""),"dalianabil145@gmail.com")</f>
        <v>dalianabil145@gmail.com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 t="str">
        <f ca="1">IFERROR(__xludf.DUMMYFUNCTION("""COMPUTED_VALUE"""),"منة رأفت")</f>
        <v>منة رأفت</v>
      </c>
      <c r="B544" s="2">
        <f ca="1">IFERROR(__xludf.DUMMYFUNCTION("""COMPUTED_VALUE"""),546184861318)</f>
        <v>546184861318</v>
      </c>
      <c r="C544" s="2" t="str">
        <f ca="1">IFERROR(__xludf.DUMMYFUNCTION("""COMPUTED_VALUE"""),"منة رأفت")</f>
        <v>منة رأفت</v>
      </c>
      <c r="D544" s="2">
        <f ca="1">IFERROR(__xludf.DUMMYFUNCTION("""COMPUTED_VALUE"""),2616)</f>
        <v>2616</v>
      </c>
      <c r="E544" s="2" t="str">
        <f ca="1">IFERROR(__xludf.DUMMYFUNCTION("""COMPUTED_VALUE"""),"EG04-EG05-EG06")</f>
        <v>EG04-EG05-EG06</v>
      </c>
      <c r="F544" s="2" t="str">
        <f ca="1">IFERROR(__xludf.DUMMYFUNCTION("""COMPUTED_VALUE"""),"mennar048@gmail.com")</f>
        <v>mennar048@gmail.com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 t="str">
        <f ca="1">IFERROR(__xludf.DUMMYFUNCTION("""COMPUTED_VALUE"""),"سارة عادل")</f>
        <v>سارة عادل</v>
      </c>
      <c r="B545" s="2">
        <f ca="1">IFERROR(__xludf.DUMMYFUNCTION("""COMPUTED_VALUE"""),494132147854)</f>
        <v>494132147854</v>
      </c>
      <c r="C545" s="2" t="str">
        <f ca="1">IFERROR(__xludf.DUMMYFUNCTION("""COMPUTED_VALUE"""),"سارة عادل")</f>
        <v>سارة عادل</v>
      </c>
      <c r="D545" s="2">
        <f ca="1">IFERROR(__xludf.DUMMYFUNCTION("""COMPUTED_VALUE"""),2644)</f>
        <v>2644</v>
      </c>
      <c r="E545" s="2" t="str">
        <f ca="1">IFERROR(__xludf.DUMMYFUNCTION("""COMPUTED_VALUE"""),"EG04-EG05-EG06-EG07-EG08-EG09")</f>
        <v>EG04-EG05-EG06-EG07-EG08-EG09</v>
      </c>
      <c r="F545" s="2" t="str">
        <f ca="1">IFERROR(__xludf.DUMMYFUNCTION("""COMPUTED_VALUE"""),"sarahadel25@gmail.com")</f>
        <v>sarahadel25@gmail.com</v>
      </c>
      <c r="G545" s="2" t="str">
        <f ca="1">IFERROR(__xludf.DUMMYFUNCTION("""COMPUTED_VALUE"""),"01221284747")</f>
        <v>01221284747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 t="str">
        <f ca="1">IFERROR(__xludf.DUMMYFUNCTION("""COMPUTED_VALUE"""),"مريم الجوهري")</f>
        <v>مريم الجوهري</v>
      </c>
      <c r="B546" s="2">
        <f ca="1">IFERROR(__xludf.DUMMYFUNCTION("""COMPUTED_VALUE"""),498123203923)</f>
        <v>498123203923</v>
      </c>
      <c r="C546" s="2" t="str">
        <f ca="1">IFERROR(__xludf.DUMMYFUNCTION("""COMPUTED_VALUE"""),"مريم الجوهري")</f>
        <v>مريم الجوهري</v>
      </c>
      <c r="D546" s="2">
        <f ca="1">IFERROR(__xludf.DUMMYFUNCTION("""COMPUTED_VALUE"""),2055)</f>
        <v>2055</v>
      </c>
      <c r="E546" s="2" t="str">
        <f ca="1">IFERROR(__xludf.DUMMYFUNCTION("""COMPUTED_VALUE"""),"EG01-EG02-EG03")</f>
        <v>EG01-EG02-EG03</v>
      </c>
      <c r="F546" s="2" t="str">
        <f ca="1">IFERROR(__xludf.DUMMYFUNCTION("""COMPUTED_VALUE"""),"mariamelgohary8@gmail.com")</f>
        <v>mariamelgohary8@gmail.com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 t="str">
        <f ca="1">IFERROR(__xludf.DUMMYFUNCTION("""COMPUTED_VALUE"""),"محمود أحمد")</f>
        <v>محمود أحمد</v>
      </c>
      <c r="B547" s="2">
        <f ca="1">IFERROR(__xludf.DUMMYFUNCTION("""COMPUTED_VALUE"""),305106396548)</f>
        <v>305106396548</v>
      </c>
      <c r="C547" s="2" t="str">
        <f ca="1">IFERROR(__xludf.DUMMYFUNCTION("""COMPUTED_VALUE"""),"محمود أحمد")</f>
        <v>محمود أحمد</v>
      </c>
      <c r="D547" s="2">
        <f ca="1">IFERROR(__xludf.DUMMYFUNCTION("""COMPUTED_VALUE"""),2641)</f>
        <v>2641</v>
      </c>
      <c r="E547" s="2" t="str">
        <f ca="1">IFERROR(__xludf.DUMMYFUNCTION("""COMPUTED_VALUE"""),"EG07-EG08-EG09")</f>
        <v>EG07-EG08-EG09</v>
      </c>
      <c r="F547" s="2" t="str">
        <f ca="1">IFERROR(__xludf.DUMMYFUNCTION("""COMPUTED_VALUE"""),"gamerahmedg@gmail.com")</f>
        <v>gamerahmedg@gmail.com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 t="str">
        <f ca="1">IFERROR(__xludf.DUMMYFUNCTION("""COMPUTED_VALUE"""),"نانسي أحمد")</f>
        <v>نانسي أحمد</v>
      </c>
      <c r="B548" s="2">
        <f ca="1">IFERROR(__xludf.DUMMYFUNCTION("""COMPUTED_VALUE"""),450169828460)</f>
        <v>450169828460</v>
      </c>
      <c r="C548" s="2" t="str">
        <f ca="1">IFERROR(__xludf.DUMMYFUNCTION("""COMPUTED_VALUE"""),"نانسي أحمد")</f>
        <v>نانسي أحمد</v>
      </c>
      <c r="D548" s="2">
        <f ca="1">IFERROR(__xludf.DUMMYFUNCTION("""COMPUTED_VALUE"""),2639)</f>
        <v>2639</v>
      </c>
      <c r="E548" s="2" t="str">
        <f ca="1">IFERROR(__xludf.DUMMYFUNCTION("""COMPUTED_VALUE"""),"EG04-EG05-EG06")</f>
        <v>EG04-EG05-EG06</v>
      </c>
      <c r="F548" s="2" t="str">
        <f ca="1">IFERROR(__xludf.DUMMYFUNCTION("""COMPUTED_VALUE"""),"nancyahmed9720@gmail.com")</f>
        <v>nancyahmed9720@gmail.com</v>
      </c>
      <c r="G548" s="2" t="str">
        <f ca="1">IFERROR(__xludf.DUMMYFUNCTION("""COMPUTED_VALUE"""),"01226903380")</f>
        <v>01226903380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 t="str">
        <f ca="1">IFERROR(__xludf.DUMMYFUNCTION("""COMPUTED_VALUE"""),"محمود شريف")</f>
        <v>محمود شريف</v>
      </c>
      <c r="B549" s="2">
        <f ca="1">IFERROR(__xludf.DUMMYFUNCTION("""COMPUTED_VALUE"""),982159721983)</f>
        <v>982159721983</v>
      </c>
      <c r="C549" s="2" t="str">
        <f ca="1">IFERROR(__xludf.DUMMYFUNCTION("""COMPUTED_VALUE"""),"محمود شريف")</f>
        <v>محمود شريف</v>
      </c>
      <c r="D549" s="2">
        <f ca="1">IFERROR(__xludf.DUMMYFUNCTION("""COMPUTED_VALUE"""),2658)</f>
        <v>2658</v>
      </c>
      <c r="E549" s="2" t="str">
        <f ca="1">IFERROR(__xludf.DUMMYFUNCTION("""COMPUTED_VALUE"""),"EG07-EG08-EG09-EG10")</f>
        <v>EG07-EG08-EG09-EG10</v>
      </c>
      <c r="F549" s="2" t="str">
        <f ca="1">IFERROR(__xludf.DUMMYFUNCTION("""COMPUTED_VALUE"""),"melfar836@gmail.com")</f>
        <v>melfar836@gmail.com</v>
      </c>
      <c r="G549" s="2" t="str">
        <f ca="1">IFERROR(__xludf.DUMMYFUNCTION("""COMPUTED_VALUE"""),"+201289807074")</f>
        <v>+201289807074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 t="str">
        <f ca="1">IFERROR(__xludf.DUMMYFUNCTION("""COMPUTED_VALUE"""),"ميشيل عماد")</f>
        <v>ميشيل عماد</v>
      </c>
      <c r="B550" s="2">
        <f ca="1">IFERROR(__xludf.DUMMYFUNCTION("""COMPUTED_VALUE"""),576150576975)</f>
        <v>576150576975</v>
      </c>
      <c r="C550" s="2" t="str">
        <f ca="1">IFERROR(__xludf.DUMMYFUNCTION("""COMPUTED_VALUE"""),"ميشيل عماد")</f>
        <v>ميشيل عماد</v>
      </c>
      <c r="D550" s="2">
        <f ca="1">IFERROR(__xludf.DUMMYFUNCTION("""COMPUTED_VALUE"""),2615)</f>
        <v>2615</v>
      </c>
      <c r="E550" s="2" t="str">
        <f ca="1">IFERROR(__xludf.DUMMYFUNCTION("""COMPUTED_VALUE"""),"EG07-EG08-EG09")</f>
        <v>EG07-EG08-EG09</v>
      </c>
      <c r="F550" s="2" t="str">
        <f ca="1">IFERROR(__xludf.DUMMYFUNCTION("""COMPUTED_VALUE"""),"michel.emad17@gmail.com")</f>
        <v>michel.emad17@gmail.com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 t="str">
        <f ca="1">IFERROR(__xludf.DUMMYFUNCTION("""COMPUTED_VALUE"""),"أسماء حمزة")</f>
        <v>أسماء حمزة</v>
      </c>
      <c r="B551" s="2">
        <f ca="1">IFERROR(__xludf.DUMMYFUNCTION("""COMPUTED_VALUE"""),967160462696)</f>
        <v>967160462696</v>
      </c>
      <c r="C551" s="2" t="str">
        <f ca="1">IFERROR(__xludf.DUMMYFUNCTION("""COMPUTED_VALUE"""),"أسماء حمزة")</f>
        <v>أسماء حمزة</v>
      </c>
      <c r="D551" s="2">
        <f ca="1">IFERROR(__xludf.DUMMYFUNCTION("""COMPUTED_VALUE"""),2643)</f>
        <v>2643</v>
      </c>
      <c r="E551" s="2" t="str">
        <f ca="1">IFERROR(__xludf.DUMMYFUNCTION("""COMPUTED_VALUE"""),"EG01-EG02")</f>
        <v>EG01-EG02</v>
      </c>
      <c r="F551" s="2" t="str">
        <f ca="1">IFERROR(__xludf.DUMMYFUNCTION("""COMPUTED_VALUE"""),"somahamza27@gmail.com")</f>
        <v>somahamza27@gmail.com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 t="str">
        <f ca="1">IFERROR(__xludf.DUMMYFUNCTION("""COMPUTED_VALUE"""),"شاهندة عبد العزيز")</f>
        <v>شاهندة عبد العزيز</v>
      </c>
      <c r="B552" s="2">
        <f ca="1">IFERROR(__xludf.DUMMYFUNCTION("""COMPUTED_VALUE"""),135178965350)</f>
        <v>135178965350</v>
      </c>
      <c r="C552" s="2" t="str">
        <f ca="1">IFERROR(__xludf.DUMMYFUNCTION("""COMPUTED_VALUE"""),"شاهندة عبد العزيز")</f>
        <v>شاهندة عبد العزيز</v>
      </c>
      <c r="D552" s="2">
        <f ca="1">IFERROR(__xludf.DUMMYFUNCTION("""COMPUTED_VALUE"""),2642)</f>
        <v>2642</v>
      </c>
      <c r="E552" s="2" t="str">
        <f ca="1">IFERROR(__xludf.DUMMYFUNCTION("""COMPUTED_VALUE"""),"EG01-EG02")</f>
        <v>EG01-EG02</v>
      </c>
      <c r="F552" s="2" t="str">
        <f ca="1">IFERROR(__xludf.DUMMYFUNCTION("""COMPUTED_VALUE"""),"shahendaabdulaziz98@gmail.com")</f>
        <v>shahendaabdulaziz98@gmail.com</v>
      </c>
      <c r="G552" s="2" t="str">
        <f ca="1">IFERROR(__xludf.DUMMYFUNCTION("""COMPUTED_VALUE"""),"01004298923")</f>
        <v>01004298923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 t="str">
        <f ca="1">IFERROR(__xludf.DUMMYFUNCTION("""COMPUTED_VALUE"""),"نصر صالح")</f>
        <v>نصر صالح</v>
      </c>
      <c r="B553" s="2">
        <f ca="1">IFERROR(__xludf.DUMMYFUNCTION("""COMPUTED_VALUE"""),782154150214)</f>
        <v>782154150214</v>
      </c>
      <c r="C553" s="2" t="str">
        <f ca="1">IFERROR(__xludf.DUMMYFUNCTION("""COMPUTED_VALUE"""),"نصر صالح")</f>
        <v>نصر صالح</v>
      </c>
      <c r="D553" s="2">
        <f ca="1">IFERROR(__xludf.DUMMYFUNCTION("""COMPUTED_VALUE"""),2678)</f>
        <v>2678</v>
      </c>
      <c r="E553" s="2" t="str">
        <f ca="1">IFERROR(__xludf.DUMMYFUNCTION("""COMPUTED_VALUE"""),"EG07-EG08-EG09")</f>
        <v>EG07-EG08-EG09</v>
      </c>
      <c r="F553" s="2" t="str">
        <f ca="1">IFERROR(__xludf.DUMMYFUNCTION("""COMPUTED_VALUE"""),"eng.nasrsaleh@gmail.com")</f>
        <v>eng.nasrsaleh@gmail.com</v>
      </c>
      <c r="G553" s="2" t="str">
        <f ca="1">IFERROR(__xludf.DUMMYFUNCTION("""COMPUTED_VALUE"""),"01008960199")</f>
        <v>01008960199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 t="str">
        <f ca="1">IFERROR(__xludf.DUMMYFUNCTION("""COMPUTED_VALUE"""),"دنيا منصور")</f>
        <v>دنيا منصور</v>
      </c>
      <c r="B554" s="2">
        <f ca="1">IFERROR(__xludf.DUMMYFUNCTION("""COMPUTED_VALUE"""),859191972717)</f>
        <v>859191972717</v>
      </c>
      <c r="C554" s="2" t="str">
        <f ca="1">IFERROR(__xludf.DUMMYFUNCTION("""COMPUTED_VALUE"""),"دنيا منصور")</f>
        <v>دنيا منصور</v>
      </c>
      <c r="D554" s="2">
        <f ca="1">IFERROR(__xludf.DUMMYFUNCTION("""COMPUTED_VALUE"""),2675)</f>
        <v>2675</v>
      </c>
      <c r="E554" s="2" t="str">
        <f ca="1">IFERROR(__xludf.DUMMYFUNCTION("""COMPUTED_VALUE"""),"EG04-EG05-EG06-EG10")</f>
        <v>EG04-EG05-EG06-EG10</v>
      </c>
      <c r="F554" s="2" t="str">
        <f ca="1">IFERROR(__xludf.DUMMYFUNCTION("""COMPUTED_VALUE"""),"ddoniamansour@gmail.com")</f>
        <v>ddoniamansour@gmail.com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 t="str">
        <f ca="1">IFERROR(__xludf.DUMMYFUNCTION("""COMPUTED_VALUE"""),"مصطفى عتمان")</f>
        <v>مصطفى عتمان</v>
      </c>
      <c r="B555" s="2">
        <f ca="1">IFERROR(__xludf.DUMMYFUNCTION("""COMPUTED_VALUE"""),179182107469)</f>
        <v>179182107469</v>
      </c>
      <c r="C555" s="2" t="str">
        <f ca="1">IFERROR(__xludf.DUMMYFUNCTION("""COMPUTED_VALUE"""),"مصطفى عتمان")</f>
        <v>مصطفى عتمان</v>
      </c>
      <c r="D555" s="2">
        <f ca="1">IFERROR(__xludf.DUMMYFUNCTION("""COMPUTED_VALUE"""),2676)</f>
        <v>2676</v>
      </c>
      <c r="E555" s="2" t="str">
        <f ca="1">IFERROR(__xludf.DUMMYFUNCTION("""COMPUTED_VALUE"""),"EG04-EG05-EG06")</f>
        <v>EG04-EG05-EG06</v>
      </c>
      <c r="F555" s="2" t="str">
        <f ca="1">IFERROR(__xludf.DUMMYFUNCTION("""COMPUTED_VALUE"""),"ettmanmostafa@gmail.com")</f>
        <v>ettmanmostafa@gmail.com</v>
      </c>
      <c r="G555" s="2" t="str">
        <f ca="1">IFERROR(__xludf.DUMMYFUNCTION("""COMPUTED_VALUE"""),"01002002430")</f>
        <v>01002002430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 t="str">
        <f ca="1">IFERROR(__xludf.DUMMYFUNCTION("""COMPUTED_VALUE"""),"محمد عبد الراضي")</f>
        <v>محمد عبد الراضي</v>
      </c>
      <c r="B556" s="2">
        <f ca="1">IFERROR(__xludf.DUMMYFUNCTION("""COMPUTED_VALUE"""),459169091647)</f>
        <v>459169091647</v>
      </c>
      <c r="C556" s="2" t="str">
        <f ca="1">IFERROR(__xludf.DUMMYFUNCTION("""COMPUTED_VALUE"""),"محمد عبد الراضي")</f>
        <v>محمد عبد الراضي</v>
      </c>
      <c r="D556" s="2">
        <f ca="1">IFERROR(__xludf.DUMMYFUNCTION("""COMPUTED_VALUE"""),2663)</f>
        <v>2663</v>
      </c>
      <c r="E556" s="2" t="str">
        <f ca="1">IFERROR(__xludf.DUMMYFUNCTION("""COMPUTED_VALUE"""),"EG04-EG05-EG06")</f>
        <v>EG04-EG05-EG06</v>
      </c>
      <c r="F556" s="2" t="str">
        <f ca="1">IFERROR(__xludf.DUMMYFUNCTION("""COMPUTED_VALUE"""),"mb4940749@gmail.com")</f>
        <v>mb4940749@gmail.com</v>
      </c>
      <c r="G556" s="2" t="str">
        <f ca="1">IFERROR(__xludf.DUMMYFUNCTION("""COMPUTED_VALUE"""),"01005056280")</f>
        <v>01005056280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 t="str">
        <f ca="1">IFERROR(__xludf.DUMMYFUNCTION("""COMPUTED_VALUE"""),"أحمد محمد")</f>
        <v>أحمد محمد</v>
      </c>
      <c r="B557" s="2">
        <f ca="1">IFERROR(__xludf.DUMMYFUNCTION("""COMPUTED_VALUE"""),313175709374)</f>
        <v>313175709374</v>
      </c>
      <c r="C557" s="2" t="str">
        <f ca="1">IFERROR(__xludf.DUMMYFUNCTION("""COMPUTED_VALUE"""),"أحمد محمد")</f>
        <v>أحمد محمد</v>
      </c>
      <c r="D557" s="2">
        <f ca="1">IFERROR(__xludf.DUMMYFUNCTION("""COMPUTED_VALUE"""),2764)</f>
        <v>2764</v>
      </c>
      <c r="E557" s="2" t="str">
        <f ca="1">IFERROR(__xludf.DUMMYFUNCTION("""COMPUTED_VALUE"""),"EG07-EG08-EG09")</f>
        <v>EG07-EG08-EG09</v>
      </c>
      <c r="F557" s="2" t="str">
        <f ca="1">IFERROR(__xludf.DUMMYFUNCTION("""COMPUTED_VALUE"""),"am4100@fayoum.edu.eg")</f>
        <v>am4100@fayoum.edu.eg</v>
      </c>
      <c r="G557" s="2" t="str">
        <f ca="1">IFERROR(__xludf.DUMMYFUNCTION("""COMPUTED_VALUE"""),"01098477286")</f>
        <v>01098477286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 t="str">
        <f ca="1">IFERROR(__xludf.DUMMYFUNCTION("""COMPUTED_VALUE"""),"ندى صلاح")</f>
        <v>ندى صلاح</v>
      </c>
      <c r="B558" s="2">
        <f ca="1">IFERROR(__xludf.DUMMYFUNCTION("""COMPUTED_VALUE"""),423152568123)</f>
        <v>423152568123</v>
      </c>
      <c r="C558" s="2" t="str">
        <f ca="1">IFERROR(__xludf.DUMMYFUNCTION("""COMPUTED_VALUE"""),"ندى صلاح")</f>
        <v>ندى صلاح</v>
      </c>
      <c r="D558" s="2">
        <f ca="1">IFERROR(__xludf.DUMMYFUNCTION("""COMPUTED_VALUE"""),2674)</f>
        <v>2674</v>
      </c>
      <c r="E558" s="2" t="str">
        <f ca="1">IFERROR(__xludf.DUMMYFUNCTION("""COMPUTED_VALUE"""),"EG04-EG05-EG06")</f>
        <v>EG04-EG05-EG06</v>
      </c>
      <c r="F558" s="2" t="str">
        <f ca="1">IFERROR(__xludf.DUMMYFUNCTION("""COMPUTED_VALUE"""),"ns5603341@gmail.com")</f>
        <v>ns5603341@gmail.com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 t="str">
        <f ca="1">IFERROR(__xludf.DUMMYFUNCTION("""COMPUTED_VALUE"""),"نيفين السعيد")</f>
        <v>نيفين السعيد</v>
      </c>
      <c r="B559" s="2">
        <f ca="1">IFERROR(__xludf.DUMMYFUNCTION("""COMPUTED_VALUE"""),746149714625)</f>
        <v>746149714625</v>
      </c>
      <c r="C559" s="2" t="str">
        <f ca="1">IFERROR(__xludf.DUMMYFUNCTION("""COMPUTED_VALUE"""),"نيفين السعيد")</f>
        <v>نيفين السعيد</v>
      </c>
      <c r="D559" s="2">
        <f ca="1">IFERROR(__xludf.DUMMYFUNCTION("""COMPUTED_VALUE"""),2591)</f>
        <v>2591</v>
      </c>
      <c r="E559" s="2" t="str">
        <f ca="1">IFERROR(__xludf.DUMMYFUNCTION("""COMPUTED_VALUE"""),"EG04-EG05-EG06")</f>
        <v>EG04-EG05-EG06</v>
      </c>
      <c r="F559" s="2" t="str">
        <f ca="1">IFERROR(__xludf.DUMMYFUNCTION("""COMPUTED_VALUE"""),"nsanad90@gmail.com")</f>
        <v>nsanad90@gmail.com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 t="str">
        <f ca="1">IFERROR(__xludf.DUMMYFUNCTION("""COMPUTED_VALUE"""),"أماني سعد")</f>
        <v>أماني سعد</v>
      </c>
      <c r="B560" s="2">
        <f ca="1">IFERROR(__xludf.DUMMYFUNCTION("""COMPUTED_VALUE"""),879135754897)</f>
        <v>879135754897</v>
      </c>
      <c r="C560" s="2" t="str">
        <f ca="1">IFERROR(__xludf.DUMMYFUNCTION("""COMPUTED_VALUE"""),"أماني سعد")</f>
        <v>أماني سعد</v>
      </c>
      <c r="D560" s="2">
        <f ca="1">IFERROR(__xludf.DUMMYFUNCTION("""COMPUTED_VALUE"""),2619)</f>
        <v>2619</v>
      </c>
      <c r="E560" s="2" t="str">
        <f ca="1">IFERROR(__xludf.DUMMYFUNCTION("""COMPUTED_VALUE"""),"EG01-EG02-EG03")</f>
        <v>EG01-EG02-EG03</v>
      </c>
      <c r="F560" s="2" t="str">
        <f ca="1">IFERROR(__xludf.DUMMYFUNCTION("""COMPUTED_VALUE"""),"amanianas217@gmail.com")</f>
        <v>amanianas217@gmail.com</v>
      </c>
      <c r="G560" s="2" t="str">
        <f ca="1">IFERROR(__xludf.DUMMYFUNCTION("""COMPUTED_VALUE"""),"01001014795")</f>
        <v>01001014795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 t="str">
        <f ca="1">IFERROR(__xludf.DUMMYFUNCTION("""COMPUTED_VALUE"""),"هبة حمزة")</f>
        <v>هبة حمزة</v>
      </c>
      <c r="B561" s="2">
        <f ca="1">IFERROR(__xludf.DUMMYFUNCTION("""COMPUTED_VALUE"""),393183180213)</f>
        <v>393183180213</v>
      </c>
      <c r="C561" s="2" t="str">
        <f ca="1">IFERROR(__xludf.DUMMYFUNCTION("""COMPUTED_VALUE"""),"هبة حمزة")</f>
        <v>هبة حمزة</v>
      </c>
      <c r="D561" s="2">
        <f ca="1">IFERROR(__xludf.DUMMYFUNCTION("""COMPUTED_VALUE"""),2602)</f>
        <v>2602</v>
      </c>
      <c r="E561" s="2" t="str">
        <f ca="1">IFERROR(__xludf.DUMMYFUNCTION("""COMPUTED_VALUE"""),"EG07-EG08-EG09-EG10")</f>
        <v>EG07-EG08-EG09-EG10</v>
      </c>
      <c r="F561" s="2" t="str">
        <f ca="1">IFERROR(__xludf.DUMMYFUNCTION("""COMPUTED_VALUE"""),"hebahamza662202@gmail.com")</f>
        <v>hebahamza662202@gmail.com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 t="str">
        <f ca="1">IFERROR(__xludf.DUMMYFUNCTION("""COMPUTED_VALUE"""),"حسناء الجزار")</f>
        <v>حسناء الجزار</v>
      </c>
      <c r="B562" s="2">
        <f ca="1">IFERROR(__xludf.DUMMYFUNCTION("""COMPUTED_VALUE"""),543127859795)</f>
        <v>543127859795</v>
      </c>
      <c r="C562" s="2" t="str">
        <f ca="1">IFERROR(__xludf.DUMMYFUNCTION("""COMPUTED_VALUE"""),"حسناء الجزار")</f>
        <v>حسناء الجزار</v>
      </c>
      <c r="D562" s="2">
        <f ca="1">IFERROR(__xludf.DUMMYFUNCTION("""COMPUTED_VALUE"""),2601)</f>
        <v>2601</v>
      </c>
      <c r="E562" s="2" t="str">
        <f ca="1">IFERROR(__xludf.DUMMYFUNCTION("""COMPUTED_VALUE"""),"EG04-EG05-EG06-EG07-EG08")</f>
        <v>EG04-EG05-EG06-EG07-EG08</v>
      </c>
      <c r="F562" s="2" t="str">
        <f ca="1">IFERROR(__xludf.DUMMYFUNCTION("""COMPUTED_VALUE"""),"hasnaa.seen@gmail.com")</f>
        <v>hasnaa.seen@gmail.com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 t="str">
        <f ca="1">IFERROR(__xludf.DUMMYFUNCTION("""COMPUTED_VALUE"""),"سعيد منصور")</f>
        <v>سعيد منصور</v>
      </c>
      <c r="B563" s="2">
        <f ca="1">IFERROR(__xludf.DUMMYFUNCTION("""COMPUTED_VALUE"""),282156737906)</f>
        <v>282156737906</v>
      </c>
      <c r="C563" s="2" t="str">
        <f ca="1">IFERROR(__xludf.DUMMYFUNCTION("""COMPUTED_VALUE"""),"سعيد منصور")</f>
        <v>سعيد منصور</v>
      </c>
      <c r="D563" s="2">
        <f ca="1">IFERROR(__xludf.DUMMYFUNCTION("""COMPUTED_VALUE"""),2635)</f>
        <v>2635</v>
      </c>
      <c r="E563" s="2" t="str">
        <f ca="1">IFERROR(__xludf.DUMMYFUNCTION("""COMPUTED_VALUE"""),"EG07-EG08-EG09-EG10-EG11-EG12")</f>
        <v>EG07-EG08-EG09-EG10-EG11-EG12</v>
      </c>
      <c r="F563" s="2" t="str">
        <f ca="1">IFERROR(__xludf.DUMMYFUNCTION("""COMPUTED_VALUE"""),"saedmansut@gmail.com")</f>
        <v>saedmansut@gmail.com</v>
      </c>
      <c r="G563" s="2" t="str">
        <f ca="1">IFERROR(__xludf.DUMMYFUNCTION("""COMPUTED_VALUE"""),"01018846462")</f>
        <v>01018846462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 t="str">
        <f ca="1">IFERROR(__xludf.DUMMYFUNCTION("""COMPUTED_VALUE"""),"جودة عبد العزيز")</f>
        <v>جودة عبد العزيز</v>
      </c>
      <c r="B564" s="2">
        <f ca="1">IFERROR(__xludf.DUMMYFUNCTION("""COMPUTED_VALUE"""),248148530686)</f>
        <v>248148530686</v>
      </c>
      <c r="C564" s="2" t="str">
        <f ca="1">IFERROR(__xludf.DUMMYFUNCTION("""COMPUTED_VALUE"""),"جودة عبد العزيز")</f>
        <v>جودة عبد العزيز</v>
      </c>
      <c r="D564" s="2">
        <f ca="1">IFERROR(__xludf.DUMMYFUNCTION("""COMPUTED_VALUE"""),2645)</f>
        <v>2645</v>
      </c>
      <c r="E564" s="2" t="str">
        <f ca="1">IFERROR(__xludf.DUMMYFUNCTION("""COMPUTED_VALUE"""),"EG07-EG08-EG09")</f>
        <v>EG07-EG08-EG09</v>
      </c>
      <c r="F564" s="2" t="str">
        <f ca="1">IFERROR(__xludf.DUMMYFUNCTION("""COMPUTED_VALUE"""),"jihadgag@gmail.com")</f>
        <v>jihadgag@gmail.com</v>
      </c>
      <c r="G564" s="2">
        <f ca="1">IFERROR(__xludf.DUMMYFUNCTION("""COMPUTED_VALUE"""),1020719300)</f>
        <v>1020719300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 t="str">
        <f ca="1">IFERROR(__xludf.DUMMYFUNCTION("""COMPUTED_VALUE"""),"ناريمان الشاعر")</f>
        <v>ناريمان الشاعر</v>
      </c>
      <c r="B565" s="2">
        <f ca="1">IFERROR(__xludf.DUMMYFUNCTION("""COMPUTED_VALUE"""),390140483239)</f>
        <v>390140483239</v>
      </c>
      <c r="C565" s="2" t="str">
        <f ca="1">IFERROR(__xludf.DUMMYFUNCTION("""COMPUTED_VALUE"""),"ناريمان الشاعر")</f>
        <v>ناريمان الشاعر</v>
      </c>
      <c r="D565" s="2">
        <f ca="1">IFERROR(__xludf.DUMMYFUNCTION("""COMPUTED_VALUE"""),2671)</f>
        <v>2671</v>
      </c>
      <c r="E565" s="2" t="str">
        <f ca="1">IFERROR(__xludf.DUMMYFUNCTION("""COMPUTED_VALUE"""),"EG04-EG05-EG06")</f>
        <v>EG04-EG05-EG06</v>
      </c>
      <c r="F565" s="2" t="str">
        <f ca="1">IFERROR(__xludf.DUMMYFUNCTION("""COMPUTED_VALUE"""),"narimanelshaer29@gmail.com")</f>
        <v>narimanelshaer29@gmail.com</v>
      </c>
      <c r="G565" s="2" t="str">
        <f ca="1">IFERROR(__xludf.DUMMYFUNCTION("""COMPUTED_VALUE"""),"01068481234")</f>
        <v>01068481234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 t="str">
        <f ca="1">IFERROR(__xludf.DUMMYFUNCTION("""COMPUTED_VALUE"""),"ياسمين إيهاب")</f>
        <v>ياسمين إيهاب</v>
      </c>
      <c r="B566" s="2">
        <f ca="1">IFERROR(__xludf.DUMMYFUNCTION("""COMPUTED_VALUE"""),206164640790)</f>
        <v>206164640790</v>
      </c>
      <c r="C566" s="2" t="str">
        <f ca="1">IFERROR(__xludf.DUMMYFUNCTION("""COMPUTED_VALUE"""),"ياسمين إيهاب")</f>
        <v>ياسمين إيهاب</v>
      </c>
      <c r="D566" s="2">
        <f ca="1">IFERROR(__xludf.DUMMYFUNCTION("""COMPUTED_VALUE"""),2623)</f>
        <v>2623</v>
      </c>
      <c r="E566" s="2" t="str">
        <f ca="1">IFERROR(__xludf.DUMMYFUNCTION("""COMPUTED_VALUE"""),"EG01-EG02-EG03-EG04-EG05-EG06")</f>
        <v>EG01-EG02-EG03-EG04-EG05-EG06</v>
      </c>
      <c r="F566" s="2" t="str">
        <f ca="1">IFERROR(__xludf.DUMMYFUNCTION("""COMPUTED_VALUE"""),"yasmin.ihab.abdelwahed@hotmail.com")</f>
        <v>yasmin.ihab.abdelwahed@hotmail.com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 t="str">
        <f ca="1">IFERROR(__xludf.DUMMYFUNCTION("""COMPUTED_VALUE"""),"سعد بحيري")</f>
        <v>سعد بحيري</v>
      </c>
      <c r="B567" s="2">
        <f ca="1">IFERROR(__xludf.DUMMYFUNCTION("""COMPUTED_VALUE"""),524121597260)</f>
        <v>524121597260</v>
      </c>
      <c r="C567" s="2" t="str">
        <f ca="1">IFERROR(__xludf.DUMMYFUNCTION("""COMPUTED_VALUE"""),"سعد بحيري")</f>
        <v>سعد بحيري</v>
      </c>
      <c r="D567" s="2">
        <f ca="1">IFERROR(__xludf.DUMMYFUNCTION("""COMPUTED_VALUE"""),2608)</f>
        <v>2608</v>
      </c>
      <c r="E567" s="2" t="str">
        <f ca="1">IFERROR(__xludf.DUMMYFUNCTION("""COMPUTED_VALUE"""),"EG04-EG05-EG06-EG07-EG08")</f>
        <v>EG04-EG05-EG06-EG07-EG08</v>
      </c>
      <c r="F567" s="2" t="str">
        <f ca="1">IFERROR(__xludf.DUMMYFUNCTION("""COMPUTED_VALUE"""),"saadbehery13@gmail.com")</f>
        <v>saadbehery13@gmail.com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 t="str">
        <f ca="1">IFERROR(__xludf.DUMMYFUNCTION("""COMPUTED_VALUE"""),"أسماء صابر")</f>
        <v>أسماء صابر</v>
      </c>
      <c r="B568" s="2">
        <f ca="1">IFERROR(__xludf.DUMMYFUNCTION("""COMPUTED_VALUE"""),690175608128)</f>
        <v>690175608128</v>
      </c>
      <c r="C568" s="2" t="str">
        <f ca="1">IFERROR(__xludf.DUMMYFUNCTION("""COMPUTED_VALUE"""),"أسماء صابر")</f>
        <v>أسماء صابر</v>
      </c>
      <c r="D568" s="2">
        <f ca="1">IFERROR(__xludf.DUMMYFUNCTION("""COMPUTED_VALUE"""),2680)</f>
        <v>2680</v>
      </c>
      <c r="E568" s="2" t="str">
        <f ca="1">IFERROR(__xludf.DUMMYFUNCTION("""COMPUTED_VALUE"""),"EG03-EG04-EG05-EG06")</f>
        <v>EG03-EG04-EG05-EG06</v>
      </c>
      <c r="F568" s="2" t="str">
        <f ca="1">IFERROR(__xludf.DUMMYFUNCTION("""COMPUTED_VALUE"""),"math.department.eg@gmail.com")</f>
        <v>math.department.eg@gmail.com</v>
      </c>
      <c r="G568" s="2" t="str">
        <f ca="1">IFERROR(__xludf.DUMMYFUNCTION("""COMPUTED_VALUE"""),"01016652043")</f>
        <v>01016652043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 t="str">
        <f ca="1">IFERROR(__xludf.DUMMYFUNCTION("""COMPUTED_VALUE"""),"ياسمين زكي")</f>
        <v>ياسمين زكي</v>
      </c>
      <c r="B569" s="2">
        <f ca="1">IFERROR(__xludf.DUMMYFUNCTION("""COMPUTED_VALUE"""),302164164286)</f>
        <v>302164164286</v>
      </c>
      <c r="C569" s="2" t="str">
        <f ca="1">IFERROR(__xludf.DUMMYFUNCTION("""COMPUTED_VALUE"""),"ياسمين زكي")</f>
        <v>ياسمين زكي</v>
      </c>
      <c r="D569" s="2">
        <f ca="1">IFERROR(__xludf.DUMMYFUNCTION("""COMPUTED_VALUE"""),2685)</f>
        <v>2685</v>
      </c>
      <c r="E569" s="2" t="str">
        <f ca="1">IFERROR(__xludf.DUMMYFUNCTION("""COMPUTED_VALUE"""),"EG04-EG05")</f>
        <v>EG04-EG05</v>
      </c>
      <c r="F569" s="2" t="str">
        <f ca="1">IFERROR(__xludf.DUMMYFUNCTION("""COMPUTED_VALUE"""),"yasmin.t.zaki@gmail.com")</f>
        <v>yasmin.t.zaki@gmail.com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 t="str">
        <f ca="1">IFERROR(__xludf.DUMMYFUNCTION("""COMPUTED_VALUE"""),"هبة كمال")</f>
        <v>هبة كمال</v>
      </c>
      <c r="B570" s="2">
        <f ca="1">IFERROR(__xludf.DUMMYFUNCTION("""COMPUTED_VALUE"""),767182953239)</f>
        <v>767182953239</v>
      </c>
      <c r="C570" s="2" t="str">
        <f ca="1">IFERROR(__xludf.DUMMYFUNCTION("""COMPUTED_VALUE"""),"هبة كمال")</f>
        <v>هبة كمال</v>
      </c>
      <c r="D570" s="2">
        <f ca="1">IFERROR(__xludf.DUMMYFUNCTION("""COMPUTED_VALUE"""),2688)</f>
        <v>2688</v>
      </c>
      <c r="E570" s="2" t="str">
        <f ca="1">IFERROR(__xludf.DUMMYFUNCTION("""COMPUTED_VALUE"""),"EG01-EG02-EG03-EG04-EG05-EG06")</f>
        <v>EG01-EG02-EG03-EG04-EG05-EG06</v>
      </c>
      <c r="F570" s="2" t="str">
        <f ca="1">IFERROR(__xludf.DUMMYFUNCTION("""COMPUTED_VALUE"""),"hebakamal1991@gmail.com")</f>
        <v>hebakamal1991@gmail.com</v>
      </c>
      <c r="G570" s="2" t="str">
        <f ca="1">IFERROR(__xludf.DUMMYFUNCTION("""COMPUTED_VALUE"""),"01129502289")</f>
        <v>01129502289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 t="str">
        <f ca="1">IFERROR(__xludf.DUMMYFUNCTION("""COMPUTED_VALUE"""),"أسماء النوبي")</f>
        <v>أسماء النوبي</v>
      </c>
      <c r="B571" s="2">
        <f ca="1">IFERROR(__xludf.DUMMYFUNCTION("""COMPUTED_VALUE"""),203121294150)</f>
        <v>203121294150</v>
      </c>
      <c r="C571" s="2" t="str">
        <f ca="1">IFERROR(__xludf.DUMMYFUNCTION("""COMPUTED_VALUE"""),"أسماء النوبي")</f>
        <v>أسماء النوبي</v>
      </c>
      <c r="D571" s="2">
        <f ca="1">IFERROR(__xludf.DUMMYFUNCTION("""COMPUTED_VALUE"""),2262)</f>
        <v>2262</v>
      </c>
      <c r="E571" s="2" t="str">
        <f ca="1">IFERROR(__xludf.DUMMYFUNCTION("""COMPUTED_VALUE"""),"EG03-EG04-EG05-EG06")</f>
        <v>EG03-EG04-EG05-EG06</v>
      </c>
      <c r="F571" s="2" t="str">
        <f ca="1">IFERROR(__xludf.DUMMYFUNCTION("""COMPUTED_VALUE"""),"asmaa.elnoubi@gmail.com")</f>
        <v>asmaa.elnoubi@gmail.com</v>
      </c>
      <c r="G571" s="2" t="str">
        <f ca="1">IFERROR(__xludf.DUMMYFUNCTION("""COMPUTED_VALUE"""),"01270115158")</f>
        <v>01270115158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 t="str">
        <f ca="1">IFERROR(__xludf.DUMMYFUNCTION("""COMPUTED_VALUE"""),"ريهام عادل")</f>
        <v>ريهام عادل</v>
      </c>
      <c r="B572" s="2">
        <f ca="1">IFERROR(__xludf.DUMMYFUNCTION("""COMPUTED_VALUE"""),370154903174)</f>
        <v>370154903174</v>
      </c>
      <c r="C572" s="2" t="str">
        <f ca="1">IFERROR(__xludf.DUMMYFUNCTION("""COMPUTED_VALUE"""),"ريهام عادل")</f>
        <v>ريهام عادل</v>
      </c>
      <c r="D572" s="2">
        <f ca="1">IFERROR(__xludf.DUMMYFUNCTION("""COMPUTED_VALUE"""),2733)</f>
        <v>2733</v>
      </c>
      <c r="E572" s="2" t="str">
        <f ca="1">IFERROR(__xludf.DUMMYFUNCTION("""COMPUTED_VALUE"""),"EG04-EG05-EG06-EG07")</f>
        <v>EG04-EG05-EG06-EG07</v>
      </c>
      <c r="F572" s="2" t="str">
        <f ca="1">IFERROR(__xludf.DUMMYFUNCTION("""COMPUTED_VALUE"""),"reham.3adel@hotmail.com")</f>
        <v>reham.3adel@hotmail.com</v>
      </c>
      <c r="G572" s="2" t="str">
        <f ca="1">IFERROR(__xludf.DUMMYFUNCTION("""COMPUTED_VALUE"""),"01114564985")</f>
        <v>01114564985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 t="str">
        <f ca="1">IFERROR(__xludf.DUMMYFUNCTION("""COMPUTED_VALUE"""),"عبد الله محمد")</f>
        <v>عبد الله محمد</v>
      </c>
      <c r="B573" s="2">
        <f ca="1">IFERROR(__xludf.DUMMYFUNCTION("""COMPUTED_VALUE"""),519197286720)</f>
        <v>519197286720</v>
      </c>
      <c r="C573" s="2" t="str">
        <f ca="1">IFERROR(__xludf.DUMMYFUNCTION("""COMPUTED_VALUE"""),"عبد الله محمد")</f>
        <v>عبد الله محمد</v>
      </c>
      <c r="D573" s="2">
        <f ca="1">IFERROR(__xludf.DUMMYFUNCTION("""COMPUTED_VALUE"""),2694)</f>
        <v>2694</v>
      </c>
      <c r="E573" s="2" t="str">
        <f ca="1">IFERROR(__xludf.DUMMYFUNCTION("""COMPUTED_VALUE"""),"EG07-EG08-EG09")</f>
        <v>EG07-EG08-EG09</v>
      </c>
      <c r="F573" s="2" t="str">
        <f ca="1">IFERROR(__xludf.DUMMYFUNCTION("""COMPUTED_VALUE"""),"abdallah.mahran124@gmail.com")</f>
        <v>abdallah.mahran124@gmail.com</v>
      </c>
      <c r="G573" s="2" t="str">
        <f ca="1">IFERROR(__xludf.DUMMYFUNCTION("""COMPUTED_VALUE"""),"01004189352")</f>
        <v>01004189352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 t="str">
        <f ca="1">IFERROR(__xludf.DUMMYFUNCTION("""COMPUTED_VALUE"""),"مارينا قدسي")</f>
        <v>مارينا قدسي</v>
      </c>
      <c r="B574" s="2">
        <f ca="1">IFERROR(__xludf.DUMMYFUNCTION("""COMPUTED_VALUE"""),856163762784)</f>
        <v>856163762784</v>
      </c>
      <c r="C574" s="2" t="str">
        <f ca="1">IFERROR(__xludf.DUMMYFUNCTION("""COMPUTED_VALUE"""),"مارينا قدسي")</f>
        <v>مارينا قدسي</v>
      </c>
      <c r="D574" s="2">
        <f ca="1">IFERROR(__xludf.DUMMYFUNCTION("""COMPUTED_VALUE"""),2710)</f>
        <v>2710</v>
      </c>
      <c r="E574" s="2" t="str">
        <f ca="1">IFERROR(__xludf.DUMMYFUNCTION("""COMPUTED_VALUE"""),"EG04-EG05-EG06-EG07-EG08-EG09")</f>
        <v>EG04-EG05-EG06-EG07-EG08-EG09</v>
      </c>
      <c r="F574" s="2" t="str">
        <f ca="1">IFERROR(__xludf.DUMMYFUNCTION("""COMPUTED_VALUE"""),"sci.epistimi@gmail.com")</f>
        <v>sci.epistimi@gmail.com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 t="str">
        <f ca="1">IFERROR(__xludf.DUMMYFUNCTION("""COMPUTED_VALUE"""),"إيمان مشالي")</f>
        <v>إيمان مشالي</v>
      </c>
      <c r="B575" s="2">
        <f ca="1">IFERROR(__xludf.DUMMYFUNCTION("""COMPUTED_VALUE"""),626141382068)</f>
        <v>626141382068</v>
      </c>
      <c r="C575" s="2" t="str">
        <f ca="1">IFERROR(__xludf.DUMMYFUNCTION("""COMPUTED_VALUE"""),"إيمان مشالي")</f>
        <v>إيمان مشالي</v>
      </c>
      <c r="D575" s="2">
        <f ca="1">IFERROR(__xludf.DUMMYFUNCTION("""COMPUTED_VALUE"""),2713)</f>
        <v>2713</v>
      </c>
      <c r="E575" s="2" t="str">
        <f ca="1">IFERROR(__xludf.DUMMYFUNCTION("""COMPUTED_VALUE"""),"EG01-EG02-EG03-EG04-EG05-EG06")</f>
        <v>EG01-EG02-EG03-EG04-EG05-EG06</v>
      </c>
      <c r="F575" s="2" t="str">
        <f ca="1">IFERROR(__xludf.DUMMYFUNCTION("""COMPUTED_VALUE"""),"emanmashaly999@gmail.com")</f>
        <v>emanmashaly999@gmail.com</v>
      </c>
      <c r="G575" s="2" t="str">
        <f ca="1">IFERROR(__xludf.DUMMYFUNCTION("""COMPUTED_VALUE"""),"01099178001")</f>
        <v>01099178001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 t="str">
        <f ca="1">IFERROR(__xludf.DUMMYFUNCTION("""COMPUTED_VALUE"""),"آلاء أشرف")</f>
        <v>آلاء أشرف</v>
      </c>
      <c r="B576" s="2">
        <f ca="1">IFERROR(__xludf.DUMMYFUNCTION("""COMPUTED_VALUE"""),865163793520)</f>
        <v>865163793520</v>
      </c>
      <c r="C576" s="2" t="str">
        <f ca="1">IFERROR(__xludf.DUMMYFUNCTION("""COMPUTED_VALUE"""),"آلاء أشرف")</f>
        <v>آلاء أشرف</v>
      </c>
      <c r="D576" s="2">
        <f ca="1">IFERROR(__xludf.DUMMYFUNCTION("""COMPUTED_VALUE"""),2703)</f>
        <v>2703</v>
      </c>
      <c r="E576" s="2" t="str">
        <f ca="1">IFERROR(__xludf.DUMMYFUNCTION("""COMPUTED_VALUE"""),"EG01-EG02-EG03-EG04")</f>
        <v>EG01-EG02-EG03-EG04</v>
      </c>
      <c r="F576" s="2" t="str">
        <f ca="1">IFERROR(__xludf.DUMMYFUNCTION("""COMPUTED_VALUE"""),"alaa.work91@gmail.com")</f>
        <v>alaa.work91@gmail.com</v>
      </c>
      <c r="G576" s="2">
        <f ca="1">IFERROR(__xludf.DUMMYFUNCTION("""COMPUTED_VALUE"""),1006108593)</f>
        <v>1006108593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 t="str">
        <f ca="1">IFERROR(__xludf.DUMMYFUNCTION("""COMPUTED_VALUE"""),"منيرة مهدي")</f>
        <v>منيرة مهدي</v>
      </c>
      <c r="B577" s="2">
        <f ca="1">IFERROR(__xludf.DUMMYFUNCTION("""COMPUTED_VALUE"""),630141786235)</f>
        <v>630141786235</v>
      </c>
      <c r="C577" s="2" t="str">
        <f ca="1">IFERROR(__xludf.DUMMYFUNCTION("""COMPUTED_VALUE"""),"منيرة مهدي")</f>
        <v>منيرة مهدي</v>
      </c>
      <c r="D577" s="2">
        <f ca="1">IFERROR(__xludf.DUMMYFUNCTION("""COMPUTED_VALUE"""),2662)</f>
        <v>2662</v>
      </c>
      <c r="E577" s="2" t="str">
        <f ca="1">IFERROR(__xludf.DUMMYFUNCTION("""COMPUTED_VALUE"""),"EG04-EG05-EG06")</f>
        <v>EG04-EG05-EG06</v>
      </c>
      <c r="F577" s="2" t="str">
        <f ca="1">IFERROR(__xludf.DUMMYFUNCTION("""COMPUTED_VALUE"""),"mwnyalghzaly@gmail.com")</f>
        <v>mwnyalghzaly@gmail.com</v>
      </c>
      <c r="G577" s="2" t="str">
        <f ca="1">IFERROR(__xludf.DUMMYFUNCTION("""COMPUTED_VALUE"""),"01121870666")</f>
        <v>01121870666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 t="str">
        <f ca="1">IFERROR(__xludf.DUMMYFUNCTION("""COMPUTED_VALUE"""),"جهاد أحمد")</f>
        <v>جهاد أحمد</v>
      </c>
      <c r="B578" s="2">
        <f ca="1">IFERROR(__xludf.DUMMYFUNCTION("""COMPUTED_VALUE"""),318197043548)</f>
        <v>318197043548</v>
      </c>
      <c r="C578" s="2" t="str">
        <f ca="1">IFERROR(__xludf.DUMMYFUNCTION("""COMPUTED_VALUE"""),"جهاد أحمد")</f>
        <v>جهاد أحمد</v>
      </c>
      <c r="D578" s="2">
        <f ca="1">IFERROR(__xludf.DUMMYFUNCTION("""COMPUTED_VALUE"""),2705)</f>
        <v>2705</v>
      </c>
      <c r="E578" s="2" t="str">
        <f ca="1">IFERROR(__xludf.DUMMYFUNCTION("""COMPUTED_VALUE"""),"EG04-EG05-EG06-EG07-EG08-EG09")</f>
        <v>EG04-EG05-EG06-EG07-EG08-EG09</v>
      </c>
      <c r="F578" s="2" t="str">
        <f ca="1">IFERROR(__xludf.DUMMYFUNCTION("""COMPUTED_VALUE"""),"gehadmousa786@gmail.com")</f>
        <v>gehadmousa786@gmail.com</v>
      </c>
      <c r="G578" s="2" t="str">
        <f ca="1">IFERROR(__xludf.DUMMYFUNCTION("""COMPUTED_VALUE"""),"01022451628")</f>
        <v>01022451628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 t="str">
        <f ca="1">IFERROR(__xludf.DUMMYFUNCTION("""COMPUTED_VALUE"""),"نادية الهواري")</f>
        <v>نادية الهواري</v>
      </c>
      <c r="B579" s="2">
        <f ca="1">IFERROR(__xludf.DUMMYFUNCTION("""COMPUTED_VALUE"""),267120267316)</f>
        <v>267120267316</v>
      </c>
      <c r="C579" s="2" t="str">
        <f ca="1">IFERROR(__xludf.DUMMYFUNCTION("""COMPUTED_VALUE"""),"نادية الهواري")</f>
        <v>نادية الهواري</v>
      </c>
      <c r="D579" s="2">
        <f ca="1">IFERROR(__xludf.DUMMYFUNCTION("""COMPUTED_VALUE"""),2731)</f>
        <v>2731</v>
      </c>
      <c r="E579" s="2" t="str">
        <f ca="1">IFERROR(__xludf.DUMMYFUNCTION("""COMPUTED_VALUE"""),"EG03-EG04-EG05-EG06")</f>
        <v>EG03-EG04-EG05-EG06</v>
      </c>
      <c r="F579" s="2" t="str">
        <f ca="1">IFERROR(__xludf.DUMMYFUNCTION("""COMPUTED_VALUE"""),"nadiaabdalbast@outlook.com")</f>
        <v>nadiaabdalbast@outlook.com</v>
      </c>
      <c r="G579" s="2" t="str">
        <f ca="1">IFERROR(__xludf.DUMMYFUNCTION("""COMPUTED_VALUE"""),"01027624883")</f>
        <v>01027624883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 t="str">
        <f ca="1">IFERROR(__xludf.DUMMYFUNCTION("""COMPUTED_VALUE"""),"نيرة محمود")</f>
        <v>نيرة محمود</v>
      </c>
      <c r="B580" s="2">
        <f ca="1">IFERROR(__xludf.DUMMYFUNCTION("""COMPUTED_VALUE"""),689156982321)</f>
        <v>689156982321</v>
      </c>
      <c r="C580" s="2" t="str">
        <f ca="1">IFERROR(__xludf.DUMMYFUNCTION("""COMPUTED_VALUE"""),"نيرة محمود")</f>
        <v>نيرة محمود</v>
      </c>
      <c r="D580" s="2">
        <f ca="1">IFERROR(__xludf.DUMMYFUNCTION("""COMPUTED_VALUE"""),2690)</f>
        <v>2690</v>
      </c>
      <c r="E580" s="2" t="str">
        <f ca="1">IFERROR(__xludf.DUMMYFUNCTION("""COMPUTED_VALUE"""),"EG04-EG05-EG06")</f>
        <v>EG04-EG05-EG06</v>
      </c>
      <c r="F580" s="2" t="str">
        <f ca="1">IFERROR(__xludf.DUMMYFUNCTION("""COMPUTED_VALUE"""),"nayeramahmoed@gmail.com")</f>
        <v>nayeramahmoed@gmail.com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 t="str">
        <f ca="1">IFERROR(__xludf.DUMMYFUNCTION("""COMPUTED_VALUE"""),"فاطمة الزهراء أشرف")</f>
        <v>فاطمة الزهراء أشرف</v>
      </c>
      <c r="B581" s="2">
        <f ca="1">IFERROR(__xludf.DUMMYFUNCTION("""COMPUTED_VALUE"""),260139845925)</f>
        <v>260139845925</v>
      </c>
      <c r="C581" s="2" t="str">
        <f ca="1">IFERROR(__xludf.DUMMYFUNCTION("""COMPUTED_VALUE"""),"فاطمة الزهراء أشرف")</f>
        <v>فاطمة الزهراء أشرف</v>
      </c>
      <c r="D581" s="2">
        <f ca="1">IFERROR(__xludf.DUMMYFUNCTION("""COMPUTED_VALUE"""),2708)</f>
        <v>2708</v>
      </c>
      <c r="E581" s="2" t="str">
        <f ca="1">IFERROR(__xludf.DUMMYFUNCTION("""COMPUTED_VALUE"""),"EG03-EG04-EG05-EG06")</f>
        <v>EG03-EG04-EG05-EG06</v>
      </c>
      <c r="F581" s="2" t="str">
        <f ca="1">IFERROR(__xludf.DUMMYFUNCTION("""COMPUTED_VALUE"""),"fatmaalzhraa704@gmail.com")</f>
        <v>fatmaalzhraa704@gmail.com</v>
      </c>
      <c r="G581" s="2" t="str">
        <f ca="1">IFERROR(__xludf.DUMMYFUNCTION("""COMPUTED_VALUE"""),"01011497610")</f>
        <v>01011497610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 t="str">
        <f ca="1">IFERROR(__xludf.DUMMYFUNCTION("""COMPUTED_VALUE"""),"لمياء السعيد")</f>
        <v>لمياء السعيد</v>
      </c>
      <c r="B582" s="2">
        <f ca="1">IFERROR(__xludf.DUMMYFUNCTION("""COMPUTED_VALUE"""),868143149757)</f>
        <v>868143149757</v>
      </c>
      <c r="C582" s="2" t="str">
        <f ca="1">IFERROR(__xludf.DUMMYFUNCTION("""COMPUTED_VALUE"""),"لمياء السعيد")</f>
        <v>لمياء السعيد</v>
      </c>
      <c r="D582" s="2">
        <f ca="1">IFERROR(__xludf.DUMMYFUNCTION("""COMPUTED_VALUE"""),2672)</f>
        <v>2672</v>
      </c>
      <c r="E582" s="2" t="str">
        <f ca="1">IFERROR(__xludf.DUMMYFUNCTION("""COMPUTED_VALUE"""),"EG07-EG08-EG09")</f>
        <v>EG07-EG08-EG09</v>
      </c>
      <c r="F582" s="2" t="str">
        <f ca="1">IFERROR(__xludf.DUMMYFUNCTION("""COMPUTED_VALUE"""),"mrfthsyn962@gmail.com")</f>
        <v>mrfthsyn962@gmail.com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 t="str">
        <f ca="1">IFERROR(__xludf.DUMMYFUNCTION("""COMPUTED_VALUE"""),"دنيا علاء الدين")</f>
        <v>دنيا علاء الدين</v>
      </c>
      <c r="B583" s="2">
        <f ca="1">IFERROR(__xludf.DUMMYFUNCTION("""COMPUTED_VALUE"""),493101971496)</f>
        <v>493101971496</v>
      </c>
      <c r="C583" s="2" t="str">
        <f ca="1">IFERROR(__xludf.DUMMYFUNCTION("""COMPUTED_VALUE"""),"دنيا علاء الدين")</f>
        <v>دنيا علاء الدين</v>
      </c>
      <c r="D583" s="2">
        <f ca="1">IFERROR(__xludf.DUMMYFUNCTION("""COMPUTED_VALUE"""),2732)</f>
        <v>2732</v>
      </c>
      <c r="E583" s="2" t="str">
        <f ca="1">IFERROR(__xludf.DUMMYFUNCTION("""COMPUTED_VALUE"""),"EG04-EG05-EG06")</f>
        <v>EG04-EG05-EG06</v>
      </c>
      <c r="F583" s="2" t="str">
        <f ca="1">IFERROR(__xludf.DUMMYFUNCTION("""COMPUTED_VALUE"""),"doniaalaaeldeen13@gmail.com")</f>
        <v>doniaalaaeldeen13@gmail.com</v>
      </c>
      <c r="G583" s="2" t="str">
        <f ca="1">IFERROR(__xludf.DUMMYFUNCTION("""COMPUTED_VALUE"""),"01127447490")</f>
        <v>01127447490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 t="str">
        <f ca="1">IFERROR(__xludf.DUMMYFUNCTION("""COMPUTED_VALUE"""),"جمال سلامة")</f>
        <v>جمال سلامة</v>
      </c>
      <c r="B584" s="2">
        <f ca="1">IFERROR(__xludf.DUMMYFUNCTION("""COMPUTED_VALUE"""),158121437132)</f>
        <v>158121437132</v>
      </c>
      <c r="C584" s="2" t="str">
        <f ca="1">IFERROR(__xludf.DUMMYFUNCTION("""COMPUTED_VALUE"""),"جمال سلامة")</f>
        <v>جمال سلامة</v>
      </c>
      <c r="D584" s="2">
        <f ca="1">IFERROR(__xludf.DUMMYFUNCTION("""COMPUTED_VALUE"""),2689)</f>
        <v>2689</v>
      </c>
      <c r="E584" s="2" t="str">
        <f ca="1">IFERROR(__xludf.DUMMYFUNCTION("""COMPUTED_VALUE"""),"EG04-EG05-EG06-EG07-EG08-EG09")</f>
        <v>EG04-EG05-EG06-EG07-EG08-EG09</v>
      </c>
      <c r="F584" s="2" t="str">
        <f ca="1">IFERROR(__xludf.DUMMYFUNCTION("""COMPUTED_VALUE"""),"mr.gamal.salama@gmail.com")</f>
        <v>mr.gamal.salama@gmail.com</v>
      </c>
      <c r="G584" s="2" t="str">
        <f ca="1">IFERROR(__xludf.DUMMYFUNCTION("""COMPUTED_VALUE"""),"01119103599")</f>
        <v>01119103599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 t="str">
        <f ca="1">IFERROR(__xludf.DUMMYFUNCTION("""COMPUTED_VALUE"""),"محمد عبد الباسط")</f>
        <v>محمد عبد الباسط</v>
      </c>
      <c r="B585" s="2">
        <f ca="1">IFERROR(__xludf.DUMMYFUNCTION("""COMPUTED_VALUE"""),913159713718)</f>
        <v>913159713718</v>
      </c>
      <c r="C585" s="2" t="str">
        <f ca="1">IFERROR(__xludf.DUMMYFUNCTION("""COMPUTED_VALUE"""),"محمد عبد الباسط")</f>
        <v>محمد عبد الباسط</v>
      </c>
      <c r="D585" s="2">
        <f ca="1">IFERROR(__xludf.DUMMYFUNCTION("""COMPUTED_VALUE"""),2738)</f>
        <v>2738</v>
      </c>
      <c r="E585" s="2" t="str">
        <f ca="1">IFERROR(__xludf.DUMMYFUNCTION("""COMPUTED_VALUE"""),"EG09-EG10-EG11")</f>
        <v>EG09-EG10-EG11</v>
      </c>
      <c r="F585" s="2" t="str">
        <f ca="1">IFERROR(__xludf.DUMMYFUNCTION("""COMPUTED_VALUE"""),"mbdalbast990@gmail.com")</f>
        <v>mbdalbast990@gmail.com</v>
      </c>
      <c r="G585" s="2" t="str">
        <f ca="1">IFERROR(__xludf.DUMMYFUNCTION("""COMPUTED_VALUE"""),"01025284144")</f>
        <v>01025284144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 t="str">
        <f ca="1">IFERROR(__xludf.DUMMYFUNCTION("""COMPUTED_VALUE"""),"عمرو موافي")</f>
        <v>عمرو موافي</v>
      </c>
      <c r="B586" s="2">
        <f ca="1">IFERROR(__xludf.DUMMYFUNCTION("""COMPUTED_VALUE"""),102186959703)</f>
        <v>102186959703</v>
      </c>
      <c r="C586" s="2" t="str">
        <f ca="1">IFERROR(__xludf.DUMMYFUNCTION("""COMPUTED_VALUE"""),"عمرو موافي")</f>
        <v>عمرو موافي</v>
      </c>
      <c r="D586" s="2">
        <f ca="1">IFERROR(__xludf.DUMMYFUNCTION("""COMPUTED_VALUE"""),2684)</f>
        <v>2684</v>
      </c>
      <c r="E586" s="2" t="str">
        <f ca="1">IFERROR(__xludf.DUMMYFUNCTION("""COMPUTED_VALUE"""),"EG04-EG05-EG06-7-8")</f>
        <v>EG04-EG05-EG06-7-8</v>
      </c>
      <c r="F586" s="2" t="str">
        <f ca="1">IFERROR(__xludf.DUMMYFUNCTION("""COMPUTED_VALUE"""),"amrmowafy2025@gmail.com")</f>
        <v>amrmowafy2025@gmail.com</v>
      </c>
      <c r="G586" s="2" t="str">
        <f ca="1">IFERROR(__xludf.DUMMYFUNCTION("""COMPUTED_VALUE"""),"01004917420")</f>
        <v>01004917420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 t="str">
        <f ca="1">IFERROR(__xludf.DUMMYFUNCTION("""COMPUTED_VALUE"""),"محمد زكي")</f>
        <v>محمد زكي</v>
      </c>
      <c r="B587" s="2">
        <f ca="1">IFERROR(__xludf.DUMMYFUNCTION("""COMPUTED_VALUE"""),696138691285)</f>
        <v>696138691285</v>
      </c>
      <c r="C587" s="2" t="str">
        <f ca="1">IFERROR(__xludf.DUMMYFUNCTION("""COMPUTED_VALUE"""),"محمد زكي")</f>
        <v>محمد زكي</v>
      </c>
      <c r="D587" s="2">
        <f ca="1">IFERROR(__xludf.DUMMYFUNCTION("""COMPUTED_VALUE"""),2258)</f>
        <v>2258</v>
      </c>
      <c r="E587" s="2" t="str">
        <f ca="1">IFERROR(__xludf.DUMMYFUNCTION("""COMPUTED_VALUE"""),"EG04-EG05-EG06")</f>
        <v>EG04-EG05-EG06</v>
      </c>
      <c r="F587" s="2" t="str">
        <f ca="1">IFERROR(__xludf.DUMMYFUNCTION("""COMPUTED_VALUE"""),"egymath2020@gmail.com")</f>
        <v>egymath2020@gmail.com</v>
      </c>
      <c r="G587" s="2" t="str">
        <f ca="1">IFERROR(__xludf.DUMMYFUNCTION("""COMPUTED_VALUE"""),"01550007664")</f>
        <v>01550007664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 t="str">
        <f ca="1">IFERROR(__xludf.DUMMYFUNCTION("""COMPUTED_VALUE"""),"جيهان سمير")</f>
        <v>جيهان سمير</v>
      </c>
      <c r="B588" s="2">
        <f ca="1">IFERROR(__xludf.DUMMYFUNCTION("""COMPUTED_VALUE"""),930131871381)</f>
        <v>930131871381</v>
      </c>
      <c r="C588" s="2" t="str">
        <f ca="1">IFERROR(__xludf.DUMMYFUNCTION("""COMPUTED_VALUE"""),"جيهان سمير")</f>
        <v>جيهان سمير</v>
      </c>
      <c r="D588" s="2">
        <f ca="1">IFERROR(__xludf.DUMMYFUNCTION("""COMPUTED_VALUE"""),2715)</f>
        <v>2715</v>
      </c>
      <c r="E588" s="2" t="str">
        <f ca="1">IFERROR(__xludf.DUMMYFUNCTION("""COMPUTED_VALUE"""),"EG01-EG02-EG03-EG04-5")</f>
        <v>EG01-EG02-EG03-EG04-5</v>
      </c>
      <c r="F588" s="2" t="str">
        <f ca="1">IFERROR(__xludf.DUMMYFUNCTION("""COMPUTED_VALUE"""),"mrsgehan94@gmail.com")</f>
        <v>mrsgehan94@gmail.com</v>
      </c>
      <c r="G588" s="2">
        <f ca="1">IFERROR(__xludf.DUMMYFUNCTION("""COMPUTED_VALUE"""),1013586544)</f>
        <v>1013586544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 t="str">
        <f ca="1">IFERROR(__xludf.DUMMYFUNCTION("""COMPUTED_VALUE"""),"ندى صيام")</f>
        <v>ندى صيام</v>
      </c>
      <c r="B589" s="2">
        <f ca="1">IFERROR(__xludf.DUMMYFUNCTION("""COMPUTED_VALUE"""),435167307015)</f>
        <v>435167307015</v>
      </c>
      <c r="C589" s="2" t="str">
        <f ca="1">IFERROR(__xludf.DUMMYFUNCTION("""COMPUTED_VALUE"""),"ندى صيام")</f>
        <v>ندى صيام</v>
      </c>
      <c r="D589" s="2">
        <f ca="1">IFERROR(__xludf.DUMMYFUNCTION("""COMPUTED_VALUE"""),2723)</f>
        <v>2723</v>
      </c>
      <c r="E589" s="2" t="str">
        <f ca="1">IFERROR(__xludf.DUMMYFUNCTION("""COMPUTED_VALUE"""),"EG04-EG05-EG06")</f>
        <v>EG04-EG05-EG06</v>
      </c>
      <c r="F589" s="2" t="str">
        <f ca="1">IFERROR(__xludf.DUMMYFUNCTION("""COMPUTED_VALUE"""),"nadasiam055@gmail.com")</f>
        <v>nadasiam055@gmail.com</v>
      </c>
      <c r="G589" s="2" t="str">
        <f ca="1">IFERROR(__xludf.DUMMYFUNCTION("""COMPUTED_VALUE"""),"01025277618")</f>
        <v>01025277618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 t="str">
        <f ca="1">IFERROR(__xludf.DUMMYFUNCTION("""COMPUTED_VALUE"""),"عبد الله الكحلاوي")</f>
        <v>عبد الله الكحلاوي</v>
      </c>
      <c r="B590" s="2">
        <f ca="1">IFERROR(__xludf.DUMMYFUNCTION("""COMPUTED_VALUE"""),260127872510)</f>
        <v>260127872510</v>
      </c>
      <c r="C590" s="2" t="str">
        <f ca="1">IFERROR(__xludf.DUMMYFUNCTION("""COMPUTED_VALUE"""),"عبد الله الكحلاوي")</f>
        <v>عبد الله الكحلاوي</v>
      </c>
      <c r="D590" s="2">
        <f ca="1">IFERROR(__xludf.DUMMYFUNCTION("""COMPUTED_VALUE"""),2727)</f>
        <v>2727</v>
      </c>
      <c r="E590" s="2" t="str">
        <f ca="1">IFERROR(__xludf.DUMMYFUNCTION("""COMPUTED_VALUE"""),"EG07-EG08-EG09")</f>
        <v>EG07-EG08-EG09</v>
      </c>
      <c r="F590" s="2" t="str">
        <f ca="1">IFERROR(__xludf.DUMMYFUNCTION("""COMPUTED_VALUE"""),"abdullahelkahlawy@gmail.com")</f>
        <v>abdullahelkahlawy@gmail.com</v>
      </c>
      <c r="G590" s="2" t="str">
        <f ca="1">IFERROR(__xludf.DUMMYFUNCTION("""COMPUTED_VALUE"""),"01227491678")</f>
        <v>01227491678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 t="str">
        <f ca="1">IFERROR(__xludf.DUMMYFUNCTION("""COMPUTED_VALUE"""),"نجوى نوير")</f>
        <v>نجوى نوير</v>
      </c>
      <c r="B591" s="2">
        <f ca="1">IFERROR(__xludf.DUMMYFUNCTION("""COMPUTED_VALUE"""),219178041630)</f>
        <v>219178041630</v>
      </c>
      <c r="C591" s="2" t="str">
        <f ca="1">IFERROR(__xludf.DUMMYFUNCTION("""COMPUTED_VALUE"""),"نجوى نوير")</f>
        <v>نجوى نوير</v>
      </c>
      <c r="D591" s="2">
        <f ca="1">IFERROR(__xludf.DUMMYFUNCTION("""COMPUTED_VALUE"""),2686)</f>
        <v>2686</v>
      </c>
      <c r="E591" s="2" t="str">
        <f ca="1">IFERROR(__xludf.DUMMYFUNCTION("""COMPUTED_VALUE"""),"EG04-EG05-EG06 ")</f>
        <v xml:space="preserve">EG04-EG05-EG06 </v>
      </c>
      <c r="F591" s="2" t="str">
        <f ca="1">IFERROR(__xludf.DUMMYFUNCTION("""COMPUTED_VALUE"""),"nagwaneweir@gmail.com")</f>
        <v>nagwaneweir@gmail.com</v>
      </c>
      <c r="G591" s="2" t="str">
        <f ca="1">IFERROR(__xludf.DUMMYFUNCTION("""COMPUTED_VALUE"""),"01000321191")</f>
        <v>01000321191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 t="str">
        <f ca="1">IFERROR(__xludf.DUMMYFUNCTION("""COMPUTED_VALUE"""),"إسراء حسن")</f>
        <v>إسراء حسن</v>
      </c>
      <c r="B592" s="2">
        <f ca="1">IFERROR(__xludf.DUMMYFUNCTION("""COMPUTED_VALUE"""),898189620783)</f>
        <v>898189620783</v>
      </c>
      <c r="C592" s="2" t="str">
        <f ca="1">IFERROR(__xludf.DUMMYFUNCTION("""COMPUTED_VALUE"""),"إسراء حسن")</f>
        <v>إسراء حسن</v>
      </c>
      <c r="D592" s="2">
        <f ca="1">IFERROR(__xludf.DUMMYFUNCTION("""COMPUTED_VALUE"""),2711)</f>
        <v>2711</v>
      </c>
      <c r="E592" s="2" t="str">
        <f ca="1">IFERROR(__xludf.DUMMYFUNCTION("""COMPUTED_VALUE"""),"G10")</f>
        <v>G10</v>
      </c>
      <c r="F592" s="2" t="str">
        <f ca="1">IFERROR(__xludf.DUMMYFUNCTION("""COMPUTED_VALUE"""),"israahassansh97@gmail.com")</f>
        <v>israahassansh97@gmail.com</v>
      </c>
      <c r="G592" s="2" t="str">
        <f ca="1">IFERROR(__xludf.DUMMYFUNCTION("""COMPUTED_VALUE"""),"01228144187")</f>
        <v>01228144187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 t="str">
        <f ca="1">IFERROR(__xludf.DUMMYFUNCTION("""COMPUTED_VALUE"""),"معاذ خالد")</f>
        <v>معاذ خالد</v>
      </c>
      <c r="B593" s="2">
        <f ca="1">IFERROR(__xludf.DUMMYFUNCTION("""COMPUTED_VALUE"""),248108614245)</f>
        <v>248108614245</v>
      </c>
      <c r="C593" s="2" t="str">
        <f ca="1">IFERROR(__xludf.DUMMYFUNCTION("""COMPUTED_VALUE"""),"معاذ خالد")</f>
        <v>معاذ خالد</v>
      </c>
      <c r="D593" s="2">
        <f ca="1">IFERROR(__xludf.DUMMYFUNCTION("""COMPUTED_VALUE"""),2714)</f>
        <v>2714</v>
      </c>
      <c r="E593" s="2" t="str">
        <f ca="1">IFERROR(__xludf.DUMMYFUNCTION("""COMPUTED_VALUE"""),"EG03-EG04-EG05-EG06-EG07-EG08-EG09")</f>
        <v>EG03-EG04-EG05-EG06-EG07-EG08-EG09</v>
      </c>
      <c r="F593" s="2" t="str">
        <f ca="1">IFERROR(__xludf.DUMMYFUNCTION("""COMPUTED_VALUE"""),"moazkhalid37@gmail.com")</f>
        <v>moazkhalid37@gmail.com</v>
      </c>
      <c r="G593" s="2" t="str">
        <f ca="1">IFERROR(__xludf.DUMMYFUNCTION("""COMPUTED_VALUE"""),"01030350227")</f>
        <v>01030350227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 t="str">
        <f ca="1">IFERROR(__xludf.DUMMYFUNCTION("""COMPUTED_VALUE"""),"هناء الأمير")</f>
        <v>هناء الأمير</v>
      </c>
      <c r="B594" s="2">
        <f ca="1">IFERROR(__xludf.DUMMYFUNCTION("""COMPUTED_VALUE"""),706121920140)</f>
        <v>706121920140</v>
      </c>
      <c r="C594" s="2" t="str">
        <f ca="1">IFERROR(__xludf.DUMMYFUNCTION("""COMPUTED_VALUE"""),"هناء الأمير")</f>
        <v>هناء الأمير</v>
      </c>
      <c r="D594" s="2">
        <f ca="1">IFERROR(__xludf.DUMMYFUNCTION("""COMPUTED_VALUE"""),2724)</f>
        <v>2724</v>
      </c>
      <c r="E594" s="2" t="str">
        <f ca="1">IFERROR(__xludf.DUMMYFUNCTION("""COMPUTED_VALUE"""),"EG04-EG05-EG06-EG07")</f>
        <v>EG04-EG05-EG06-EG07</v>
      </c>
      <c r="F594" s="2" t="str">
        <f ca="1">IFERROR(__xludf.DUMMYFUNCTION("""COMPUTED_VALUE"""),"hanaaelamir7@gmail.com")</f>
        <v>hanaaelamir7@gmail.com</v>
      </c>
      <c r="G594" s="2" t="str">
        <f ca="1">IFERROR(__xludf.DUMMYFUNCTION("""COMPUTED_VALUE"""),"01003088300")</f>
        <v>01003088300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 t="str">
        <f ca="1">IFERROR(__xludf.DUMMYFUNCTION("""COMPUTED_VALUE"""),"أحمد نسيم")</f>
        <v>أحمد نسيم</v>
      </c>
      <c r="B595" s="2">
        <f ca="1">IFERROR(__xludf.DUMMYFUNCTION("""COMPUTED_VALUE"""),916186078296)</f>
        <v>916186078296</v>
      </c>
      <c r="C595" s="2" t="str">
        <f ca="1">IFERROR(__xludf.DUMMYFUNCTION("""COMPUTED_VALUE"""),"أحمد نسيم")</f>
        <v>أحمد نسيم</v>
      </c>
      <c r="D595" s="2">
        <f ca="1">IFERROR(__xludf.DUMMYFUNCTION("""COMPUTED_VALUE"""),2709)</f>
        <v>2709</v>
      </c>
      <c r="E595" s="2" t="str">
        <f ca="1">IFERROR(__xludf.DUMMYFUNCTION("""COMPUTED_VALUE"""),"EG04-EG05-EG06")</f>
        <v>EG04-EG05-EG06</v>
      </c>
      <c r="F595" s="2" t="str">
        <f ca="1">IFERROR(__xludf.DUMMYFUNCTION("""COMPUTED_VALUE"""),"nesahmed2@gmail.com")</f>
        <v>nesahmed2@gmail.com</v>
      </c>
      <c r="G595" s="2" t="str">
        <f ca="1">IFERROR(__xludf.DUMMYFUNCTION("""COMPUTED_VALUE"""),"01068231011")</f>
        <v>01068231011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 t="str">
        <f ca="1">IFERROR(__xludf.DUMMYFUNCTION("""COMPUTED_VALUE"""),"سارة سعيد")</f>
        <v>سارة سعيد</v>
      </c>
      <c r="B596" s="2">
        <f ca="1">IFERROR(__xludf.DUMMYFUNCTION("""COMPUTED_VALUE"""),923168406232)</f>
        <v>923168406232</v>
      </c>
      <c r="C596" s="2" t="str">
        <f ca="1">IFERROR(__xludf.DUMMYFUNCTION("""COMPUTED_VALUE"""),"سارة سعيد")</f>
        <v>سارة سعيد</v>
      </c>
      <c r="D596" s="2">
        <f ca="1">IFERROR(__xludf.DUMMYFUNCTION("""COMPUTED_VALUE"""),2735)</f>
        <v>2735</v>
      </c>
      <c r="E596" s="2" t="str">
        <f ca="1">IFERROR(__xludf.DUMMYFUNCTION("""COMPUTED_VALUE"""),"EG01-EG02-EG03-EG04-EG05-EG06")</f>
        <v>EG01-EG02-EG03-EG04-EG05-EG06</v>
      </c>
      <c r="F596" s="2" t="str">
        <f ca="1">IFERROR(__xludf.DUMMYFUNCTION("""COMPUTED_VALUE"""),"sosajojo29@gmail.com")</f>
        <v>sosajojo29@gmail.com</v>
      </c>
      <c r="G596" s="2" t="str">
        <f ca="1">IFERROR(__xludf.DUMMYFUNCTION("""COMPUTED_VALUE"""),"01211339318")</f>
        <v>01211339318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 t="str">
        <f ca="1">IFERROR(__xludf.DUMMYFUNCTION("""COMPUTED_VALUE"""),"نورهان طارق")</f>
        <v>نورهان طارق</v>
      </c>
      <c r="B597" s="2">
        <f ca="1">IFERROR(__xludf.DUMMYFUNCTION("""COMPUTED_VALUE"""),938102694209)</f>
        <v>938102694209</v>
      </c>
      <c r="C597" s="2" t="str">
        <f ca="1">IFERROR(__xludf.DUMMYFUNCTION("""COMPUTED_VALUE"""),"نورهان طارق")</f>
        <v>نورهان طارق</v>
      </c>
      <c r="D597" s="2">
        <f ca="1">IFERROR(__xludf.DUMMYFUNCTION("""COMPUTED_VALUE"""),2728)</f>
        <v>2728</v>
      </c>
      <c r="E597" s="2" t="str">
        <f ca="1">IFERROR(__xludf.DUMMYFUNCTION("""COMPUTED_VALUE"""),"EG02-EG03-EG04-EG05-EG06")</f>
        <v>EG02-EG03-EG04-EG05-EG06</v>
      </c>
      <c r="F597" s="2" t="str">
        <f ca="1">IFERROR(__xludf.DUMMYFUNCTION("""COMPUTED_VALUE"""),"nourhan866@yahoo.com")</f>
        <v>nourhan866@yahoo.com</v>
      </c>
      <c r="G597" s="2" t="str">
        <f ca="1">IFERROR(__xludf.DUMMYFUNCTION("""COMPUTED_VALUE"""),"01208185748")</f>
        <v>01208185748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 t="str">
        <f ca="1">IFERROR(__xludf.DUMMYFUNCTION("""COMPUTED_VALUE"""),"بيتر جورج")</f>
        <v>بيتر جورج</v>
      </c>
      <c r="B598" s="2">
        <f ca="1">IFERROR(__xludf.DUMMYFUNCTION("""COMPUTED_VALUE"""),643120708265)</f>
        <v>643120708265</v>
      </c>
      <c r="C598" s="2" t="str">
        <f ca="1">IFERROR(__xludf.DUMMYFUNCTION("""COMPUTED_VALUE"""),"بيتر جورج")</f>
        <v>بيتر جورج</v>
      </c>
      <c r="D598" s="2">
        <f ca="1">IFERROR(__xludf.DUMMYFUNCTION("""COMPUTED_VALUE"""),2698)</f>
        <v>2698</v>
      </c>
      <c r="E598" s="2" t="str">
        <f ca="1">IFERROR(__xludf.DUMMYFUNCTION("""COMPUTED_VALUE"""),"EG04-EG05-EG06-EG07-EG08-EG09")</f>
        <v>EG04-EG05-EG06-EG07-EG08-EG09</v>
      </c>
      <c r="F598" s="2" t="str">
        <f ca="1">IFERROR(__xludf.DUMMYFUNCTION("""COMPUTED_VALUE"""),"peter.hanna.said@gmail.com")</f>
        <v>peter.hanna.said@gmail.com</v>
      </c>
      <c r="G598" s="2" t="str">
        <f ca="1">IFERROR(__xludf.DUMMYFUNCTION("""COMPUTED_VALUE"""),"01023587845")</f>
        <v>01023587845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 t="str">
        <f ca="1">IFERROR(__xludf.DUMMYFUNCTION("""COMPUTED_VALUE"""),"مجدولين سمير")</f>
        <v>مجدولين سمير</v>
      </c>
      <c r="B599" s="2">
        <f ca="1">IFERROR(__xludf.DUMMYFUNCTION("""COMPUTED_VALUE"""),696195941685)</f>
        <v>696195941685</v>
      </c>
      <c r="C599" s="2" t="str">
        <f ca="1">IFERROR(__xludf.DUMMYFUNCTION("""COMPUTED_VALUE"""),"مجدولين سمير")</f>
        <v>مجدولين سمير</v>
      </c>
      <c r="D599" s="2">
        <f ca="1">IFERROR(__xludf.DUMMYFUNCTION("""COMPUTED_VALUE"""),2712)</f>
        <v>2712</v>
      </c>
      <c r="E599" s="2" t="str">
        <f ca="1">IFERROR(__xludf.DUMMYFUNCTION("""COMPUTED_VALUE"""),"EG04-EG05-EG06")</f>
        <v>EG04-EG05-EG06</v>
      </c>
      <c r="F599" s="2" t="str">
        <f ca="1">IFERROR(__xludf.DUMMYFUNCTION("""COMPUTED_VALUE"""),"magdolinesamir@gmail.com")</f>
        <v>magdolinesamir@gmail.com</v>
      </c>
      <c r="G599" s="2" t="str">
        <f ca="1">IFERROR(__xludf.DUMMYFUNCTION("""COMPUTED_VALUE"""),"01203034643")</f>
        <v>01203034643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 t="str">
        <f ca="1">IFERROR(__xludf.DUMMYFUNCTION("""COMPUTED_VALUE"""),"هالة عبد الحليم")</f>
        <v>هالة عبد الحليم</v>
      </c>
      <c r="B600" s="2">
        <f ca="1">IFERROR(__xludf.DUMMYFUNCTION("""COMPUTED_VALUE"""),158129191683)</f>
        <v>158129191683</v>
      </c>
      <c r="C600" s="2" t="str">
        <f ca="1">IFERROR(__xludf.DUMMYFUNCTION("""COMPUTED_VALUE"""),"هالة عبد الحليم")</f>
        <v>هالة عبد الحليم</v>
      </c>
      <c r="D600" s="2">
        <f ca="1">IFERROR(__xludf.DUMMYFUNCTION("""COMPUTED_VALUE"""),2696)</f>
        <v>2696</v>
      </c>
      <c r="E600" s="2" t="str">
        <f ca="1">IFERROR(__xludf.DUMMYFUNCTION("""COMPUTED_VALUE"""),"EG07-EG08-EG09")</f>
        <v>EG07-EG08-EG09</v>
      </c>
      <c r="F600" s="2" t="str">
        <f ca="1">IFERROR(__xludf.DUMMYFUNCTION("""COMPUTED_VALUE"""),"anazoma201088@gmail.com")</f>
        <v>anazoma201088@gmail.com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 t="str">
        <f ca="1">IFERROR(__xludf.DUMMYFUNCTION("""COMPUTED_VALUE"""),"هاجر السيد")</f>
        <v>هاجر السيد</v>
      </c>
      <c r="B601" s="2">
        <f ca="1">IFERROR(__xludf.DUMMYFUNCTION("""COMPUTED_VALUE"""),503179175428)</f>
        <v>503179175428</v>
      </c>
      <c r="C601" s="2" t="str">
        <f ca="1">IFERROR(__xludf.DUMMYFUNCTION("""COMPUTED_VALUE"""),"هاجر السيد")</f>
        <v>هاجر السيد</v>
      </c>
      <c r="D601" s="2">
        <f ca="1">IFERROR(__xludf.DUMMYFUNCTION("""COMPUTED_VALUE"""),2726)</f>
        <v>2726</v>
      </c>
      <c r="E601" s="2" t="str">
        <f ca="1">IFERROR(__xludf.DUMMYFUNCTION("""COMPUTED_VALUE"""),"EG10-EG11-EG12")</f>
        <v>EG10-EG11-EG12</v>
      </c>
      <c r="F601" s="2" t="str">
        <f ca="1">IFERROR(__xludf.DUMMYFUNCTION("""COMPUTED_VALUE"""),"hajoorhatem10@gmail.com")</f>
        <v>hajoorhatem10@gmail.com</v>
      </c>
      <c r="G601" s="2" t="str">
        <f ca="1">IFERROR(__xludf.DUMMYFUNCTION("""COMPUTED_VALUE"""),"01126234932")</f>
        <v>01126234932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 t="str">
        <f ca="1">IFERROR(__xludf.DUMMYFUNCTION("""COMPUTED_VALUE"""),"أمل عمارة")</f>
        <v>أمل عمارة</v>
      </c>
      <c r="B602" s="2">
        <f ca="1">IFERROR(__xludf.DUMMYFUNCTION("""COMPUTED_VALUE"""),320151393513)</f>
        <v>320151393513</v>
      </c>
      <c r="C602" s="2" t="str">
        <f ca="1">IFERROR(__xludf.DUMMYFUNCTION("""COMPUTED_VALUE"""),"أمل عمارة")</f>
        <v>أمل عمارة</v>
      </c>
      <c r="D602" s="2">
        <f ca="1">IFERROR(__xludf.DUMMYFUNCTION("""COMPUTED_VALUE"""),2706)</f>
        <v>2706</v>
      </c>
      <c r="E602" s="2" t="str">
        <f ca="1">IFERROR(__xludf.DUMMYFUNCTION("""COMPUTED_VALUE"""),"EG01-EG02-EG03-EG04-EG05-EG06")</f>
        <v>EG01-EG02-EG03-EG04-EG05-EG06</v>
      </c>
      <c r="F602" s="2" t="str">
        <f ca="1">IFERROR(__xludf.DUMMYFUNCTION("""COMPUTED_VALUE"""),"amalomara78@gmail.com")</f>
        <v>amalomara78@gmail.com</v>
      </c>
      <c r="G602" s="2" t="str">
        <f ca="1">IFERROR(__xludf.DUMMYFUNCTION("""COMPUTED_VALUE"""),"01278856104")</f>
        <v>01278856104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 t="str">
        <f ca="1">IFERROR(__xludf.DUMMYFUNCTION("""COMPUTED_VALUE"""),"ندى عبد الناصر")</f>
        <v>ندى عبد الناصر</v>
      </c>
      <c r="B603" s="2">
        <f ca="1">IFERROR(__xludf.DUMMYFUNCTION("""COMPUTED_VALUE"""),879189748530)</f>
        <v>879189748530</v>
      </c>
      <c r="C603" s="2" t="str">
        <f ca="1">IFERROR(__xludf.DUMMYFUNCTION("""COMPUTED_VALUE"""),"ندى عبد الناصر")</f>
        <v>ندى عبد الناصر</v>
      </c>
      <c r="D603" s="2">
        <f ca="1">IFERROR(__xludf.DUMMYFUNCTION("""COMPUTED_VALUE"""),2657)</f>
        <v>2657</v>
      </c>
      <c r="E603" s="2" t="str">
        <f ca="1">IFERROR(__xludf.DUMMYFUNCTION("""COMPUTED_VALUE"""),"EG04-EG05-EG06")</f>
        <v>EG04-EG05-EG06</v>
      </c>
      <c r="F603" s="2" t="str">
        <f ca="1">IFERROR(__xludf.DUMMYFUNCTION("""COMPUTED_VALUE"""),"ndyaldrgham@gmail.com")</f>
        <v>ndyaldrgham@gmail.com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 t="str">
        <f ca="1">IFERROR(__xludf.DUMMYFUNCTION("""COMPUTED_VALUE"""),"سهير ممدوح")</f>
        <v>سهير ممدوح</v>
      </c>
      <c r="B604" s="2">
        <f ca="1">IFERROR(__xludf.DUMMYFUNCTION("""COMPUTED_VALUE"""),609168138349)</f>
        <v>609168138349</v>
      </c>
      <c r="C604" s="2" t="str">
        <f ca="1">IFERROR(__xludf.DUMMYFUNCTION("""COMPUTED_VALUE"""),"سهير ممدوح")</f>
        <v>سهير ممدوح</v>
      </c>
      <c r="D604" s="2">
        <f ca="1">IFERROR(__xludf.DUMMYFUNCTION("""COMPUTED_VALUE"""),2630)</f>
        <v>2630</v>
      </c>
      <c r="E604" s="2" t="str">
        <f ca="1">IFERROR(__xludf.DUMMYFUNCTION("""COMPUTED_VALUE"""),"EG07-EG08-EG09")</f>
        <v>EG07-EG08-EG09</v>
      </c>
      <c r="F604" s="2" t="str">
        <f ca="1">IFERROR(__xludf.DUMMYFUNCTION("""COMPUTED_VALUE"""),"soheirmamdouh4190@gmail.com")</f>
        <v>soheirmamdouh4190@gmail.com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 t="str">
        <f ca="1">IFERROR(__xludf.DUMMYFUNCTION("""COMPUTED_VALUE"""),"إياد سيد")</f>
        <v>إياد سيد</v>
      </c>
      <c r="B605" s="2">
        <f ca="1">IFERROR(__xludf.DUMMYFUNCTION("""COMPUTED_VALUE"""),424185416756)</f>
        <v>424185416756</v>
      </c>
      <c r="C605" s="2" t="str">
        <f ca="1">IFERROR(__xludf.DUMMYFUNCTION("""COMPUTED_VALUE"""),"إياد سيد")</f>
        <v>إياد سيد</v>
      </c>
      <c r="D605" s="2">
        <f ca="1">IFERROR(__xludf.DUMMYFUNCTION("""COMPUTED_VALUE"""),2693)</f>
        <v>2693</v>
      </c>
      <c r="E605" s="2" t="str">
        <f ca="1">IFERROR(__xludf.DUMMYFUNCTION("""COMPUTED_VALUE"""),"EG04-EG05-EG06")</f>
        <v>EG04-EG05-EG06</v>
      </c>
      <c r="F605" s="2" t="str">
        <f ca="1">IFERROR(__xludf.DUMMYFUNCTION("""COMPUTED_VALUE"""),"eyadsayed2016@gmail.com")</f>
        <v>eyadsayed2016@gmail.com</v>
      </c>
      <c r="G605" s="2" t="str">
        <f ca="1">IFERROR(__xludf.DUMMYFUNCTION("""COMPUTED_VALUE"""),"01225926326")</f>
        <v>01225926326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 t="str">
        <f ca="1">IFERROR(__xludf.DUMMYFUNCTION("""COMPUTED_VALUE"""),"سمر السيد")</f>
        <v>سمر السيد</v>
      </c>
      <c r="B606" s="2">
        <f ca="1">IFERROR(__xludf.DUMMYFUNCTION("""COMPUTED_VALUE"""),953168381683)</f>
        <v>953168381683</v>
      </c>
      <c r="C606" s="2" t="str">
        <f ca="1">IFERROR(__xludf.DUMMYFUNCTION("""COMPUTED_VALUE"""),"سمر السيد")</f>
        <v>سمر السيد</v>
      </c>
      <c r="D606" s="2">
        <f ca="1">IFERROR(__xludf.DUMMYFUNCTION("""COMPUTED_VALUE"""),2667)</f>
        <v>2667</v>
      </c>
      <c r="E606" s="2" t="str">
        <f ca="1">IFERROR(__xludf.DUMMYFUNCTION("""COMPUTED_VALUE"""),"EG04-EG05-EG06")</f>
        <v>EG04-EG05-EG06</v>
      </c>
      <c r="F606" s="2" t="str">
        <f ca="1">IFERROR(__xludf.DUMMYFUNCTION("""COMPUTED_VALUE"""),"samarhtt88@gmail.com")</f>
        <v>samarhtt88@gmail.com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 t="str">
        <f ca="1">IFERROR(__xludf.DUMMYFUNCTION("""COMPUTED_VALUE"""),"عبد العال محمد")</f>
        <v>عبد العال محمد</v>
      </c>
      <c r="B607" s="2">
        <f ca="1">IFERROR(__xludf.DUMMYFUNCTION("""COMPUTED_VALUE"""),430136109307)</f>
        <v>430136109307</v>
      </c>
      <c r="C607" s="2" t="str">
        <f ca="1">IFERROR(__xludf.DUMMYFUNCTION("""COMPUTED_VALUE"""),"عبد العال محمد")</f>
        <v>عبد العال محمد</v>
      </c>
      <c r="D607" s="2">
        <f ca="1">IFERROR(__xludf.DUMMYFUNCTION("""COMPUTED_VALUE"""),2664)</f>
        <v>2664</v>
      </c>
      <c r="E607" s="2" t="str">
        <f ca="1">IFERROR(__xludf.DUMMYFUNCTION("""COMPUTED_VALUE"""),"EG07-EG08-EG09 ")</f>
        <v xml:space="preserve">EG07-EG08-EG09 </v>
      </c>
      <c r="F607" s="2" t="str">
        <f ca="1">IFERROR(__xludf.DUMMYFUNCTION("""COMPUTED_VALUE"""),"abdelaalhalawa@gmail.com")</f>
        <v>abdelaalhalawa@gmail.com</v>
      </c>
      <c r="G607" s="2" t="str">
        <f ca="1">IFERROR(__xludf.DUMMYFUNCTION("""COMPUTED_VALUE"""),"01227050389")</f>
        <v>01227050389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 t="str">
        <f ca="1">IFERROR(__xludf.DUMMYFUNCTION("""COMPUTED_VALUE"""),"نهاد صلاح")</f>
        <v>نهاد صلاح</v>
      </c>
      <c r="B608" s="2">
        <f ca="1">IFERROR(__xludf.DUMMYFUNCTION("""COMPUTED_VALUE"""),279170372636)</f>
        <v>279170372636</v>
      </c>
      <c r="C608" s="2" t="str">
        <f ca="1">IFERROR(__xludf.DUMMYFUNCTION("""COMPUTED_VALUE"""),"نهاد صلاح")</f>
        <v>نهاد صلاح</v>
      </c>
      <c r="D608" s="2">
        <f ca="1">IFERROR(__xludf.DUMMYFUNCTION("""COMPUTED_VALUE"""),2677)</f>
        <v>2677</v>
      </c>
      <c r="E608" s="2" t="str">
        <f ca="1">IFERROR(__xludf.DUMMYFUNCTION("""COMPUTED_VALUE"""),"EG03-EG04-EG05-EG06-EG07")</f>
        <v>EG03-EG04-EG05-EG06-EG07</v>
      </c>
      <c r="F608" s="2" t="str">
        <f ca="1">IFERROR(__xludf.DUMMYFUNCTION("""COMPUTED_VALUE"""),"nehadsalahalsakka@gmail.com")</f>
        <v>nehadsalahalsakka@gmail.com</v>
      </c>
      <c r="G608" s="2" t="str">
        <f ca="1">IFERROR(__xludf.DUMMYFUNCTION("""COMPUTED_VALUE"""),"01067349853")</f>
        <v>01067349853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 t="str">
        <f ca="1">IFERROR(__xludf.DUMMYFUNCTION("""COMPUTED_VALUE"""),"زينب سمير")</f>
        <v>زينب سمير</v>
      </c>
      <c r="B609" s="2">
        <f ca="1">IFERROR(__xludf.DUMMYFUNCTION("""COMPUTED_VALUE"""),762178172726)</f>
        <v>762178172726</v>
      </c>
      <c r="C609" s="2" t="str">
        <f ca="1">IFERROR(__xludf.DUMMYFUNCTION("""COMPUTED_VALUE"""),"زينب سمير")</f>
        <v>زينب سمير</v>
      </c>
      <c r="D609" s="2">
        <f ca="1">IFERROR(__xludf.DUMMYFUNCTION("""COMPUTED_VALUE"""),2720)</f>
        <v>2720</v>
      </c>
      <c r="E609" s="2" t="str">
        <f ca="1">IFERROR(__xludf.DUMMYFUNCTION("""COMPUTED_VALUE"""),"EG01-EG02-EG03-EG04-EG05-EG06")</f>
        <v>EG01-EG02-EG03-EG04-EG05-EG06</v>
      </c>
      <c r="F609" s="2" t="str">
        <f ca="1">IFERROR(__xludf.DUMMYFUNCTION("""COMPUTED_VALUE"""),"zeinabsamirsamir@gmail.com")</f>
        <v>zeinabsamirsamir@gmail.com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 t="str">
        <f ca="1">IFERROR(__xludf.DUMMYFUNCTION("""COMPUTED_VALUE"""),"ريهام هريدي")</f>
        <v>ريهام هريدي</v>
      </c>
      <c r="B610" s="2">
        <f ca="1">IFERROR(__xludf.DUMMYFUNCTION("""COMPUTED_VALUE"""),208148393089)</f>
        <v>208148393089</v>
      </c>
      <c r="C610" s="2" t="str">
        <f ca="1">IFERROR(__xludf.DUMMYFUNCTION("""COMPUTED_VALUE"""),"ريهام هريدي")</f>
        <v>ريهام هريدي</v>
      </c>
      <c r="D610" s="2">
        <f ca="1">IFERROR(__xludf.DUMMYFUNCTION("""COMPUTED_VALUE"""),2695)</f>
        <v>2695</v>
      </c>
      <c r="E610" s="2" t="str">
        <f ca="1">IFERROR(__xludf.DUMMYFUNCTION("""COMPUTED_VALUE"""),"EG01-EG02")</f>
        <v>EG01-EG02</v>
      </c>
      <c r="F610" s="2" t="str">
        <f ca="1">IFERROR(__xludf.DUMMYFUNCTION("""COMPUTED_VALUE"""),"reham.haridy17@gmail.com")</f>
        <v>reham.haridy17@gmail.com</v>
      </c>
      <c r="G610" s="2" t="str">
        <f ca="1">IFERROR(__xludf.DUMMYFUNCTION("""COMPUTED_VALUE"""),"01126620688")</f>
        <v>01126620688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 t="str">
        <f ca="1">IFERROR(__xludf.DUMMYFUNCTION("""COMPUTED_VALUE"""),"بسمة فؤاد")</f>
        <v>بسمة فؤاد</v>
      </c>
      <c r="B611" s="2">
        <f ca="1">IFERROR(__xludf.DUMMYFUNCTION("""COMPUTED_VALUE"""),548159074528)</f>
        <v>548159074528</v>
      </c>
      <c r="C611" s="2" t="str">
        <f ca="1">IFERROR(__xludf.DUMMYFUNCTION("""COMPUTED_VALUE"""),"بسمة فؤاد")</f>
        <v>بسمة فؤاد</v>
      </c>
      <c r="D611" s="2">
        <f ca="1">IFERROR(__xludf.DUMMYFUNCTION("""COMPUTED_VALUE"""),2725)</f>
        <v>2725</v>
      </c>
      <c r="E611" s="2" t="str">
        <f ca="1">IFERROR(__xludf.DUMMYFUNCTION("""COMPUTED_VALUE"""),"EG04-EG05-EG06-7")</f>
        <v>EG04-EG05-EG06-7</v>
      </c>
      <c r="F611" s="2" t="str">
        <f ca="1">IFERROR(__xludf.DUMMYFUNCTION("""COMPUTED_VALUE"""),"basma.fouad@yahoo.com")</f>
        <v>basma.fouad@yahoo.com</v>
      </c>
      <c r="G611" s="2" t="str">
        <f ca="1">IFERROR(__xludf.DUMMYFUNCTION("""COMPUTED_VALUE"""),"01099743661")</f>
        <v>01099743661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 t="str">
        <f ca="1">IFERROR(__xludf.DUMMYFUNCTION("""COMPUTED_VALUE"""),"ندى وليد")</f>
        <v>ندى وليد</v>
      </c>
      <c r="B612" s="2">
        <f ca="1">IFERROR(__xludf.DUMMYFUNCTION("""COMPUTED_VALUE"""),678163084015)</f>
        <v>678163084015</v>
      </c>
      <c r="C612" s="2" t="str">
        <f ca="1">IFERROR(__xludf.DUMMYFUNCTION("""COMPUTED_VALUE"""),"ندى وليد")</f>
        <v>ندى وليد</v>
      </c>
      <c r="D612" s="2">
        <f ca="1">IFERROR(__xludf.DUMMYFUNCTION("""COMPUTED_VALUE"""),2719)</f>
        <v>2719</v>
      </c>
      <c r="E612" s="2" t="str">
        <f ca="1">IFERROR(__xludf.DUMMYFUNCTION("""COMPUTED_VALUE"""),"EG04-EG05-EG06")</f>
        <v>EG04-EG05-EG06</v>
      </c>
      <c r="F612" s="2" t="str">
        <f ca="1">IFERROR(__xludf.DUMMYFUNCTION("""COMPUTED_VALUE"""),"nadawaleed1155@gmail.com")</f>
        <v>nadawaleed1155@gmail.com</v>
      </c>
      <c r="G612" s="2" t="str">
        <f ca="1">IFERROR(__xludf.DUMMYFUNCTION("""COMPUTED_VALUE"""),"01024516454")</f>
        <v>01024516454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 t="str">
        <f ca="1">IFERROR(__xludf.DUMMYFUNCTION("""COMPUTED_VALUE"""),"مجدي إبراهيم")</f>
        <v>مجدي إبراهيم</v>
      </c>
      <c r="B613" s="2">
        <f ca="1">IFERROR(__xludf.DUMMYFUNCTION("""COMPUTED_VALUE"""),289184740127)</f>
        <v>289184740127</v>
      </c>
      <c r="C613" s="2" t="str">
        <f ca="1">IFERROR(__xludf.DUMMYFUNCTION("""COMPUTED_VALUE"""),"مجدي إبراهيم")</f>
        <v>مجدي إبراهيم</v>
      </c>
      <c r="D613" s="2">
        <f ca="1">IFERROR(__xludf.DUMMYFUNCTION("""COMPUTED_VALUE"""),2729)</f>
        <v>2729</v>
      </c>
      <c r="E613" s="2" t="str">
        <f ca="1">IFERROR(__xludf.DUMMYFUNCTION("""COMPUTED_VALUE"""),"EG03-EG04-EG05-EG06")</f>
        <v>EG03-EG04-EG05-EG06</v>
      </c>
      <c r="F613" s="2" t="str">
        <f ca="1">IFERROR(__xludf.DUMMYFUNCTION("""COMPUTED_VALUE"""),"2025jd04@gmail.com")</f>
        <v>2025jd04@gmail.com</v>
      </c>
      <c r="G613" s="2" t="str">
        <f ca="1">IFERROR(__xludf.DUMMYFUNCTION("""COMPUTED_VALUE"""),"01288701449")</f>
        <v>01288701449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 t="str">
        <f ca="1">IFERROR(__xludf.DUMMYFUNCTION("""COMPUTED_VALUE"""),"حبيبة عادل")</f>
        <v>حبيبة عادل</v>
      </c>
      <c r="B614" s="2">
        <f ca="1">IFERROR(__xludf.DUMMYFUNCTION("""COMPUTED_VALUE"""),209172013854)</f>
        <v>209172013854</v>
      </c>
      <c r="C614" s="2" t="str">
        <f ca="1">IFERROR(__xludf.DUMMYFUNCTION("""COMPUTED_VALUE"""),"حبيبة عادل")</f>
        <v>حبيبة عادل</v>
      </c>
      <c r="D614" s="2">
        <f ca="1">IFERROR(__xludf.DUMMYFUNCTION("""COMPUTED_VALUE"""),2742)</f>
        <v>2742</v>
      </c>
      <c r="E614" s="2" t="str">
        <f ca="1">IFERROR(__xludf.DUMMYFUNCTION("""COMPUTED_VALUE"""),"EG03-EG04-EG05")</f>
        <v>EG03-EG04-EG05</v>
      </c>
      <c r="F614" s="2" t="str">
        <f ca="1">IFERROR(__xludf.DUMMYFUNCTION("""COMPUTED_VALUE"""),"habibaadel1922@gmail.com")</f>
        <v>habibaadel1922@gmail.com</v>
      </c>
      <c r="G614" s="2" t="str">
        <f ca="1">IFERROR(__xludf.DUMMYFUNCTION("""COMPUTED_VALUE"""),"01201027560")</f>
        <v>01201027560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 t="str">
        <f ca="1">IFERROR(__xludf.DUMMYFUNCTION("""COMPUTED_VALUE"""),"إيمان خليل")</f>
        <v>إيمان خليل</v>
      </c>
      <c r="B615" s="2">
        <f ca="1">IFERROR(__xludf.DUMMYFUNCTION("""COMPUTED_VALUE"""),762193489569)</f>
        <v>762193489569</v>
      </c>
      <c r="C615" s="2" t="str">
        <f ca="1">IFERROR(__xludf.DUMMYFUNCTION("""COMPUTED_VALUE"""),"إيمان خليل")</f>
        <v>إيمان خليل</v>
      </c>
      <c r="D615" s="2">
        <f ca="1">IFERROR(__xludf.DUMMYFUNCTION("""COMPUTED_VALUE"""),2740)</f>
        <v>2740</v>
      </c>
      <c r="E615" s="2" t="str">
        <f ca="1">IFERROR(__xludf.DUMMYFUNCTION("""COMPUTED_VALUE"""),"EG04-EG05-EG06")</f>
        <v>EG04-EG05-EG06</v>
      </c>
      <c r="F615" s="2" t="str">
        <f ca="1">IFERROR(__xludf.DUMMYFUNCTION("""COMPUTED_VALUE"""),"emankhalil9688896@gmail.com")</f>
        <v>emankhalil9688896@gmail.com</v>
      </c>
      <c r="G615" s="2" t="str">
        <f ca="1">IFERROR(__xludf.DUMMYFUNCTION("""COMPUTED_VALUE"""),"01211232390")</f>
        <v>01211232390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 t="str">
        <f ca="1">IFERROR(__xludf.DUMMYFUNCTION("""COMPUTED_VALUE"""),"محمد صالح")</f>
        <v>محمد صالح</v>
      </c>
      <c r="B616" s="2">
        <f ca="1">IFERROR(__xludf.DUMMYFUNCTION("""COMPUTED_VALUE"""),808120316039)</f>
        <v>808120316039</v>
      </c>
      <c r="C616" s="2" t="str">
        <f ca="1">IFERROR(__xludf.DUMMYFUNCTION("""COMPUTED_VALUE"""),"محمد صالح")</f>
        <v>محمد صالح</v>
      </c>
      <c r="D616" s="2">
        <f ca="1">IFERROR(__xludf.DUMMYFUNCTION("""COMPUTED_VALUE"""),2739)</f>
        <v>2739</v>
      </c>
      <c r="E616" s="2" t="str">
        <f ca="1">IFERROR(__xludf.DUMMYFUNCTION("""COMPUTED_VALUE"""),"EG04-EG05-EG06-EG07-EG08-EG09")</f>
        <v>EG04-EG05-EG06-EG07-EG08-EG09</v>
      </c>
      <c r="F616" s="2" t="str">
        <f ca="1">IFERROR(__xludf.DUMMYFUNCTION("""COMPUTED_VALUE"""),"doa.ly0852@gmail.com")</f>
        <v>doa.ly0852@gmail.com</v>
      </c>
      <c r="G616" s="2" t="str">
        <f ca="1">IFERROR(__xludf.DUMMYFUNCTION("""COMPUTED_VALUE"""),"0021066128934/0021556107320")</f>
        <v>0021066128934/0021556107320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 t="str">
        <f ca="1">IFERROR(__xludf.DUMMYFUNCTION("""COMPUTED_VALUE"""),"عمرو محمود")</f>
        <v>عمرو محمود</v>
      </c>
      <c r="B617" s="2">
        <f ca="1">IFERROR(__xludf.DUMMYFUNCTION("""COMPUTED_VALUE"""),434182527396)</f>
        <v>434182527396</v>
      </c>
      <c r="C617" s="2" t="str">
        <f ca="1">IFERROR(__xludf.DUMMYFUNCTION("""COMPUTED_VALUE"""),"عمرو محمود")</f>
        <v>عمرو محمود</v>
      </c>
      <c r="D617" s="2">
        <f ca="1">IFERROR(__xludf.DUMMYFUNCTION("""COMPUTED_VALUE"""),2750)</f>
        <v>2750</v>
      </c>
      <c r="E617" s="2" t="str">
        <f ca="1">IFERROR(__xludf.DUMMYFUNCTION("""COMPUTED_VALUE"""),"EG03-EG04-EG05-EG06")</f>
        <v>EG03-EG04-EG05-EG06</v>
      </c>
      <c r="F617" s="2" t="str">
        <f ca="1">IFERROR(__xludf.DUMMYFUNCTION("""COMPUTED_VALUE"""),"mrw263050@gmail.com")</f>
        <v>mrw263050@gmail.com</v>
      </c>
      <c r="G617" s="2" t="str">
        <f ca="1">IFERROR(__xludf.DUMMYFUNCTION("""COMPUTED_VALUE"""),"01032048605")</f>
        <v>01032048605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 t="str">
        <f ca="1">IFERROR(__xludf.DUMMYFUNCTION("""COMPUTED_VALUE"""),"عاصم عبد الهادي")</f>
        <v>عاصم عبد الهادي</v>
      </c>
      <c r="B618" s="2">
        <f ca="1">IFERROR(__xludf.DUMMYFUNCTION("""COMPUTED_VALUE"""),573158956591)</f>
        <v>573158956591</v>
      </c>
      <c r="C618" s="2" t="str">
        <f ca="1">IFERROR(__xludf.DUMMYFUNCTION("""COMPUTED_VALUE"""),"عاصم عبد الهادي")</f>
        <v>عاصم عبد الهادي</v>
      </c>
      <c r="D618" s="2">
        <f ca="1">IFERROR(__xludf.DUMMYFUNCTION("""COMPUTED_VALUE"""),2743)</f>
        <v>2743</v>
      </c>
      <c r="E618" s="2" t="str">
        <f ca="1">IFERROR(__xludf.DUMMYFUNCTION("""COMPUTED_VALUE"""),"EG07-EG08-EG09")</f>
        <v>EG07-EG08-EG09</v>
      </c>
      <c r="F618" s="2" t="str">
        <f ca="1">IFERROR(__xludf.DUMMYFUNCTION("""COMPUTED_VALUE"""),"dr.asemalaraby@gmail.com")</f>
        <v>dr.asemalaraby@gmail.com</v>
      </c>
      <c r="G618" s="2" t="str">
        <f ca="1">IFERROR(__xludf.DUMMYFUNCTION("""COMPUTED_VALUE"""),"01551479788")</f>
        <v>01551479788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 t="str">
        <f ca="1">IFERROR(__xludf.DUMMYFUNCTION("""COMPUTED_VALUE"""),"أسماء هاشم")</f>
        <v>أسماء هاشم</v>
      </c>
      <c r="B619" s="2">
        <f ca="1">IFERROR(__xludf.DUMMYFUNCTION("""COMPUTED_VALUE"""),105143030564)</f>
        <v>105143030564</v>
      </c>
      <c r="C619" s="2" t="str">
        <f ca="1">IFERROR(__xludf.DUMMYFUNCTION("""COMPUTED_VALUE"""),"أسماء هاشم")</f>
        <v>أسماء هاشم</v>
      </c>
      <c r="D619" s="2">
        <f ca="1">IFERROR(__xludf.DUMMYFUNCTION("""COMPUTED_VALUE"""),2753)</f>
        <v>2753</v>
      </c>
      <c r="E619" s="2" t="str">
        <f ca="1">IFERROR(__xludf.DUMMYFUNCTION("""COMPUTED_VALUE"""),"EG01-EG02-EG03-EG04-EG05-EG06")</f>
        <v>EG01-EG02-EG03-EG04-EG05-EG06</v>
      </c>
      <c r="F619" s="2" t="str">
        <f ca="1">IFERROR(__xludf.DUMMYFUNCTION("""COMPUTED_VALUE"""),"asmaa.hashim88@gmail.com")</f>
        <v>asmaa.hashim88@gmail.com</v>
      </c>
      <c r="G619" s="2" t="str">
        <f ca="1">IFERROR(__xludf.DUMMYFUNCTION("""COMPUTED_VALUE"""),"01098052277")</f>
        <v>01098052277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 t="str">
        <f ca="1">IFERROR(__xludf.DUMMYFUNCTION("""COMPUTED_VALUE"""),"آية علاء")</f>
        <v>آية علاء</v>
      </c>
      <c r="B620" s="2">
        <f ca="1">IFERROR(__xludf.DUMMYFUNCTION("""COMPUTED_VALUE"""),487176043708)</f>
        <v>487176043708</v>
      </c>
      <c r="C620" s="2" t="str">
        <f ca="1">IFERROR(__xludf.DUMMYFUNCTION("""COMPUTED_VALUE"""),"آية علاء")</f>
        <v>آية علاء</v>
      </c>
      <c r="D620" s="2">
        <f ca="1">IFERROR(__xludf.DUMMYFUNCTION("""COMPUTED_VALUE"""),2744)</f>
        <v>2744</v>
      </c>
      <c r="E620" s="2" t="str">
        <f ca="1">IFERROR(__xludf.DUMMYFUNCTION("""COMPUTED_VALUE"""),"EG04-EG05-EG06")</f>
        <v>EG04-EG05-EG06</v>
      </c>
      <c r="F620" s="2" t="str">
        <f ca="1">IFERROR(__xludf.DUMMYFUNCTION("""COMPUTED_VALUE"""),"aya.alaa85@yahoo.com")</f>
        <v>aya.alaa85@yahoo.com</v>
      </c>
      <c r="G620" s="2" t="str">
        <f ca="1">IFERROR(__xludf.DUMMYFUNCTION("""COMPUTED_VALUE"""),"01159348705")</f>
        <v>01159348705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 t="str">
        <f ca="1">IFERROR(__xludf.DUMMYFUNCTION("""COMPUTED_VALUE"""),"سالي سيد")</f>
        <v>سالي سيد</v>
      </c>
      <c r="B621" s="2">
        <f ca="1">IFERROR(__xludf.DUMMYFUNCTION("""COMPUTED_VALUE"""),953162327564)</f>
        <v>953162327564</v>
      </c>
      <c r="C621" s="2" t="str">
        <f ca="1">IFERROR(__xludf.DUMMYFUNCTION("""COMPUTED_VALUE"""),"سالي سيد")</f>
        <v>سالي سيد</v>
      </c>
      <c r="D621" s="2">
        <f ca="1">IFERROR(__xludf.DUMMYFUNCTION("""COMPUTED_VALUE"""),2741)</f>
        <v>2741</v>
      </c>
      <c r="E621" s="2" t="str">
        <f ca="1">IFERROR(__xludf.DUMMYFUNCTION("""COMPUTED_VALUE"""),"EG04-EG05-EG06")</f>
        <v>EG04-EG05-EG06</v>
      </c>
      <c r="F621" s="2" t="str">
        <f ca="1">IFERROR(__xludf.DUMMYFUNCTION("""COMPUTED_VALUE"""),"sally.sayed@yahoo.com")</f>
        <v>sally.sayed@yahoo.com</v>
      </c>
      <c r="G621" s="2" t="str">
        <f ca="1">IFERROR(__xludf.DUMMYFUNCTION("""COMPUTED_VALUE"""),"01226537936")</f>
        <v>01226537936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 t="str">
        <f ca="1">IFERROR(__xludf.DUMMYFUNCTION("""COMPUTED_VALUE"""),"عمار أسامة")</f>
        <v>عمار أسامة</v>
      </c>
      <c r="B622" s="2">
        <f ca="1">IFERROR(__xludf.DUMMYFUNCTION("""COMPUTED_VALUE"""),745160949182)</f>
        <v>745160949182</v>
      </c>
      <c r="C622" s="2" t="str">
        <f ca="1">IFERROR(__xludf.DUMMYFUNCTION("""COMPUTED_VALUE"""),"عمار أسامة")</f>
        <v>عمار أسامة</v>
      </c>
      <c r="D622" s="2">
        <f ca="1">IFERROR(__xludf.DUMMYFUNCTION("""COMPUTED_VALUE"""),2666)</f>
        <v>2666</v>
      </c>
      <c r="E622" s="2" t="str">
        <f ca="1">IFERROR(__xludf.DUMMYFUNCTION("""COMPUTED_VALUE"""),"EG07-EG08-EG09")</f>
        <v>EG07-EG08-EG09</v>
      </c>
      <c r="F622" s="2" t="str">
        <f ca="1">IFERROR(__xludf.DUMMYFUNCTION("""COMPUTED_VALUE"""),"ammar.osama0127@gmail.com")</f>
        <v>ammar.osama0127@gmail.com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 t="str">
        <f ca="1">IFERROR(__xludf.DUMMYFUNCTION("""COMPUTED_VALUE"""),"منى الشاعر")</f>
        <v>منى الشاعر</v>
      </c>
      <c r="B623" s="2">
        <f ca="1">IFERROR(__xludf.DUMMYFUNCTION("""COMPUTED_VALUE"""),759196045212)</f>
        <v>759196045212</v>
      </c>
      <c r="C623" s="2" t="str">
        <f ca="1">IFERROR(__xludf.DUMMYFUNCTION("""COMPUTED_VALUE"""),"منى الشاعر")</f>
        <v>منى الشاعر</v>
      </c>
      <c r="D623" s="2">
        <f ca="1">IFERROR(__xludf.DUMMYFUNCTION("""COMPUTED_VALUE"""),2751)</f>
        <v>2751</v>
      </c>
      <c r="E623" s="2" t="str">
        <f ca="1">IFERROR(__xludf.DUMMYFUNCTION("""COMPUTED_VALUE"""),"EG04-EG05-EG06")</f>
        <v>EG04-EG05-EG06</v>
      </c>
      <c r="F623" s="2" t="str">
        <f ca="1">IFERROR(__xludf.DUMMYFUNCTION("""COMPUTED_VALUE"""),"monakoka010@gmail.com")</f>
        <v>monakoka010@gmail.com</v>
      </c>
      <c r="G623" s="2" t="str">
        <f ca="1">IFERROR(__xludf.DUMMYFUNCTION("""COMPUTED_VALUE"""),"01141513173")</f>
        <v>01141513173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 t="str">
        <f ca="1">IFERROR(__xludf.DUMMYFUNCTION("""COMPUTED_VALUE"""),"سمير فرج")</f>
        <v>سمير فرج</v>
      </c>
      <c r="B624" s="2">
        <f ca="1">IFERROR(__xludf.DUMMYFUNCTION("""COMPUTED_VALUE"""),680125089292)</f>
        <v>680125089292</v>
      </c>
      <c r="C624" s="2" t="str">
        <f ca="1">IFERROR(__xludf.DUMMYFUNCTION("""COMPUTED_VALUE"""),"سمير فرج")</f>
        <v>سمير فرج</v>
      </c>
      <c r="D624" s="2">
        <f ca="1">IFERROR(__xludf.DUMMYFUNCTION("""COMPUTED_VALUE"""),2597)</f>
        <v>2597</v>
      </c>
      <c r="E624" s="2" t="str">
        <f ca="1">IFERROR(__xludf.DUMMYFUNCTION("""COMPUTED_VALUE"""),"EG04-EG05-EG06-EG07-EG08-EG09")</f>
        <v>EG04-EG05-EG06-EG07-EG08-EG09</v>
      </c>
      <c r="F624" s="2" t="str">
        <f ca="1">IFERROR(__xludf.DUMMYFUNCTION("""COMPUTED_VALUE"""),"mr.samiribrahim@yahoo.com")</f>
        <v>mr.samiribrahim@yahoo.com</v>
      </c>
      <c r="G624" s="2" t="str">
        <f ca="1">IFERROR(__xludf.DUMMYFUNCTION("""COMPUTED_VALUE"""),"01200100441")</f>
        <v>01200100441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 t="str">
        <f ca="1">IFERROR(__xludf.DUMMYFUNCTION("""COMPUTED_VALUE"""),"ندى علي")</f>
        <v>ندى علي</v>
      </c>
      <c r="B625" s="2">
        <f ca="1">IFERROR(__xludf.DUMMYFUNCTION("""COMPUTED_VALUE"""),406159296081)</f>
        <v>406159296081</v>
      </c>
      <c r="C625" s="2" t="str">
        <f ca="1">IFERROR(__xludf.DUMMYFUNCTION("""COMPUTED_VALUE"""),"ندى علي")</f>
        <v>ندى علي</v>
      </c>
      <c r="D625" s="2">
        <f ca="1">IFERROR(__xludf.DUMMYFUNCTION("""COMPUTED_VALUE"""),2730)</f>
        <v>2730</v>
      </c>
      <c r="E625" s="2" t="str">
        <f ca="1">IFERROR(__xludf.DUMMYFUNCTION("""COMPUTED_VALUE"""),"EG01-EG02-EG03-EG04")</f>
        <v>EG01-EG02-EG03-EG04</v>
      </c>
      <c r="F625" s="2" t="str">
        <f ca="1">IFERROR(__xludf.DUMMYFUNCTION("""COMPUTED_VALUE"""),"nadaaly58@gmail.com")</f>
        <v>nadaaly58@gmail.com</v>
      </c>
      <c r="G625" s="2" t="str">
        <f ca="1">IFERROR(__xludf.DUMMYFUNCTION("""COMPUTED_VALUE"""),"01275735695")</f>
        <v>01275735695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 t="str">
        <f ca="1">IFERROR(__xludf.DUMMYFUNCTION("""COMPUTED_VALUE"""),"هبة جمال")</f>
        <v>هبة جمال</v>
      </c>
      <c r="B626" s="2">
        <f ca="1">IFERROR(__xludf.DUMMYFUNCTION("""COMPUTED_VALUE"""),147134575647)</f>
        <v>147134575647</v>
      </c>
      <c r="C626" s="2" t="str">
        <f ca="1">IFERROR(__xludf.DUMMYFUNCTION("""COMPUTED_VALUE"""),"هبة جمال")</f>
        <v>هبة جمال</v>
      </c>
      <c r="D626" s="2">
        <f ca="1">IFERROR(__xludf.DUMMYFUNCTION("""COMPUTED_VALUE"""),2611)</f>
        <v>2611</v>
      </c>
      <c r="E626" s="2" t="str">
        <f ca="1">IFERROR(__xludf.DUMMYFUNCTION("""COMPUTED_VALUE"""),"EG07-EG08-EG09")</f>
        <v>EG07-EG08-EG09</v>
      </c>
      <c r="F626" s="2" t="str">
        <f ca="1">IFERROR(__xludf.DUMMYFUNCTION("""COMPUTED_VALUE"""),"hebagamal121@gmail.com")</f>
        <v>hebagamal121@gmail.com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 t="str">
        <f ca="1">IFERROR(__xludf.DUMMYFUNCTION("""COMPUTED_VALUE"""),"سوزان عبد الفتاح")</f>
        <v>سوزان عبد الفتاح</v>
      </c>
      <c r="B627" s="2">
        <f ca="1">IFERROR(__xludf.DUMMYFUNCTION("""COMPUTED_VALUE"""),615125769823)</f>
        <v>615125769823</v>
      </c>
      <c r="C627" s="2" t="str">
        <f ca="1">IFERROR(__xludf.DUMMYFUNCTION("""COMPUTED_VALUE"""),"سوزان عبد الفتاح")</f>
        <v>سوزان عبد الفتاح</v>
      </c>
      <c r="D627" s="2">
        <f ca="1">IFERROR(__xludf.DUMMYFUNCTION("""COMPUTED_VALUE"""),2660)</f>
        <v>2660</v>
      </c>
      <c r="E627" s="2" t="str">
        <f ca="1">IFERROR(__xludf.DUMMYFUNCTION("""COMPUTED_VALUE"""),"EG07-EG08-EG09-EG10-EG11-EG12")</f>
        <v>EG07-EG08-EG09-EG10-EG11-EG12</v>
      </c>
      <c r="F627" s="2" t="str">
        <f ca="1">IFERROR(__xludf.DUMMYFUNCTION("""COMPUTED_VALUE"""),"suzanabdelfattah997@gmail.com")</f>
        <v>suzanabdelfattah997@gmail.com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 t="str">
        <f ca="1">IFERROR(__xludf.DUMMYFUNCTION("""COMPUTED_VALUE"""),"أميرة يونس")</f>
        <v>أميرة يونس</v>
      </c>
      <c r="B628" s="2">
        <f ca="1">IFERROR(__xludf.DUMMYFUNCTION("""COMPUTED_VALUE"""),502143048426)</f>
        <v>502143048426</v>
      </c>
      <c r="C628" s="2" t="str">
        <f ca="1">IFERROR(__xludf.DUMMYFUNCTION("""COMPUTED_VALUE"""),"أميرة يونس")</f>
        <v>أميرة يونس</v>
      </c>
      <c r="D628" s="2">
        <f ca="1">IFERROR(__xludf.DUMMYFUNCTION("""COMPUTED_VALUE"""),2700)</f>
        <v>2700</v>
      </c>
      <c r="E628" s="2" t="str">
        <f ca="1">IFERROR(__xludf.DUMMYFUNCTION("""COMPUTED_VALUE"""),"EG07-EG08-EG09-EG10-EG11-EG12")</f>
        <v>EG07-EG08-EG09-EG10-EG11-EG12</v>
      </c>
      <c r="F628" s="2" t="str">
        <f ca="1">IFERROR(__xludf.DUMMYFUNCTION("""COMPUTED_VALUE"""),"amirayounes800@gmail.com")</f>
        <v>amirayounes800@gmail.com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 t="str">
        <f ca="1">IFERROR(__xludf.DUMMYFUNCTION("""COMPUTED_VALUE"""),"أشرف صبري")</f>
        <v>أشرف صبري</v>
      </c>
      <c r="B629" s="2">
        <f ca="1">IFERROR(__xludf.DUMMYFUNCTION("""COMPUTED_VALUE"""),945158431678)</f>
        <v>945158431678</v>
      </c>
      <c r="C629" s="2" t="str">
        <f ca="1">IFERROR(__xludf.DUMMYFUNCTION("""COMPUTED_VALUE"""),"أشرف صبري")</f>
        <v>أشرف صبري</v>
      </c>
      <c r="D629" s="2">
        <f ca="1">IFERROR(__xludf.DUMMYFUNCTION("""COMPUTED_VALUE"""),2683)</f>
        <v>2683</v>
      </c>
      <c r="E629" s="2" t="str">
        <f ca="1">IFERROR(__xludf.DUMMYFUNCTION("""COMPUTED_VALUE"""),"EG04-EG05-EG06-EG07-EG08-EG09")</f>
        <v>EG04-EG05-EG06-EG07-EG08-EG09</v>
      </c>
      <c r="F629" s="2" t="str">
        <f ca="1">IFERROR(__xludf.DUMMYFUNCTION("""COMPUTED_VALUE"""),"ashrafsabry310@gmail.com")</f>
        <v>ashrafsabry310@gmail.com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 t="str">
        <f ca="1">IFERROR(__xludf.DUMMYFUNCTION("""COMPUTED_VALUE"""),"آية فهمي")</f>
        <v>آية فهمي</v>
      </c>
      <c r="B630" s="2">
        <f ca="1">IFERROR(__xludf.DUMMYFUNCTION("""COMPUTED_VALUE"""),706169030428)</f>
        <v>706169030428</v>
      </c>
      <c r="C630" s="2" t="str">
        <f ca="1">IFERROR(__xludf.DUMMYFUNCTION("""COMPUTED_VALUE"""),"آية فهمي")</f>
        <v>آية فهمي</v>
      </c>
      <c r="D630" s="2">
        <f ca="1">IFERROR(__xludf.DUMMYFUNCTION("""COMPUTED_VALUE"""),2610)</f>
        <v>2610</v>
      </c>
      <c r="E630" s="2" t="str">
        <f ca="1">IFERROR(__xludf.DUMMYFUNCTION("""COMPUTED_VALUE"""),"EG01-EG02-EG03-EG04-EG05-EG06")</f>
        <v>EG01-EG02-EG03-EG04-EG05-EG06</v>
      </c>
      <c r="F630" s="2" t="str">
        <f ca="1">IFERROR(__xludf.DUMMYFUNCTION("""COMPUTED_VALUE"""),"modeayamode@gmail.com")</f>
        <v>modeayamode@gmail.com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 t="str">
        <f ca="1">IFERROR(__xludf.DUMMYFUNCTION("""COMPUTED_VALUE"""),"أحمد عرفة")</f>
        <v>أحمد عرفة</v>
      </c>
      <c r="B631" s="2">
        <f ca="1">IFERROR(__xludf.DUMMYFUNCTION("""COMPUTED_VALUE"""),204176435205)</f>
        <v>204176435205</v>
      </c>
      <c r="C631" s="2" t="str">
        <f ca="1">IFERROR(__xludf.DUMMYFUNCTION("""COMPUTED_VALUE"""),"أحمد عرفة")</f>
        <v>أحمد عرفة</v>
      </c>
      <c r="D631" s="2">
        <f ca="1">IFERROR(__xludf.DUMMYFUNCTION("""COMPUTED_VALUE"""),2651)</f>
        <v>2651</v>
      </c>
      <c r="E631" s="2" t="str">
        <f ca="1">IFERROR(__xludf.DUMMYFUNCTION("""COMPUTED_VALUE"""),"EG09-EG10-EG11-EG12")</f>
        <v>EG09-EG10-EG11-EG12</v>
      </c>
      <c r="F631" s="2" t="str">
        <f ca="1">IFERROR(__xludf.DUMMYFUNCTION("""COMPUTED_VALUE"""),"ahmedarafa294@gmail.com")</f>
        <v>ahmedarafa294@gmail.com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 t="str">
        <f ca="1">IFERROR(__xludf.DUMMYFUNCTION("""COMPUTED_VALUE"""),"حاكم محمد")</f>
        <v>حاكم محمد</v>
      </c>
      <c r="B632" s="2">
        <f ca="1">IFERROR(__xludf.DUMMYFUNCTION("""COMPUTED_VALUE"""),235192420945)</f>
        <v>235192420945</v>
      </c>
      <c r="C632" s="2" t="str">
        <f ca="1">IFERROR(__xludf.DUMMYFUNCTION("""COMPUTED_VALUE"""),"حاكم محمد")</f>
        <v>حاكم محمد</v>
      </c>
      <c r="D632" s="2">
        <f ca="1">IFERROR(__xludf.DUMMYFUNCTION("""COMPUTED_VALUE"""),2606)</f>
        <v>2606</v>
      </c>
      <c r="E632" s="2" t="str">
        <f ca="1">IFERROR(__xludf.DUMMYFUNCTION("""COMPUTED_VALUE"""),"EG07-EG08-EG09-EG10-EG11-EG12")</f>
        <v>EG07-EG08-EG09-EG10-EG11-EG12</v>
      </c>
      <c r="F632" s="2" t="str">
        <f ca="1">IFERROR(__xludf.DUMMYFUNCTION("""COMPUTED_VALUE"""),"hakem2006@gmail.com")</f>
        <v>hakem2006@gmail.com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 t="str">
        <f ca="1">IFERROR(__xludf.DUMMYFUNCTION("""COMPUTED_VALUE"""),"نهى إبراهيم")</f>
        <v>نهى إبراهيم</v>
      </c>
      <c r="B633" s="2">
        <f ca="1">IFERROR(__xludf.DUMMYFUNCTION("""COMPUTED_VALUE"""),713154590107)</f>
        <v>713154590107</v>
      </c>
      <c r="C633" s="2" t="str">
        <f ca="1">IFERROR(__xludf.DUMMYFUNCTION("""COMPUTED_VALUE"""),"نهى إبراهيم")</f>
        <v>نهى إبراهيم</v>
      </c>
      <c r="D633" s="2">
        <f ca="1">IFERROR(__xludf.DUMMYFUNCTION("""COMPUTED_VALUE"""),2691)</f>
        <v>2691</v>
      </c>
      <c r="E633" s="2" t="str">
        <f ca="1">IFERROR(__xludf.DUMMYFUNCTION("""COMPUTED_VALUE"""),"EG04-EG05-EG06")</f>
        <v>EG04-EG05-EG06</v>
      </c>
      <c r="F633" s="2" t="str">
        <f ca="1">IFERROR(__xludf.DUMMYFUNCTION("""COMPUTED_VALUE"""),"nohaibrahim1310@gmail.com")</f>
        <v>nohaibrahim1310@gmail.com</v>
      </c>
      <c r="G633" s="2">
        <f ca="1">IFERROR(__xludf.DUMMYFUNCTION("""COMPUTED_VALUE"""),1013522250)</f>
        <v>1013522250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 t="str">
        <f ca="1">IFERROR(__xludf.DUMMYFUNCTION("""COMPUTED_VALUE"""),"دعاء مصطفى")</f>
        <v>دعاء مصطفى</v>
      </c>
      <c r="B634" s="2">
        <f ca="1">IFERROR(__xludf.DUMMYFUNCTION("""COMPUTED_VALUE"""),634163474745)</f>
        <v>634163474745</v>
      </c>
      <c r="C634" s="2" t="str">
        <f ca="1">IFERROR(__xludf.DUMMYFUNCTION("""COMPUTED_VALUE"""),"دعاء مصطفى")</f>
        <v>دعاء مصطفى</v>
      </c>
      <c r="D634" s="2">
        <f ca="1">IFERROR(__xludf.DUMMYFUNCTION("""COMPUTED_VALUE"""),2722)</f>
        <v>2722</v>
      </c>
      <c r="E634" s="2" t="str">
        <f ca="1">IFERROR(__xludf.DUMMYFUNCTION("""COMPUTED_VALUE"""),"EG01-EG02-EG03-EG04-EG05-EG06")</f>
        <v>EG01-EG02-EG03-EG04-EG05-EG06</v>
      </c>
      <c r="F634" s="2" t="str">
        <f ca="1">IFERROR(__xludf.DUMMYFUNCTION("""COMPUTED_VALUE"""),"doaamostafaalis@gmail.com")</f>
        <v>doaamostafaalis@gmail.com</v>
      </c>
      <c r="G634" s="2" t="str">
        <f ca="1">IFERROR(__xludf.DUMMYFUNCTION("""COMPUTED_VALUE"""),"01012291825")</f>
        <v>01012291825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 t="str">
        <f ca="1">IFERROR(__xludf.DUMMYFUNCTION("""COMPUTED_VALUE"""),"أحمد البنا")</f>
        <v>أحمد البنا</v>
      </c>
      <c r="B635" s="2">
        <f ca="1">IFERROR(__xludf.DUMMYFUNCTION("""COMPUTED_VALUE"""),529120269683)</f>
        <v>529120269683</v>
      </c>
      <c r="C635" s="2" t="str">
        <f ca="1">IFERROR(__xludf.DUMMYFUNCTION("""COMPUTED_VALUE"""),"أحمد البنا")</f>
        <v>أحمد البنا</v>
      </c>
      <c r="D635" s="2">
        <f ca="1">IFERROR(__xludf.DUMMYFUNCTION("""COMPUTED_VALUE"""),2746)</f>
        <v>2746</v>
      </c>
      <c r="E635" s="2" t="str">
        <f ca="1">IFERROR(__xludf.DUMMYFUNCTION("""COMPUTED_VALUE"""),"EG07-EG08-EG10")</f>
        <v>EG07-EG08-EG10</v>
      </c>
      <c r="F635" s="2" t="str">
        <f ca="1">IFERROR(__xludf.DUMMYFUNCTION("""COMPUTED_VALUE"""),"ahmed.elbana91@gmail.com")</f>
        <v>ahmed.elbana91@gmail.com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 t="str">
        <f ca="1">IFERROR(__xludf.DUMMYFUNCTION("""COMPUTED_VALUE"""),"أحمد عويس")</f>
        <v>أحمد عويس</v>
      </c>
      <c r="B636" s="2">
        <f ca="1">IFERROR(__xludf.DUMMYFUNCTION("""COMPUTED_VALUE"""),790141820907)</f>
        <v>790141820907</v>
      </c>
      <c r="C636" s="2" t="str">
        <f ca="1">IFERROR(__xludf.DUMMYFUNCTION("""COMPUTED_VALUE"""),"أحمد عويس")</f>
        <v>أحمد عويس</v>
      </c>
      <c r="D636" s="2">
        <f ca="1">IFERROR(__xludf.DUMMYFUNCTION("""COMPUTED_VALUE"""),2747)</f>
        <v>2747</v>
      </c>
      <c r="E636" s="2" t="str">
        <f ca="1">IFERROR(__xludf.DUMMYFUNCTION("""COMPUTED_VALUE"""),"EG07-EG08-EG09")</f>
        <v>EG07-EG08-EG09</v>
      </c>
      <c r="F636" s="2" t="str">
        <f ca="1">IFERROR(__xludf.DUMMYFUNCTION("""COMPUTED_VALUE"""),"weyso2030@gmail.com")</f>
        <v>weyso2030@gmail.com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 t="str">
        <f ca="1">IFERROR(__xludf.DUMMYFUNCTION("""COMPUTED_VALUE"""),"ياسمين سعيد")</f>
        <v>ياسمين سعيد</v>
      </c>
      <c r="B637" s="2">
        <f ca="1">IFERROR(__xludf.DUMMYFUNCTION("""COMPUTED_VALUE"""),795161084548)</f>
        <v>795161084548</v>
      </c>
      <c r="C637" s="2" t="str">
        <f ca="1">IFERROR(__xludf.DUMMYFUNCTION("""COMPUTED_VALUE"""),"ياسمين سعيد")</f>
        <v>ياسمين سعيد</v>
      </c>
      <c r="D637" s="2">
        <f ca="1">IFERROR(__xludf.DUMMYFUNCTION("""COMPUTED_VALUE"""),2532)</f>
        <v>2532</v>
      </c>
      <c r="E637" s="2"/>
      <c r="F637" s="2" t="str">
        <f ca="1">IFERROR(__xludf.DUMMYFUNCTION("""COMPUTED_VALUE"""),"yasmiensaied90@gmail.com")</f>
        <v>yasmiensaied90@gmail.com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 t="str">
        <f ca="1">IFERROR(__xludf.DUMMYFUNCTION("""COMPUTED_VALUE"""),"أسماء العليمي")</f>
        <v>أسماء العليمي</v>
      </c>
      <c r="B638" s="2">
        <f ca="1">IFERROR(__xludf.DUMMYFUNCTION("""COMPUTED_VALUE"""),927107160421)</f>
        <v>927107160421</v>
      </c>
      <c r="C638" s="2" t="str">
        <f ca="1">IFERROR(__xludf.DUMMYFUNCTION("""COMPUTED_VALUE"""),"أسماء العليمي")</f>
        <v>أسماء العليمي</v>
      </c>
      <c r="D638" s="2">
        <f ca="1">IFERROR(__xludf.DUMMYFUNCTION("""COMPUTED_VALUE"""),2760)</f>
        <v>2760</v>
      </c>
      <c r="E638" s="2" t="str">
        <f ca="1">IFERROR(__xludf.DUMMYFUNCTION("""COMPUTED_VALUE"""),"EG01-EG02-EG03-EG04-EG05-EG06")</f>
        <v>EG01-EG02-EG03-EG04-EG05-EG06</v>
      </c>
      <c r="F638" s="2" t="str">
        <f ca="1">IFERROR(__xludf.DUMMYFUNCTION("""COMPUTED_VALUE"""),"asmaaa.elaimy@gmail.com")</f>
        <v>asmaaa.elaimy@gmail.com</v>
      </c>
      <c r="G638" s="2" t="str">
        <f ca="1">IFERROR(__xludf.DUMMYFUNCTION("""COMPUTED_VALUE"""),"01066612687")</f>
        <v>01066612687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 t="str">
        <f ca="1">IFERROR(__xludf.DUMMYFUNCTION("""COMPUTED_VALUE"""),"مونيكا إدوارد")</f>
        <v>مونيكا إدوارد</v>
      </c>
      <c r="B639" s="2">
        <f ca="1">IFERROR(__xludf.DUMMYFUNCTION("""COMPUTED_VALUE"""),194190610534)</f>
        <v>194190610534</v>
      </c>
      <c r="C639" s="2" t="str">
        <f ca="1">IFERROR(__xludf.DUMMYFUNCTION("""COMPUTED_VALUE"""),"مونيكا إدوارد")</f>
        <v>مونيكا إدوارد</v>
      </c>
      <c r="D639" s="2">
        <f ca="1">IFERROR(__xludf.DUMMYFUNCTION("""COMPUTED_VALUE"""),2757)</f>
        <v>2757</v>
      </c>
      <c r="E639" s="2" t="str">
        <f ca="1">IFERROR(__xludf.DUMMYFUNCTION("""COMPUTED_VALUE"""),"EG01-EG02-EG03-EG04")</f>
        <v>EG01-EG02-EG03-EG04</v>
      </c>
      <c r="F639" s="2" t="str">
        <f ca="1">IFERROR(__xludf.DUMMYFUNCTION("""COMPUTED_VALUE"""),"moneyedward37@gmail.com")</f>
        <v>moneyedward37@gmail.com</v>
      </c>
      <c r="G639" s="2" t="str">
        <f ca="1">IFERROR(__xludf.DUMMYFUNCTION("""COMPUTED_VALUE"""),"01277626560")</f>
        <v>01277626560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 t="str">
        <f ca="1">IFERROR(__xludf.DUMMYFUNCTION("""COMPUTED_VALUE"""),"محمود السعيد")</f>
        <v>محمود السعيد</v>
      </c>
      <c r="B640" s="2">
        <f ca="1">IFERROR(__xludf.DUMMYFUNCTION("""COMPUTED_VALUE"""),897136858074)</f>
        <v>897136858074</v>
      </c>
      <c r="C640" s="2" t="str">
        <f ca="1">IFERROR(__xludf.DUMMYFUNCTION("""COMPUTED_VALUE"""),"محمود السعيد")</f>
        <v>محمود السعيد</v>
      </c>
      <c r="D640" s="2">
        <f ca="1">IFERROR(__xludf.DUMMYFUNCTION("""COMPUTED_VALUE"""),2768)</f>
        <v>2768</v>
      </c>
      <c r="E640" s="2" t="str">
        <f ca="1">IFERROR(__xludf.DUMMYFUNCTION("""COMPUTED_VALUE"""),"EG07-EG08-EG09")</f>
        <v>EG07-EG08-EG09</v>
      </c>
      <c r="F640" s="2" t="str">
        <f ca="1">IFERROR(__xludf.DUMMYFUNCTION("""COMPUTED_VALUE"""),"elsaiid99@live.com")</f>
        <v>elsaiid99@live.com</v>
      </c>
      <c r="G640" s="2" t="str">
        <f ca="1">IFERROR(__xludf.DUMMYFUNCTION("""COMPUTED_VALUE"""),"01126789926")</f>
        <v>01126789926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 t="str">
        <f ca="1">IFERROR(__xludf.DUMMYFUNCTION("""COMPUTED_VALUE"""),"دنيا فاروق")</f>
        <v>دنيا فاروق</v>
      </c>
      <c r="B641" s="2">
        <f ca="1">IFERROR(__xludf.DUMMYFUNCTION("""COMPUTED_VALUE"""),148126371346)</f>
        <v>148126371346</v>
      </c>
      <c r="C641" s="2" t="str">
        <f ca="1">IFERROR(__xludf.DUMMYFUNCTION("""COMPUTED_VALUE"""),"دنيا فاروق")</f>
        <v>دنيا فاروق</v>
      </c>
      <c r="D641" s="2">
        <f ca="1">IFERROR(__xludf.DUMMYFUNCTION("""COMPUTED_VALUE"""),2745)</f>
        <v>2745</v>
      </c>
      <c r="E641" s="2" t="str">
        <f ca="1">IFERROR(__xludf.DUMMYFUNCTION("""COMPUTED_VALUE"""),"EG01-EG02-EG03")</f>
        <v>EG01-EG02-EG03</v>
      </c>
      <c r="F641" s="2" t="str">
        <f ca="1">IFERROR(__xludf.DUMMYFUNCTION("""COMPUTED_VALUE"""),"doniafarouk2811@gmail.com")</f>
        <v>doniafarouk2811@gmail.com</v>
      </c>
      <c r="G641" s="2" t="str">
        <f ca="1">IFERROR(__xludf.DUMMYFUNCTION("""COMPUTED_VALUE"""),"01201302647")</f>
        <v>01201302647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 t="str">
        <f ca="1">IFERROR(__xludf.DUMMYFUNCTION("""COMPUTED_VALUE"""),"محمد أثير")</f>
        <v>محمد أثير</v>
      </c>
      <c r="B642" s="2">
        <f ca="1">IFERROR(__xludf.DUMMYFUNCTION("""COMPUTED_VALUE"""),845178158571)</f>
        <v>845178158571</v>
      </c>
      <c r="C642" s="2" t="str">
        <f ca="1">IFERROR(__xludf.DUMMYFUNCTION("""COMPUTED_VALUE"""),"محمد أثير")</f>
        <v>محمد أثير</v>
      </c>
      <c r="D642" s="2">
        <f ca="1">IFERROR(__xludf.DUMMYFUNCTION("""COMPUTED_VALUE"""),2766)</f>
        <v>2766</v>
      </c>
      <c r="E642" s="2" t="str">
        <f ca="1">IFERROR(__xludf.DUMMYFUNCTION("""COMPUTED_VALUE"""),"EG4-EG5-EG6-EG7-EG8-EG9")</f>
        <v>EG4-EG5-EG6-EG7-EG8-EG9</v>
      </c>
      <c r="F642" s="2" t="str">
        <f ca="1">IFERROR(__xludf.DUMMYFUNCTION("""COMPUTED_VALUE"""),"mohamadatheer1@gmail.com")</f>
        <v>mohamadatheer1@gmail.com</v>
      </c>
      <c r="G642" s="2" t="str">
        <f ca="1">IFERROR(__xludf.DUMMYFUNCTION("""COMPUTED_VALUE"""),"01282290201")</f>
        <v>01282290201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 t="str">
        <f ca="1">IFERROR(__xludf.DUMMYFUNCTION("""COMPUTED_VALUE"""),"طارق العليمي")</f>
        <v>طارق العليمي</v>
      </c>
      <c r="B643" s="2">
        <f ca="1">IFERROR(__xludf.DUMMYFUNCTION("""COMPUTED_VALUE"""),173169573720)</f>
        <v>173169573720</v>
      </c>
      <c r="C643" s="2" t="str">
        <f ca="1">IFERROR(__xludf.DUMMYFUNCTION("""COMPUTED_VALUE"""),"طارق العليمي")</f>
        <v>طارق العليمي</v>
      </c>
      <c r="D643" s="2">
        <f ca="1">IFERROR(__xludf.DUMMYFUNCTION("""COMPUTED_VALUE"""),2518)</f>
        <v>2518</v>
      </c>
      <c r="E643" s="2" t="str">
        <f ca="1">IFERROR(__xludf.DUMMYFUNCTION("""COMPUTED_VALUE"""),"EG07-EG08-EG09-EG10-EG11-EG12")</f>
        <v>EG07-EG08-EG09-EG10-EG11-EG12</v>
      </c>
      <c r="F643" s="2" t="str">
        <f ca="1">IFERROR(__xludf.DUMMYFUNCTION("""COMPUTED_VALUE"""),"tarekolaimi@gmail.com")</f>
        <v>tarekolaimi@gmail.com</v>
      </c>
      <c r="G643" s="2" t="str">
        <f ca="1">IFERROR(__xludf.DUMMYFUNCTION("""COMPUTED_VALUE"""),"01229982012")</f>
        <v>01229982012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 t="str">
        <f ca="1">IFERROR(__xludf.DUMMYFUNCTION("""COMPUTED_VALUE"""),"حكمت أحمد")</f>
        <v>حكمت أحمد</v>
      </c>
      <c r="B644" s="2">
        <f ca="1">IFERROR(__xludf.DUMMYFUNCTION("""COMPUTED_VALUE"""),840108032761)</f>
        <v>840108032761</v>
      </c>
      <c r="C644" s="2" t="str">
        <f ca="1">IFERROR(__xludf.DUMMYFUNCTION("""COMPUTED_VALUE"""),"حكمت أحمد")</f>
        <v>حكمت أحمد</v>
      </c>
      <c r="D644" s="2">
        <f ca="1">IFERROR(__xludf.DUMMYFUNCTION("""COMPUTED_VALUE"""),2653)</f>
        <v>2653</v>
      </c>
      <c r="E644" s="2" t="str">
        <f ca="1">IFERROR(__xludf.DUMMYFUNCTION("""COMPUTED_VALUE"""),"EG10-EG11")</f>
        <v>EG10-EG11</v>
      </c>
      <c r="F644" s="2" t="str">
        <f ca="1">IFERROR(__xludf.DUMMYFUNCTION("""COMPUTED_VALUE"""),"hekmat.shabayekesl@gmail.com")</f>
        <v>hekmat.shabayekesl@gmail.com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 t="str">
        <f ca="1">IFERROR(__xludf.DUMMYFUNCTION("""COMPUTED_VALUE"""),"مصطفى جمال")</f>
        <v>مصطفى جمال</v>
      </c>
      <c r="B645" s="2">
        <f ca="1">IFERROR(__xludf.DUMMYFUNCTION("""COMPUTED_VALUE"""),952197671641)</f>
        <v>952197671641</v>
      </c>
      <c r="C645" s="2" t="str">
        <f ca="1">IFERROR(__xludf.DUMMYFUNCTION("""COMPUTED_VALUE"""),"مصطفى جمال")</f>
        <v>مصطفى جمال</v>
      </c>
      <c r="D645" s="2">
        <f ca="1">IFERROR(__xludf.DUMMYFUNCTION("""COMPUTED_VALUE"""),2634)</f>
        <v>2634</v>
      </c>
      <c r="E645" s="2" t="str">
        <f ca="1">IFERROR(__xludf.DUMMYFUNCTION("""COMPUTED_VALUE"""),"EG04-EG05-EG06")</f>
        <v>EG04-EG05-EG06</v>
      </c>
      <c r="F645" s="2" t="str">
        <f ca="1">IFERROR(__xludf.DUMMYFUNCTION("""COMPUTED_VALUE"""),"mostafagamalmetwally@gmail.com")</f>
        <v>mostafagamalmetwally@gmail.com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 t="str">
        <f ca="1">IFERROR(__xludf.DUMMYFUNCTION("""COMPUTED_VALUE"""),"إبراهيم عبد العليم")</f>
        <v>إبراهيم عبد العليم</v>
      </c>
      <c r="B646" s="2">
        <f ca="1">IFERROR(__xludf.DUMMYFUNCTION("""COMPUTED_VALUE"""),364193795818)</f>
        <v>364193795818</v>
      </c>
      <c r="C646" s="2" t="str">
        <f ca="1">IFERROR(__xludf.DUMMYFUNCTION("""COMPUTED_VALUE"""),"إبراهيم عبد العليم")</f>
        <v>إبراهيم عبد العليم</v>
      </c>
      <c r="D646" s="2">
        <f ca="1">IFERROR(__xludf.DUMMYFUNCTION("""COMPUTED_VALUE"""),2717)</f>
        <v>2717</v>
      </c>
      <c r="E646" s="2" t="str">
        <f ca="1">IFERROR(__xludf.DUMMYFUNCTION("""COMPUTED_VALUE"""),"EG04-EG05-EG06")</f>
        <v>EG04-EG05-EG06</v>
      </c>
      <c r="F646" s="2" t="str">
        <f ca="1">IFERROR(__xludf.DUMMYFUNCTION("""COMPUTED_VALUE"""),"ibrahimabdelaliem591@gmail.com")</f>
        <v>ibrahimabdelaliem591@gmail.com</v>
      </c>
      <c r="G646" s="2" t="str">
        <f ca="1">IFERROR(__xludf.DUMMYFUNCTION("""COMPUTED_VALUE"""),"01013720278")</f>
        <v>01013720278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 t="str">
        <f ca="1">IFERROR(__xludf.DUMMYFUNCTION("""COMPUTED_VALUE"""),"سهر السيد")</f>
        <v>سهر السيد</v>
      </c>
      <c r="B647" s="2">
        <f ca="1">IFERROR(__xludf.DUMMYFUNCTION("""COMPUTED_VALUE"""),108171586739)</f>
        <v>108171586739</v>
      </c>
      <c r="C647" s="2" t="str">
        <f ca="1">IFERROR(__xludf.DUMMYFUNCTION("""COMPUTED_VALUE"""),"سهر السيد")</f>
        <v>سهر السيد</v>
      </c>
      <c r="D647" s="2">
        <f ca="1">IFERROR(__xludf.DUMMYFUNCTION("""COMPUTED_VALUE"""),2707)</f>
        <v>2707</v>
      </c>
      <c r="E647" s="2" t="str">
        <f ca="1">IFERROR(__xludf.DUMMYFUNCTION("""COMPUTED_VALUE"""),"EG04-EG05-EG06")</f>
        <v>EG04-EG05-EG06</v>
      </c>
      <c r="F647" s="2" t="str">
        <f ca="1">IFERROR(__xludf.DUMMYFUNCTION("""COMPUTED_VALUE"""),"mrs.sahar.savvy@gmail.com")</f>
        <v>mrs.sahar.savvy@gmail.com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 t="str">
        <f ca="1">IFERROR(__xludf.DUMMYFUNCTION("""COMPUTED_VALUE"""),"مارينا عماد")</f>
        <v>مارينا عماد</v>
      </c>
      <c r="B648" s="2">
        <f ca="1">IFERROR(__xludf.DUMMYFUNCTION("""COMPUTED_VALUE"""),586170564150)</f>
        <v>586170564150</v>
      </c>
      <c r="C648" s="2" t="str">
        <f ca="1">IFERROR(__xludf.DUMMYFUNCTION("""COMPUTED_VALUE"""),"مارينا عماد")</f>
        <v>مارينا عماد</v>
      </c>
      <c r="D648" s="2">
        <f ca="1">IFERROR(__xludf.DUMMYFUNCTION("""COMPUTED_VALUE"""),2629)</f>
        <v>2629</v>
      </c>
      <c r="E648" s="2" t="str">
        <f ca="1">IFERROR(__xludf.DUMMYFUNCTION("""COMPUTED_VALUE"""),"EG01-EG02-EG03-EG04")</f>
        <v>EG01-EG02-EG03-EG04</v>
      </c>
      <c r="F648" s="2" t="str">
        <f ca="1">IFERROR(__xludf.DUMMYFUNCTION("""COMPUTED_VALUE"""),"marinaemad4922@gmail.com")</f>
        <v>marinaemad4922@gmail.com</v>
      </c>
      <c r="G648" s="2" t="str">
        <f ca="1">IFERROR(__xludf.DUMMYFUNCTION("""COMPUTED_VALUE"""),"01210882072")</f>
        <v>01210882072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>
        <f ca="1">IFERROR(__xludf.DUMMYFUNCTION("""COMPUTED_VALUE"""),570128125789)</f>
        <v>570128125789</v>
      </c>
      <c r="C649" s="2"/>
      <c r="D649" s="2" t="str">
        <f ca="1">IFERROR(__xludf.DUMMYFUNCTION("""COMPUTED_VALUE"""),"#N/A")</f>
        <v>#N/A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 t="str">
        <f ca="1">IFERROR(__xludf.DUMMYFUNCTION("""COMPUTED_VALUE"""),"غادة صلاح")</f>
        <v>غادة صلاح</v>
      </c>
      <c r="B650" s="2">
        <f ca="1">IFERROR(__xludf.DUMMYFUNCTION("""COMPUTED_VALUE"""),564139362753)</f>
        <v>564139362753</v>
      </c>
      <c r="C650" s="2" t="str">
        <f ca="1">IFERROR(__xludf.DUMMYFUNCTION("""COMPUTED_VALUE"""),"غادة صلاح")</f>
        <v>غادة صلاح</v>
      </c>
      <c r="D650" s="2">
        <f ca="1">IFERROR(__xludf.DUMMYFUNCTION("""COMPUTED_VALUE"""),2770)</f>
        <v>2770</v>
      </c>
      <c r="E650" s="2" t="str">
        <f ca="1">IFERROR(__xludf.DUMMYFUNCTION("""COMPUTED_VALUE"""),"EG07-EG08-EG09")</f>
        <v>EG07-EG08-EG09</v>
      </c>
      <c r="F650" s="2" t="str">
        <f ca="1">IFERROR(__xludf.DUMMYFUNCTION("""COMPUTED_VALUE"""),"ghadasalah990@gmail.com")</f>
        <v>ghadasalah990@gmail.com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 t="str">
        <f ca="1">IFERROR(__xludf.DUMMYFUNCTION("""COMPUTED_VALUE"""),"كريستين سمير")</f>
        <v>كريستين سمير</v>
      </c>
      <c r="B651" s="2">
        <f ca="1">IFERROR(__xludf.DUMMYFUNCTION("""COMPUTED_VALUE"""),597190609069)</f>
        <v>597190609069</v>
      </c>
      <c r="C651" s="2" t="str">
        <f ca="1">IFERROR(__xludf.DUMMYFUNCTION("""COMPUTED_VALUE"""),"كريستين سمير")</f>
        <v>كريستين سمير</v>
      </c>
      <c r="D651" s="2">
        <f ca="1">IFERROR(__xludf.DUMMYFUNCTION("""COMPUTED_VALUE"""),2769)</f>
        <v>2769</v>
      </c>
      <c r="E651" s="2" t="str">
        <f ca="1">IFERROR(__xludf.DUMMYFUNCTION("""COMPUTED_VALUE"""),"EG04-EG05-EG06-EG07")</f>
        <v>EG04-EG05-EG06-EG07</v>
      </c>
      <c r="F651" s="2" t="str">
        <f ca="1">IFERROR(__xludf.DUMMYFUNCTION("""COMPUTED_VALUE"""),"kristeensamir361@gmail.com")</f>
        <v>kristeensamir361@gmail.com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 t="str">
        <f ca="1">IFERROR(__xludf.DUMMYFUNCTION("""COMPUTED_VALUE"""),"راندا البداية")</f>
        <v>راندا البداية</v>
      </c>
      <c r="B652" s="2">
        <f ca="1">IFERROR(__xludf.DUMMYFUNCTION("""COMPUTED_VALUE"""),415120941851)</f>
        <v>415120941851</v>
      </c>
      <c r="C652" s="2" t="str">
        <f ca="1">IFERROR(__xludf.DUMMYFUNCTION("""COMPUTED_VALUE"""),"راندا البداية")</f>
        <v>راندا البداية</v>
      </c>
      <c r="D652" s="2">
        <f ca="1">IFERROR(__xludf.DUMMYFUNCTION("""COMPUTED_VALUE"""),2699)</f>
        <v>2699</v>
      </c>
      <c r="E652" s="2" t="str">
        <f ca="1">IFERROR(__xludf.DUMMYFUNCTION("""COMPUTED_VALUE"""),"EG01-EG02-EG03-EG04-EG05-EG06")</f>
        <v>EG01-EG02-EG03-EG04-EG05-EG06</v>
      </c>
      <c r="F652" s="2" t="str">
        <f ca="1">IFERROR(__xludf.DUMMYFUNCTION("""COMPUTED_VALUE"""),"randaelbedaya02@gmail.com")</f>
        <v>randaelbedaya02@gmail.com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 t="str">
        <f ca="1">IFERROR(__xludf.DUMMYFUNCTION("""COMPUTED_VALUE"""),"دينا عادل")</f>
        <v>دينا عادل</v>
      </c>
      <c r="B653" s="2">
        <f ca="1">IFERROR(__xludf.DUMMYFUNCTION("""COMPUTED_VALUE"""),834132198971)</f>
        <v>834132198971</v>
      </c>
      <c r="C653" s="2" t="str">
        <f ca="1">IFERROR(__xludf.DUMMYFUNCTION("""COMPUTED_VALUE"""),"دينا عادل")</f>
        <v>دينا عادل</v>
      </c>
      <c r="D653" s="2">
        <f ca="1">IFERROR(__xludf.DUMMYFUNCTION("""COMPUTED_VALUE"""),2764)</f>
        <v>2764</v>
      </c>
      <c r="E653" s="2" t="str">
        <f ca="1">IFERROR(__xludf.DUMMYFUNCTION("""COMPUTED_VALUE"""),"EG07-EG08-EG09")</f>
        <v>EG07-EG08-EG09</v>
      </c>
      <c r="F653" s="2" t="str">
        <f ca="1">IFERROR(__xludf.DUMMYFUNCTION("""COMPUTED_VALUE"""),"mrsdinaadel@gmail.com")</f>
        <v>mrsdinaadel@gmail.com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 t="str">
        <f ca="1">IFERROR(__xludf.DUMMYFUNCTION("""COMPUTED_VALUE"""),"ماريام أشرف")</f>
        <v>ماريام أشرف</v>
      </c>
      <c r="B654" s="2">
        <f ca="1">IFERROR(__xludf.DUMMYFUNCTION("""COMPUTED_VALUE"""),450190591429)</f>
        <v>450190591429</v>
      </c>
      <c r="C654" s="2" t="str">
        <f ca="1">IFERROR(__xludf.DUMMYFUNCTION("""COMPUTED_VALUE"""),"ماريام أشرف")</f>
        <v>ماريام أشرف</v>
      </c>
      <c r="D654" s="2">
        <f ca="1">IFERROR(__xludf.DUMMYFUNCTION("""COMPUTED_VALUE"""),2781)</f>
        <v>2781</v>
      </c>
      <c r="E654" s="2" t="str">
        <f ca="1">IFERROR(__xludf.DUMMYFUNCTION("""COMPUTED_VALUE"""),"EG01-EG02-EG03-EG04")</f>
        <v>EG01-EG02-EG03-EG04</v>
      </c>
      <c r="F654" s="2" t="str">
        <f ca="1">IFERROR(__xludf.DUMMYFUNCTION("""COMPUTED_VALUE"""),"ashrfmaryam557@gmail.com")</f>
        <v>ashrfmaryam557@gmail.com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 t="str">
        <f ca="1">IFERROR(__xludf.DUMMYFUNCTION("""COMPUTED_VALUE"""),"ناهد الجبالي")</f>
        <v>ناهد الجبالي</v>
      </c>
      <c r="B655" s="2">
        <f ca="1">IFERROR(__xludf.DUMMYFUNCTION("""COMPUTED_VALUE"""),275182367207)</f>
        <v>275182367207</v>
      </c>
      <c r="C655" s="2" t="str">
        <f ca="1">IFERROR(__xludf.DUMMYFUNCTION("""COMPUTED_VALUE"""),"ناهد الجبالي")</f>
        <v>ناهد الجبالي</v>
      </c>
      <c r="D655" s="2">
        <f ca="1">IFERROR(__xludf.DUMMYFUNCTION("""COMPUTED_VALUE"""),2756)</f>
        <v>2756</v>
      </c>
      <c r="E655" s="2" t="str">
        <f ca="1">IFERROR(__xludf.DUMMYFUNCTION("""COMPUTED_VALUE"""),"EG04-EG05-EG06-EG07-EG08")</f>
        <v>EG04-EG05-EG06-EG07-EG08</v>
      </c>
      <c r="F655" s="2" t="str">
        <f ca="1">IFERROR(__xludf.DUMMYFUNCTION("""COMPUTED_VALUE"""),"nahedelgebaly12345@gmail.com")</f>
        <v>nahedelgebaly12345@gmail.com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 t="str">
        <f ca="1">IFERROR(__xludf.DUMMYFUNCTION("""COMPUTED_VALUE"""),"محمد سيد")</f>
        <v>محمد سيد</v>
      </c>
      <c r="B656" s="2">
        <f ca="1">IFERROR(__xludf.DUMMYFUNCTION("""COMPUTED_VALUE"""),625187252525)</f>
        <v>625187252525</v>
      </c>
      <c r="C656" s="2" t="str">
        <f ca="1">IFERROR(__xludf.DUMMYFUNCTION("""COMPUTED_VALUE"""),"محمد سيد")</f>
        <v>محمد سيد</v>
      </c>
      <c r="D656" s="2">
        <f ca="1">IFERROR(__xludf.DUMMYFUNCTION("""COMPUTED_VALUE"""),2670)</f>
        <v>2670</v>
      </c>
      <c r="E656" s="2" t="str">
        <f ca="1">IFERROR(__xludf.DUMMYFUNCTION("""COMPUTED_VALUE"""),"EG04-EG05-EG06-EG07-EG08-EG09-10-11")</f>
        <v>EG04-EG05-EG06-EG07-EG08-EG09-10-11</v>
      </c>
      <c r="F656" s="2" t="str">
        <f ca="1">IFERROR(__xludf.DUMMYFUNCTION("""COMPUTED_VALUE"""),"omer_mohamed2009@yahoo.com")</f>
        <v>omer_mohamed2009@yahoo.com</v>
      </c>
      <c r="G656" s="2" t="str">
        <f ca="1">IFERROR(__xludf.DUMMYFUNCTION("""COMPUTED_VALUE"""),"00201017573880")</f>
        <v>00201017573880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 t="str">
        <f ca="1">IFERROR(__xludf.DUMMYFUNCTION("""COMPUTED_VALUE"""),"أحمد فلوكس")</f>
        <v>أحمد فلوكس</v>
      </c>
      <c r="B657" s="2">
        <f ca="1">IFERROR(__xludf.DUMMYFUNCTION("""COMPUTED_VALUE"""),765142805403)</f>
        <v>765142805403</v>
      </c>
      <c r="C657" s="2" t="str">
        <f ca="1">IFERROR(__xludf.DUMMYFUNCTION("""COMPUTED_VALUE"""),"أحمد فلوكس")</f>
        <v>أحمد فلوكس</v>
      </c>
      <c r="D657" s="2">
        <f ca="1">IFERROR(__xludf.DUMMYFUNCTION("""COMPUTED_VALUE"""),2777)</f>
        <v>2777</v>
      </c>
      <c r="E657" s="2" t="str">
        <f ca="1">IFERROR(__xludf.DUMMYFUNCTION("""COMPUTED_VALUE"""),"EG07-EG08-EG09")</f>
        <v>EG07-EG08-EG09</v>
      </c>
      <c r="F657" s="2" t="str">
        <f ca="1">IFERROR(__xludf.DUMMYFUNCTION("""COMPUTED_VALUE"""),"ahmedfalokas99@gmail.com")</f>
        <v>ahmedfalokas99@gmail.com</v>
      </c>
      <c r="G657" s="2" t="str">
        <f ca="1">IFERROR(__xludf.DUMMYFUNCTION("""COMPUTED_VALUE"""),"01125530074")</f>
        <v>01125530074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 t="str">
        <f ca="1">IFERROR(__xludf.DUMMYFUNCTION("""COMPUTED_VALUE"""),"هدير محمد")</f>
        <v>هدير محمد</v>
      </c>
      <c r="B658" s="2">
        <f ca="1">IFERROR(__xludf.DUMMYFUNCTION("""COMPUTED_VALUE"""),540154691675)</f>
        <v>540154691675</v>
      </c>
      <c r="C658" s="2" t="str">
        <f ca="1">IFERROR(__xludf.DUMMYFUNCTION("""COMPUTED_VALUE"""),"هدير محمد")</f>
        <v>هدير محمد</v>
      </c>
      <c r="D658" s="2">
        <f ca="1">IFERROR(__xludf.DUMMYFUNCTION("""COMPUTED_VALUE"""),2788)</f>
        <v>2788</v>
      </c>
      <c r="E658" s="2" t="str">
        <f ca="1">IFERROR(__xludf.DUMMYFUNCTION("""COMPUTED_VALUE"""),"EG03-EG04-EG05-EG06")</f>
        <v>EG03-EG04-EG05-EG06</v>
      </c>
      <c r="F658" s="2" t="str">
        <f ca="1">IFERROR(__xludf.DUMMYFUNCTION("""COMPUTED_VALUE"""),"hadeermuhamad3@gmail.com")</f>
        <v>hadeermuhamad3@gmail.com</v>
      </c>
      <c r="G658" s="2" t="str">
        <f ca="1">IFERROR(__xludf.DUMMYFUNCTION("""COMPUTED_VALUE"""),"01270016684.    -     03 3563898")</f>
        <v>01270016684.    -     03 3563898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 t="str">
        <f ca="1">IFERROR(__xludf.DUMMYFUNCTION("""COMPUTED_VALUE"""),"مارتينا أسعد")</f>
        <v>مارتينا أسعد</v>
      </c>
      <c r="B659" s="2">
        <f ca="1">IFERROR(__xludf.DUMMYFUNCTION("""COMPUTED_VALUE"""),595148969297)</f>
        <v>595148969297</v>
      </c>
      <c r="C659" s="2" t="str">
        <f ca="1">IFERROR(__xludf.DUMMYFUNCTION("""COMPUTED_VALUE"""),"مارتينا أسعد")</f>
        <v>مارتينا أسعد</v>
      </c>
      <c r="D659" s="2">
        <f ca="1">IFERROR(__xludf.DUMMYFUNCTION("""COMPUTED_VALUE"""),2665)</f>
        <v>2665</v>
      </c>
      <c r="E659" s="2" t="str">
        <f ca="1">IFERROR(__xludf.DUMMYFUNCTION("""COMPUTED_VALUE"""),"EG04-EG05-EG06")</f>
        <v>EG04-EG05-EG06</v>
      </c>
      <c r="F659" s="2" t="str">
        <f ca="1">IFERROR(__xludf.DUMMYFUNCTION("""COMPUTED_VALUE"""),"martinaasad5@gmail.com")</f>
        <v>martinaasad5@gmail.com</v>
      </c>
      <c r="G659" s="2" t="str">
        <f ca="1">IFERROR(__xludf.DUMMYFUNCTION("""COMPUTED_VALUE"""),"+201281678241")</f>
        <v>+201281678241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 t="str">
        <f ca="1">IFERROR(__xludf.DUMMYFUNCTION("""COMPUTED_VALUE"""),"دعاء عماد الدين")</f>
        <v>دعاء عماد الدين</v>
      </c>
      <c r="B660" s="2">
        <f ca="1">IFERROR(__xludf.DUMMYFUNCTION("""COMPUTED_VALUE"""),409109172938)</f>
        <v>409109172938</v>
      </c>
      <c r="C660" s="2" t="str">
        <f ca="1">IFERROR(__xludf.DUMMYFUNCTION("""COMPUTED_VALUE"""),"دعاء عماد الدين")</f>
        <v>دعاء عماد الدين</v>
      </c>
      <c r="D660" s="2">
        <f ca="1">IFERROR(__xludf.DUMMYFUNCTION("""COMPUTED_VALUE"""),2765)</f>
        <v>2765</v>
      </c>
      <c r="E660" s="2" t="str">
        <f ca="1">IFERROR(__xludf.DUMMYFUNCTION("""COMPUTED_VALUE"""),"EG04-EG05-EG06-EG07-EG08-EG09")</f>
        <v>EG04-EG05-EG06-EG07-EG08-EG09</v>
      </c>
      <c r="F660" s="2" t="str">
        <f ca="1">IFERROR(__xludf.DUMMYFUNCTION("""COMPUTED_VALUE"""),"doaaemadeldin6@gmail.com")</f>
        <v>doaaemadeldin6@gmail.com</v>
      </c>
      <c r="G660" s="2" t="str">
        <f ca="1">IFERROR(__xludf.DUMMYFUNCTION("""COMPUTED_VALUE"""),"01099093013")</f>
        <v>01099093013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 t="str">
        <f ca="1">IFERROR(__xludf.DUMMYFUNCTION("""COMPUTED_VALUE"""),"إيمان جلال")</f>
        <v>إيمان جلال</v>
      </c>
      <c r="B661" s="2">
        <f ca="1">IFERROR(__xludf.DUMMYFUNCTION("""COMPUTED_VALUE"""),618168909236)</f>
        <v>618168909236</v>
      </c>
      <c r="C661" s="2" t="str">
        <f ca="1">IFERROR(__xludf.DUMMYFUNCTION("""COMPUTED_VALUE"""),"إيمان جلال")</f>
        <v>إيمان جلال</v>
      </c>
      <c r="D661" s="2">
        <f ca="1">IFERROR(__xludf.DUMMYFUNCTION("""COMPUTED_VALUE"""),2784)</f>
        <v>2784</v>
      </c>
      <c r="E661" s="2" t="str">
        <f ca="1">IFERROR(__xludf.DUMMYFUNCTION("""COMPUTED_VALUE"""),"EG01-EG02-EG03-EG04-EG05-EG06")</f>
        <v>EG01-EG02-EG03-EG04-EG05-EG06</v>
      </c>
      <c r="F661" s="2" t="str">
        <f ca="1">IFERROR(__xludf.DUMMYFUNCTION("""COMPUTED_VALUE"""),"galaleman21@yahoo.com")</f>
        <v>galaleman21@yahoo.com</v>
      </c>
      <c r="G661" s="2" t="str">
        <f ca="1">IFERROR(__xludf.DUMMYFUNCTION("""COMPUTED_VALUE"""),"01276133970")</f>
        <v>01276133970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 t="str">
        <f ca="1">IFERROR(__xludf.DUMMYFUNCTION("""COMPUTED_VALUE"""),"محمد سامي")</f>
        <v>محمد سامي</v>
      </c>
      <c r="B662" s="2">
        <f ca="1">IFERROR(__xludf.DUMMYFUNCTION("""COMPUTED_VALUE"""),625156230340)</f>
        <v>625156230340</v>
      </c>
      <c r="C662" s="2" t="str">
        <f ca="1">IFERROR(__xludf.DUMMYFUNCTION("""COMPUTED_VALUE"""),"محمد سامي")</f>
        <v>محمد سامي</v>
      </c>
      <c r="D662" s="2">
        <f ca="1">IFERROR(__xludf.DUMMYFUNCTION("""COMPUTED_VALUE"""),2620)</f>
        <v>2620</v>
      </c>
      <c r="E662" s="2" t="str">
        <f ca="1">IFERROR(__xludf.DUMMYFUNCTION("""COMPUTED_VALUE"""),"EG07-EG08-EG09")</f>
        <v>EG07-EG08-EG09</v>
      </c>
      <c r="F662" s="2" t="str">
        <f ca="1">IFERROR(__xludf.DUMMYFUNCTION("""COMPUTED_VALUE"""),"7kheir@gmail.com")</f>
        <v>7kheir@gmail.com</v>
      </c>
      <c r="G662" s="2" t="str">
        <f ca="1">IFERROR(__xludf.DUMMYFUNCTION("""COMPUTED_VALUE"""),"01040261145")</f>
        <v>01040261145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 t="str">
        <f ca="1">IFERROR(__xludf.DUMMYFUNCTION("""COMPUTED_VALUE"""),"نهلة يسري")</f>
        <v>نهلة يسري</v>
      </c>
      <c r="B663" s="2">
        <f ca="1">IFERROR(__xludf.DUMMYFUNCTION("""COMPUTED_VALUE"""),310146136271)</f>
        <v>310146136271</v>
      </c>
      <c r="C663" s="2" t="str">
        <f ca="1">IFERROR(__xludf.DUMMYFUNCTION("""COMPUTED_VALUE"""),"نهلة يسري")</f>
        <v>نهلة يسري</v>
      </c>
      <c r="D663" s="2">
        <f ca="1">IFERROR(__xludf.DUMMYFUNCTION("""COMPUTED_VALUE"""),2702)</f>
        <v>2702</v>
      </c>
      <c r="E663" s="2" t="str">
        <f ca="1">IFERROR(__xludf.DUMMYFUNCTION("""COMPUTED_VALUE"""),"EG01-EG02-EG03-EG04-EG05-EG06")</f>
        <v>EG01-EG02-EG03-EG04-EG05-EG06</v>
      </c>
      <c r="F663" s="2" t="str">
        <f ca="1">IFERROR(__xludf.DUMMYFUNCTION("""COMPUTED_VALUE"""),"nahlayousry6@gmail.com")</f>
        <v>nahlayousry6@gmail.com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 t="str">
        <f ca="1">IFERROR(__xludf.DUMMYFUNCTION("""COMPUTED_VALUE"""),"إيناس حبيب")</f>
        <v>إيناس حبيب</v>
      </c>
      <c r="B664" s="2">
        <f ca="1">IFERROR(__xludf.DUMMYFUNCTION("""COMPUTED_VALUE"""),308156832319)</f>
        <v>308156832319</v>
      </c>
      <c r="C664" s="2" t="str">
        <f ca="1">IFERROR(__xludf.DUMMYFUNCTION("""COMPUTED_VALUE"""),"إيناس حبيب")</f>
        <v>إيناس حبيب</v>
      </c>
      <c r="D664" s="2">
        <f ca="1">IFERROR(__xludf.DUMMYFUNCTION("""COMPUTED_VALUE"""),2792)</f>
        <v>2792</v>
      </c>
      <c r="E664" s="2" t="str">
        <f ca="1">IFERROR(__xludf.DUMMYFUNCTION("""COMPUTED_VALUE"""),"EG04-EG05-EG06")</f>
        <v>EG04-EG05-EG06</v>
      </c>
      <c r="F664" s="2" t="str">
        <f ca="1">IFERROR(__xludf.DUMMYFUNCTION("""COMPUTED_VALUE"""),"inas.ibrahim.habib@gmail.com")</f>
        <v>inas.ibrahim.habib@gmail.com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 t="str">
        <f ca="1">IFERROR(__xludf.DUMMYFUNCTION("""COMPUTED_VALUE"""),"نهى لطفي")</f>
        <v>نهى لطفي</v>
      </c>
      <c r="B665" s="2">
        <f ca="1">IFERROR(__xludf.DUMMYFUNCTION("""COMPUTED_VALUE"""),729171317072)</f>
        <v>729171317072</v>
      </c>
      <c r="C665" s="2" t="str">
        <f ca="1">IFERROR(__xludf.DUMMYFUNCTION("""COMPUTED_VALUE"""),"نهى لطفي")</f>
        <v>نهى لطفي</v>
      </c>
      <c r="D665" s="2">
        <f ca="1">IFERROR(__xludf.DUMMYFUNCTION("""COMPUTED_VALUE"""),2771)</f>
        <v>2771</v>
      </c>
      <c r="E665" s="2" t="str">
        <f ca="1">IFERROR(__xludf.DUMMYFUNCTION("""COMPUTED_VALUE"""),"EG01-EG02-EG03-EG04-EG05-EG06")</f>
        <v>EG01-EG02-EG03-EG04-EG05-EG06</v>
      </c>
      <c r="F665" s="2" t="str">
        <f ca="1">IFERROR(__xludf.DUMMYFUNCTION("""COMPUTED_VALUE"""),"nohalotfy33@gmail.com")</f>
        <v>nohalotfy33@gmail.com</v>
      </c>
      <c r="G665" s="2" t="str">
        <f ca="1">IFERROR(__xludf.DUMMYFUNCTION("""COMPUTED_VALUE"""),"01271850094")</f>
        <v>01271850094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 t="str">
        <f ca="1">IFERROR(__xludf.DUMMYFUNCTION("""COMPUTED_VALUE"""),"رانيا فهمي")</f>
        <v>رانيا فهمي</v>
      </c>
      <c r="B666" s="2">
        <f ca="1">IFERROR(__xludf.DUMMYFUNCTION("""COMPUTED_VALUE"""),720159631723)</f>
        <v>720159631723</v>
      </c>
      <c r="C666" s="2" t="str">
        <f ca="1">IFERROR(__xludf.DUMMYFUNCTION("""COMPUTED_VALUE"""),"رانيا فهمي")</f>
        <v>رانيا فهمي</v>
      </c>
      <c r="D666" s="2">
        <f ca="1">IFERROR(__xludf.DUMMYFUNCTION("""COMPUTED_VALUE"""),2780)</f>
        <v>2780</v>
      </c>
      <c r="E666" s="2" t="str">
        <f ca="1">IFERROR(__xludf.DUMMYFUNCTION("""COMPUTED_VALUE"""),"EG04-EG05-EG06")</f>
        <v>EG04-EG05-EG06</v>
      </c>
      <c r="F666" s="2" t="str">
        <f ca="1">IFERROR(__xludf.DUMMYFUNCTION("""COMPUTED_VALUE"""),"rania.fahmy222@gmail.com")</f>
        <v>rania.fahmy222@gmail.com</v>
      </c>
      <c r="G666" s="2" t="str">
        <f ca="1">IFERROR(__xludf.DUMMYFUNCTION("""COMPUTED_VALUE"""),"01101560506")</f>
        <v>01101560506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 t="str">
        <f ca="1">IFERROR(__xludf.DUMMYFUNCTION("""COMPUTED_VALUE"""),"يوسف محمود")</f>
        <v>يوسف محمود</v>
      </c>
      <c r="B667" s="2">
        <f ca="1">IFERROR(__xludf.DUMMYFUNCTION("""COMPUTED_VALUE"""),356132167530)</f>
        <v>356132167530</v>
      </c>
      <c r="C667" s="2" t="str">
        <f ca="1">IFERROR(__xludf.DUMMYFUNCTION("""COMPUTED_VALUE"""),"يوسف محمود")</f>
        <v>يوسف محمود</v>
      </c>
      <c r="D667" s="2">
        <f ca="1">IFERROR(__xludf.DUMMYFUNCTION("""COMPUTED_VALUE"""),2767)</f>
        <v>2767</v>
      </c>
      <c r="E667" s="2" t="str">
        <f ca="1">IFERROR(__xludf.DUMMYFUNCTION("""COMPUTED_VALUE"""),"EG04-EG05-EG06-EG07-EG08-EG09")</f>
        <v>EG04-EG05-EG06-EG07-EG08-EG09</v>
      </c>
      <c r="F667" s="2" t="str">
        <f ca="1">IFERROR(__xludf.DUMMYFUNCTION("""COMPUTED_VALUE"""),"ymy201010@gmail.com")</f>
        <v>ymy201010@gmail.com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 t="str">
        <f ca="1">IFERROR(__xludf.DUMMYFUNCTION("""COMPUTED_VALUE"""),"أيمن السعيد")</f>
        <v>أيمن السعيد</v>
      </c>
      <c r="B668" s="2">
        <f ca="1">IFERROR(__xludf.DUMMYFUNCTION("""COMPUTED_VALUE"""),787132953842)</f>
        <v>787132953842</v>
      </c>
      <c r="C668" s="2" t="str">
        <f ca="1">IFERROR(__xludf.DUMMYFUNCTION("""COMPUTED_VALUE"""),"أيمن السعيد")</f>
        <v>أيمن السعيد</v>
      </c>
      <c r="D668" s="2">
        <f ca="1">IFERROR(__xludf.DUMMYFUNCTION("""COMPUTED_VALUE"""),2631)</f>
        <v>2631</v>
      </c>
      <c r="E668" s="2" t="str">
        <f ca="1">IFERROR(__xludf.DUMMYFUNCTION("""COMPUTED_VALUE"""),"EG04-EG05-EG06-EG07-EG08")</f>
        <v>EG04-EG05-EG06-EG07-EG08</v>
      </c>
      <c r="F668" s="2" t="str">
        <f ca="1">IFERROR(__xludf.DUMMYFUNCTION("""COMPUTED_VALUE"""),"aymanbesso81@gmail.com")</f>
        <v>aymanbesso81@gmail.com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 t="str">
        <f ca="1">IFERROR(__xludf.DUMMYFUNCTION("""COMPUTED_VALUE"""),"نهلة اليماني")</f>
        <v>نهلة اليماني</v>
      </c>
      <c r="B669" s="2">
        <f ca="1">IFERROR(__xludf.DUMMYFUNCTION("""COMPUTED_VALUE"""),186143210451)</f>
        <v>186143210451</v>
      </c>
      <c r="C669" s="2" t="str">
        <f ca="1">IFERROR(__xludf.DUMMYFUNCTION("""COMPUTED_VALUE"""),"نهلة اليماني")</f>
        <v>نهلة اليماني</v>
      </c>
      <c r="D669" s="2">
        <f ca="1">IFERROR(__xludf.DUMMYFUNCTION("""COMPUTED_VALUE"""),2632)</f>
        <v>2632</v>
      </c>
      <c r="E669" s="2" t="str">
        <f ca="1">IFERROR(__xludf.DUMMYFUNCTION("""COMPUTED_VALUE"""),"EG04-EG05-EG06-EG07")</f>
        <v>EG04-EG05-EG06-EG07</v>
      </c>
      <c r="F669" s="2" t="str">
        <f ca="1">IFERROR(__xludf.DUMMYFUNCTION("""COMPUTED_VALUE"""),"nahla.y2013@gmail.com")</f>
        <v>nahla.y2013@gmail.com</v>
      </c>
      <c r="G669" s="2" t="str">
        <f ca="1">IFERROR(__xludf.DUMMYFUNCTION("""COMPUTED_VALUE"""),"01015128248")</f>
        <v>01015128248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 t="str">
        <f ca="1">IFERROR(__xludf.DUMMYFUNCTION("""COMPUTED_VALUE"""),"مريم عبد الرحمن")</f>
        <v>مريم عبد الرحمن</v>
      </c>
      <c r="B670" s="2">
        <f ca="1">IFERROR(__xludf.DUMMYFUNCTION("""COMPUTED_VALUE"""),423171082406)</f>
        <v>423171082406</v>
      </c>
      <c r="C670" s="2" t="str">
        <f ca="1">IFERROR(__xludf.DUMMYFUNCTION("""COMPUTED_VALUE"""),"مريم عبد الرحمن")</f>
        <v>مريم عبد الرحمن</v>
      </c>
      <c r="D670" s="2">
        <f ca="1">IFERROR(__xludf.DUMMYFUNCTION("""COMPUTED_VALUE"""),2659)</f>
        <v>2659</v>
      </c>
      <c r="E670" s="2" t="str">
        <f ca="1">IFERROR(__xludf.DUMMYFUNCTION("""COMPUTED_VALUE"""),"EG01-EG02-EG03-EG04-EG05-EG06")</f>
        <v>EG01-EG02-EG03-EG04-EG05-EG06</v>
      </c>
      <c r="F670" s="2" t="str">
        <f ca="1">IFERROR(__xludf.DUMMYFUNCTION("""COMPUTED_VALUE"""),"mariamdarbain06@gmail.com")</f>
        <v>mariamdarbain06@gmail.com</v>
      </c>
      <c r="G670" s="2" t="str">
        <f ca="1">IFERROR(__xludf.DUMMYFUNCTION("""COMPUTED_VALUE"""),"01095138842")</f>
        <v>01095138842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 t="str">
        <f ca="1">IFERROR(__xludf.DUMMYFUNCTION("""COMPUTED_VALUE"""),"شريف زيتون")</f>
        <v>شريف زيتون</v>
      </c>
      <c r="B671" s="2">
        <f ca="1">IFERROR(__xludf.DUMMYFUNCTION("""COMPUTED_VALUE"""),396138480561)</f>
        <v>396138480561</v>
      </c>
      <c r="C671" s="2" t="str">
        <f ca="1">IFERROR(__xludf.DUMMYFUNCTION("""COMPUTED_VALUE"""),"شريف زيتون")</f>
        <v>شريف زيتون</v>
      </c>
      <c r="D671" s="2">
        <f ca="1">IFERROR(__xludf.DUMMYFUNCTION("""COMPUTED_VALUE"""),2047)</f>
        <v>2047</v>
      </c>
      <c r="E671" s="2" t="str">
        <f ca="1">IFERROR(__xludf.DUMMYFUNCTION("""COMPUTED_VALUE"""),"EG07-EG08-EG09")</f>
        <v>EG07-EG08-EG09</v>
      </c>
      <c r="F671" s="2" t="str">
        <f ca="1">IFERROR(__xludf.DUMMYFUNCTION("""COMPUTED_VALUE"""),"sherifzaiton218@gmail.com")</f>
        <v>sherifzaiton218@gmail.com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 t="str">
        <f ca="1">IFERROR(__xludf.DUMMYFUNCTION("""COMPUTED_VALUE"""),"محمد عبد الغني")</f>
        <v>محمد عبد الغني</v>
      </c>
      <c r="B672" s="2">
        <f ca="1">IFERROR(__xludf.DUMMYFUNCTION("""COMPUTED_VALUE"""),802176250947)</f>
        <v>802176250947</v>
      </c>
      <c r="C672" s="2" t="str">
        <f ca="1">IFERROR(__xludf.DUMMYFUNCTION("""COMPUTED_VALUE"""),"محمد عبد الغني")</f>
        <v>محمد عبد الغني</v>
      </c>
      <c r="D672" s="2">
        <f ca="1">IFERROR(__xludf.DUMMYFUNCTION("""COMPUTED_VALUE"""),2636)</f>
        <v>2636</v>
      </c>
      <c r="E672" s="2" t="str">
        <f ca="1">IFERROR(__xludf.DUMMYFUNCTION("""COMPUTED_VALUE"""),"EG07-EG08-EG09")</f>
        <v>EG07-EG08-EG09</v>
      </c>
      <c r="F672" s="2" t="str">
        <f ca="1">IFERROR(__xludf.DUMMYFUNCTION("""COMPUTED_VALUE"""),"mabdelghany503@gmail.com")</f>
        <v>mabdelghany503@gmail.com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 t="str">
        <f ca="1">IFERROR(__xludf.DUMMYFUNCTION("""COMPUTED_VALUE"""),"منة قطب")</f>
        <v>منة قطب</v>
      </c>
      <c r="B673" s="2">
        <f ca="1">IFERROR(__xludf.DUMMYFUNCTION("""COMPUTED_VALUE"""),729109646242)</f>
        <v>729109646242</v>
      </c>
      <c r="C673" s="2" t="str">
        <f ca="1">IFERROR(__xludf.DUMMYFUNCTION("""COMPUTED_VALUE"""),"منة قطب")</f>
        <v>منة قطب</v>
      </c>
      <c r="D673" s="2">
        <f ca="1">IFERROR(__xludf.DUMMYFUNCTION("""COMPUTED_VALUE"""),2697)</f>
        <v>2697</v>
      </c>
      <c r="E673" s="2" t="str">
        <f ca="1">IFERROR(__xludf.DUMMYFUNCTION("""COMPUTED_VALUE"""),"EG07-EG08-EG09")</f>
        <v>EG07-EG08-EG09</v>
      </c>
      <c r="F673" s="2" t="str">
        <f ca="1">IFERROR(__xludf.DUMMYFUNCTION("""COMPUTED_VALUE"""),"mennamohamed89166@gmail.com")</f>
        <v>mennamohamed89166@gmail.com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 t="str">
        <f ca="1">IFERROR(__xludf.DUMMYFUNCTION("""COMPUTED_VALUE"""),"عبير فرغلي")</f>
        <v>عبير فرغلي</v>
      </c>
      <c r="B674" s="2">
        <f ca="1">IFERROR(__xludf.DUMMYFUNCTION("""COMPUTED_VALUE"""),643165236429)</f>
        <v>643165236429</v>
      </c>
      <c r="C674" s="2" t="str">
        <f ca="1">IFERROR(__xludf.DUMMYFUNCTION("""COMPUTED_VALUE"""),"عبير فرغلي")</f>
        <v>عبير فرغلي</v>
      </c>
      <c r="D674" s="2">
        <f ca="1">IFERROR(__xludf.DUMMYFUNCTION("""COMPUTED_VALUE"""),2655)</f>
        <v>2655</v>
      </c>
      <c r="E674" s="2" t="str">
        <f ca="1">IFERROR(__xludf.DUMMYFUNCTION("""COMPUTED_VALUE"""),"EG07-EG08-EG09")</f>
        <v>EG07-EG08-EG09</v>
      </c>
      <c r="F674" s="2" t="str">
        <f ca="1">IFERROR(__xludf.DUMMYFUNCTION("""COMPUTED_VALUE"""),"abeervet81@gmail.com")</f>
        <v>abeervet81@gmail.com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 t="str">
        <f ca="1">IFERROR(__xludf.DUMMYFUNCTION("""COMPUTED_VALUE"""),"رانيا عطية")</f>
        <v>رانيا عطية</v>
      </c>
      <c r="B675" s="2">
        <f ca="1">IFERROR(__xludf.DUMMYFUNCTION("""COMPUTED_VALUE"""),828156185164)</f>
        <v>828156185164</v>
      </c>
      <c r="C675" s="2" t="str">
        <f ca="1">IFERROR(__xludf.DUMMYFUNCTION("""COMPUTED_VALUE"""),"رانيا عطية")</f>
        <v>رانيا عطية</v>
      </c>
      <c r="D675" s="2">
        <f ca="1">IFERROR(__xludf.DUMMYFUNCTION("""COMPUTED_VALUE"""),2646)</f>
        <v>2646</v>
      </c>
      <c r="E675" s="2" t="str">
        <f ca="1">IFERROR(__xludf.DUMMYFUNCTION("""COMPUTED_VALUE"""),"EG04-EG05-EG06")</f>
        <v>EG04-EG05-EG06</v>
      </c>
      <c r="F675" s="2" t="str">
        <f ca="1">IFERROR(__xludf.DUMMYFUNCTION("""COMPUTED_VALUE"""),"poissons29.2@gmail.com")</f>
        <v>poissons29.2@gmail.com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 t="str">
        <f ca="1">IFERROR(__xludf.DUMMYFUNCTION("""COMPUTED_VALUE"""),"صفا عادل")</f>
        <v>صفا عادل</v>
      </c>
      <c r="B676" s="2">
        <f ca="1">IFERROR(__xludf.DUMMYFUNCTION("""COMPUTED_VALUE"""),898178084762)</f>
        <v>898178084762</v>
      </c>
      <c r="C676" s="2" t="str">
        <f ca="1">IFERROR(__xludf.DUMMYFUNCTION("""COMPUTED_VALUE"""),"صفا عادل")</f>
        <v>صفا عادل</v>
      </c>
      <c r="D676" s="2">
        <f ca="1">IFERROR(__xludf.DUMMYFUNCTION("""COMPUTED_VALUE"""),2783)</f>
        <v>2783</v>
      </c>
      <c r="E676" s="2" t="str">
        <f ca="1">IFERROR(__xludf.DUMMYFUNCTION("""COMPUTED_VALUE"""),"EG01-EG02-EG03-EG04-EG05-EG06")</f>
        <v>EG01-EG02-EG03-EG04-EG05-EG06</v>
      </c>
      <c r="F676" s="2" t="str">
        <f ca="1">IFERROR(__xludf.DUMMYFUNCTION("""COMPUTED_VALUE"""),"safaadel499@gmail.com")</f>
        <v>safaadel499@gmail.com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 t="str">
        <f ca="1">IFERROR(__xludf.DUMMYFUNCTION("""COMPUTED_VALUE"""),"هبة الله هشام")</f>
        <v>هبة الله هشام</v>
      </c>
      <c r="B677" s="2">
        <f ca="1">IFERROR(__xludf.DUMMYFUNCTION("""COMPUTED_VALUE"""),386167394718)</f>
        <v>386167394718</v>
      </c>
      <c r="C677" s="2" t="str">
        <f ca="1">IFERROR(__xludf.DUMMYFUNCTION("""COMPUTED_VALUE"""),"هبة الله هشام")</f>
        <v>هبة الله هشام</v>
      </c>
      <c r="D677" s="2">
        <f ca="1">IFERROR(__xludf.DUMMYFUNCTION("""COMPUTED_VALUE"""),2763)</f>
        <v>2763</v>
      </c>
      <c r="E677" s="2" t="str">
        <f ca="1">IFERROR(__xludf.DUMMYFUNCTION("""COMPUTED_VALUE"""),"EG03-EG04-EG05-EG06")</f>
        <v>EG03-EG04-EG05-EG06</v>
      </c>
      <c r="F677" s="2" t="str">
        <f ca="1">IFERROR(__xludf.DUMMYFUNCTION("""COMPUTED_VALUE"""),"hebatullahhesham47@gmail.com")</f>
        <v>hebatullahhesham47@gmail.com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 t="str">
        <f ca="1">IFERROR(__xludf.DUMMYFUNCTION("""COMPUTED_VALUE"""),"محمد مسعد")</f>
        <v>محمد مسعد</v>
      </c>
      <c r="B678" s="2">
        <f ca="1">IFERROR(__xludf.DUMMYFUNCTION("""COMPUTED_VALUE"""),257141843453)</f>
        <v>257141843453</v>
      </c>
      <c r="C678" s="2" t="str">
        <f ca="1">IFERROR(__xludf.DUMMYFUNCTION("""COMPUTED_VALUE"""),"محمد مسعد")</f>
        <v>محمد مسعد</v>
      </c>
      <c r="D678" s="2">
        <f ca="1">IFERROR(__xludf.DUMMYFUNCTION("""COMPUTED_VALUE"""),2782)</f>
        <v>2782</v>
      </c>
      <c r="E678" s="2" t="str">
        <f ca="1">IFERROR(__xludf.DUMMYFUNCTION("""COMPUTED_VALUE"""),"EG4-EG5-EG6-EG7-EG8-EG9")</f>
        <v>EG4-EG5-EG6-EG7-EG8-EG9</v>
      </c>
      <c r="F678" s="2" t="str">
        <f ca="1">IFERROR(__xludf.DUMMYFUNCTION("""COMPUTED_VALUE"""),"me3350047@gmail.com")</f>
        <v>me3350047@gmail.com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 t="str">
        <f ca="1">IFERROR(__xludf.DUMMYFUNCTION("""COMPUTED_VALUE"""),"مارتينا مراد")</f>
        <v>مارتينا مراد</v>
      </c>
      <c r="B679" s="2">
        <f ca="1">IFERROR(__xludf.DUMMYFUNCTION("""COMPUTED_VALUE"""),837150415794)</f>
        <v>837150415794</v>
      </c>
      <c r="C679" s="2" t="str">
        <f ca="1">IFERROR(__xludf.DUMMYFUNCTION("""COMPUTED_VALUE"""),"مارتينا مراد")</f>
        <v>مارتينا مراد</v>
      </c>
      <c r="D679" s="2">
        <f ca="1">IFERROR(__xludf.DUMMYFUNCTION("""COMPUTED_VALUE"""),2776)</f>
        <v>2776</v>
      </c>
      <c r="E679" s="2" t="str">
        <f ca="1">IFERROR(__xludf.DUMMYFUNCTION("""COMPUTED_VALUE"""),"EG01-EG02-EG03-EG04-EG05-EG06")</f>
        <v>EG01-EG02-EG03-EG04-EG05-EG06</v>
      </c>
      <c r="F679" s="2" t="str">
        <f ca="1">IFERROR(__xludf.DUMMYFUNCTION("""COMPUTED_VALUE"""),"gorgy7martina@gmail.com")</f>
        <v>gorgy7martina@gmail.com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 t="str">
        <f ca="1">IFERROR(__xludf.DUMMYFUNCTION("""COMPUTED_VALUE"""),"نجوى بدوي")</f>
        <v>نجوى بدوي</v>
      </c>
      <c r="B680" s="2">
        <f ca="1">IFERROR(__xludf.DUMMYFUNCTION("""COMPUTED_VALUE"""),193161234392)</f>
        <v>193161234392</v>
      </c>
      <c r="C680" s="2" t="str">
        <f ca="1">IFERROR(__xludf.DUMMYFUNCTION("""COMPUTED_VALUE"""),"نجوى بدوي")</f>
        <v>نجوى بدوي</v>
      </c>
      <c r="D680" s="2">
        <f ca="1">IFERROR(__xludf.DUMMYFUNCTION("""COMPUTED_VALUE"""),2779)</f>
        <v>2779</v>
      </c>
      <c r="E680" s="2" t="str">
        <f ca="1">IFERROR(__xludf.DUMMYFUNCTION("""COMPUTED_VALUE"""),"EG01-EG02-EG03")</f>
        <v>EG01-EG02-EG03</v>
      </c>
      <c r="F680" s="2" t="str">
        <f ca="1">IFERROR(__xludf.DUMMYFUNCTION("""COMPUTED_VALUE"""),"nosamohamed000@gmail.com")</f>
        <v>nosamohamed000@gmail.com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 t="str">
        <f ca="1">IFERROR(__xludf.DUMMYFUNCTION("""COMPUTED_VALUE"""),"محسن قنديل")</f>
        <v>محسن قنديل</v>
      </c>
      <c r="B681" s="2">
        <f ca="1">IFERROR(__xludf.DUMMYFUNCTION("""COMPUTED_VALUE"""),878128791902)</f>
        <v>878128791902</v>
      </c>
      <c r="C681" s="2" t="str">
        <f ca="1">IFERROR(__xludf.DUMMYFUNCTION("""COMPUTED_VALUE"""),"محسن قنديل")</f>
        <v>محسن قنديل</v>
      </c>
      <c r="D681" s="2">
        <f ca="1">IFERROR(__xludf.DUMMYFUNCTION("""COMPUTED_VALUE"""),2638)</f>
        <v>2638</v>
      </c>
      <c r="E681" s="2" t="str">
        <f ca="1">IFERROR(__xludf.DUMMYFUNCTION("""COMPUTED_VALUE"""),"EG04-EG05-EG06-EG07-EG08-EG09")</f>
        <v>EG04-EG05-EG06-EG07-EG08-EG09</v>
      </c>
      <c r="F681" s="2" t="str">
        <f ca="1">IFERROR(__xludf.DUMMYFUNCTION("""COMPUTED_VALUE"""),"mohsenqandel03@gmail.com")</f>
        <v>mohsenqandel03@gmail.com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 t="str">
        <f ca="1">IFERROR(__xludf.DUMMYFUNCTION("""COMPUTED_VALUE"""),"أحمد رجب")</f>
        <v>أحمد رجب</v>
      </c>
      <c r="B682" s="2">
        <f ca="1">IFERROR(__xludf.DUMMYFUNCTION("""COMPUTED_VALUE"""),240145743263)</f>
        <v>240145743263</v>
      </c>
      <c r="C682" s="2" t="str">
        <f ca="1">IFERROR(__xludf.DUMMYFUNCTION("""COMPUTED_VALUE"""),"أحمد رجب")</f>
        <v>أحمد رجب</v>
      </c>
      <c r="D682" s="2">
        <f ca="1">IFERROR(__xludf.DUMMYFUNCTION("""COMPUTED_VALUE"""),2417)</f>
        <v>2417</v>
      </c>
      <c r="E682" s="2" t="str">
        <f ca="1">IFERROR(__xludf.DUMMYFUNCTION("""COMPUTED_VALUE"""),"EG09-EG10-EG11-EG12")</f>
        <v>EG09-EG10-EG11-EG12</v>
      </c>
      <c r="F682" s="2" t="str">
        <f ca="1">IFERROR(__xludf.DUMMYFUNCTION("""COMPUTED_VALUE"""),"mrahmedragab057@gmail.com")</f>
        <v>mrahmedragab057@gmail.com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 t="str">
        <f ca="1">IFERROR(__xludf.DUMMYFUNCTION("""COMPUTED_VALUE"""),"نور الهدى عبد الرحمن")</f>
        <v>نور الهدى عبد الرحمن</v>
      </c>
      <c r="B683" s="2">
        <f ca="1">IFERROR(__xludf.DUMMYFUNCTION("""COMPUTED_VALUE"""),586129524617)</f>
        <v>586129524617</v>
      </c>
      <c r="C683" s="2" t="str">
        <f ca="1">IFERROR(__xludf.DUMMYFUNCTION("""COMPUTED_VALUE"""),"نور الهدى عبد الرحمن")</f>
        <v>نور الهدى عبد الرحمن</v>
      </c>
      <c r="D683" s="2">
        <f ca="1">IFERROR(__xludf.DUMMYFUNCTION("""COMPUTED_VALUE"""),2796)</f>
        <v>2796</v>
      </c>
      <c r="E683" s="2" t="str">
        <f ca="1">IFERROR(__xludf.DUMMYFUNCTION("""COMPUTED_VALUE"""),"EG07-EG08-EG09")</f>
        <v>EG07-EG08-EG09</v>
      </c>
      <c r="F683" s="2" t="str">
        <f ca="1">IFERROR(__xludf.DUMMYFUNCTION("""COMPUTED_VALUE"""),"nourabdelrahman335@gmail.com")</f>
        <v>nourabdelrahman335@gmail.com</v>
      </c>
      <c r="G683" s="2" t="str">
        <f ca="1">IFERROR(__xludf.DUMMYFUNCTION("""COMPUTED_VALUE"""),"01140943384")</f>
        <v>01140943384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 t="str">
        <f ca="1">IFERROR(__xludf.DUMMYFUNCTION("""COMPUTED_VALUE"""),"آية بيومي")</f>
        <v>آية بيومي</v>
      </c>
      <c r="B684" s="2">
        <f ca="1">IFERROR(__xludf.DUMMYFUNCTION("""COMPUTED_VALUE"""),695187907140)</f>
        <v>695187907140</v>
      </c>
      <c r="C684" s="2" t="str">
        <f ca="1">IFERROR(__xludf.DUMMYFUNCTION("""COMPUTED_VALUE"""),"آية بيومي")</f>
        <v>آية بيومي</v>
      </c>
      <c r="D684" s="2">
        <f ca="1">IFERROR(__xludf.DUMMYFUNCTION("""COMPUTED_VALUE"""),2795)</f>
        <v>2795</v>
      </c>
      <c r="E684" s="2" t="str">
        <f ca="1">IFERROR(__xludf.DUMMYFUNCTION("""COMPUTED_VALUE"""),"EG04-EG05-EG06")</f>
        <v>EG04-EG05-EG06</v>
      </c>
      <c r="F684" s="2" t="str">
        <f ca="1">IFERROR(__xludf.DUMMYFUNCTION("""COMPUTED_VALUE"""),"msayabayoumy@gmail.com")</f>
        <v>msayabayoumy@gmail.com</v>
      </c>
      <c r="G684" s="2" t="str">
        <f ca="1">IFERROR(__xludf.DUMMYFUNCTION("""COMPUTED_VALUE"""),"01143323764")</f>
        <v>01143323764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 t="str">
        <f ca="1">IFERROR(__xludf.DUMMYFUNCTION("""COMPUTED_VALUE"""),"نصرة حسين")</f>
        <v>نصرة حسين</v>
      </c>
      <c r="B685" s="2">
        <f ca="1">IFERROR(__xludf.DUMMYFUNCTION("""COMPUTED_VALUE"""),723106572403)</f>
        <v>723106572403</v>
      </c>
      <c r="C685" s="2" t="str">
        <f ca="1">IFERROR(__xludf.DUMMYFUNCTION("""COMPUTED_VALUE"""),"نصرة حسين")</f>
        <v>نصرة حسين</v>
      </c>
      <c r="D685" s="2">
        <f ca="1">IFERROR(__xludf.DUMMYFUNCTION("""COMPUTED_VALUE"""),2752)</f>
        <v>2752</v>
      </c>
      <c r="E685" s="2" t="str">
        <f ca="1">IFERROR(__xludf.DUMMYFUNCTION("""COMPUTED_VALUE"""),"EG04-EG05-EG06")</f>
        <v>EG04-EG05-EG06</v>
      </c>
      <c r="F685" s="2" t="str">
        <f ca="1">IFERROR(__xludf.DUMMYFUNCTION("""COMPUTED_VALUE"""),"nasrahussein422@gmail.com")</f>
        <v>nasrahussein422@gmail.com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 t="str">
        <f ca="1">IFERROR(__xludf.DUMMYFUNCTION("""COMPUTED_VALUE"""),"أميرة بدير")</f>
        <v>أميرة بدير</v>
      </c>
      <c r="B686" s="2">
        <f ca="1">IFERROR(__xludf.DUMMYFUNCTION("""COMPUTED_VALUE"""),638145149439)</f>
        <v>638145149439</v>
      </c>
      <c r="C686" s="2" t="str">
        <f ca="1">IFERROR(__xludf.DUMMYFUNCTION("""COMPUTED_VALUE"""),"أميرة بدير")</f>
        <v>أميرة بدير</v>
      </c>
      <c r="D686" s="2">
        <f ca="1">IFERROR(__xludf.DUMMYFUNCTION("""COMPUTED_VALUE"""),2668)</f>
        <v>2668</v>
      </c>
      <c r="E686" s="2" t="str">
        <f ca="1">IFERROR(__xludf.DUMMYFUNCTION("""COMPUTED_VALUE"""),"EG04-EG05-EG06")</f>
        <v>EG04-EG05-EG06</v>
      </c>
      <c r="F686" s="2" t="str">
        <f ca="1">IFERROR(__xludf.DUMMYFUNCTION("""COMPUTED_VALUE"""),"amiratutmask@gmail.com")</f>
        <v>amiratutmask@gmail.com</v>
      </c>
      <c r="G686" s="2" t="str">
        <f ca="1">IFERROR(__xludf.DUMMYFUNCTION("""COMPUTED_VALUE"""),"01006331821")</f>
        <v>01006331821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 t="str">
        <f ca="1">IFERROR(__xludf.DUMMYFUNCTION("""COMPUTED_VALUE"""),"محمد عبد الله")</f>
        <v>محمد عبد الله</v>
      </c>
      <c r="B687" s="2">
        <f ca="1">IFERROR(__xludf.DUMMYFUNCTION("""COMPUTED_VALUE"""),286134930682)</f>
        <v>286134930682</v>
      </c>
      <c r="C687" s="2" t="str">
        <f ca="1">IFERROR(__xludf.DUMMYFUNCTION("""COMPUTED_VALUE"""),"محمد عبد الله")</f>
        <v>محمد عبد الله</v>
      </c>
      <c r="D687" s="2">
        <f ca="1">IFERROR(__xludf.DUMMYFUNCTION("""COMPUTED_VALUE"""),2637)</f>
        <v>2637</v>
      </c>
      <c r="E687" s="2" t="str">
        <f ca="1">IFERROR(__xludf.DUMMYFUNCTION("""COMPUTED_VALUE"""),"EG04-EG05-EG06-EG07-EG08-EG09-EG10-EG11-EG12")</f>
        <v>EG04-EG05-EG06-EG07-EG08-EG09-EG10-EG11-EG12</v>
      </c>
      <c r="F687" s="2" t="str">
        <f ca="1">IFERROR(__xludf.DUMMYFUNCTION("""COMPUTED_VALUE"""),"princemido@hotmail.com")</f>
        <v>princemido@hotmail.com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 t="str">
        <f ca="1">IFERROR(__xludf.DUMMYFUNCTION("""COMPUTED_VALUE"""),"رويدا فكري")</f>
        <v>رويدا فكري</v>
      </c>
      <c r="B688" s="2">
        <f ca="1">IFERROR(__xludf.DUMMYFUNCTION("""COMPUTED_VALUE"""),715147613634)</f>
        <v>715147613634</v>
      </c>
      <c r="C688" s="2" t="str">
        <f ca="1">IFERROR(__xludf.DUMMYFUNCTION("""COMPUTED_VALUE"""),"رويدا فكري")</f>
        <v>رويدا فكري</v>
      </c>
      <c r="D688" s="2">
        <f ca="1">IFERROR(__xludf.DUMMYFUNCTION("""COMPUTED_VALUE"""),2721)</f>
        <v>2721</v>
      </c>
      <c r="E688" s="2" t="str">
        <f ca="1">IFERROR(__xludf.DUMMYFUNCTION("""COMPUTED_VALUE"""),"EG07-EG08-EG09")</f>
        <v>EG07-EG08-EG09</v>
      </c>
      <c r="F688" s="2" t="str">
        <f ca="1">IFERROR(__xludf.DUMMYFUNCTION("""COMPUTED_VALUE"""),"rowida.fekri.3325@gmail.com")</f>
        <v>rowida.fekri.3325@gmail.com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 t="str">
        <f ca="1">IFERROR(__xludf.DUMMYFUNCTION("""COMPUTED_VALUE"""),"هاني حواس")</f>
        <v>هاني حواس</v>
      </c>
      <c r="B689" s="2">
        <f ca="1">IFERROR(__xludf.DUMMYFUNCTION("""COMPUTED_VALUE"""),638195271502)</f>
        <v>638195271502</v>
      </c>
      <c r="C689" s="2" t="str">
        <f ca="1">IFERROR(__xludf.DUMMYFUNCTION("""COMPUTED_VALUE"""),"هاني حواس")</f>
        <v>هاني حواس</v>
      </c>
      <c r="D689" s="2">
        <f ca="1">IFERROR(__xludf.DUMMYFUNCTION("""COMPUTED_VALUE"""),2559)</f>
        <v>2559</v>
      </c>
      <c r="E689" s="2" t="str">
        <f ca="1">IFERROR(__xludf.DUMMYFUNCTION("""COMPUTED_VALUE"""),"EG07-EG08-EG09")</f>
        <v>EG07-EG08-EG09</v>
      </c>
      <c r="F689" s="2" t="str">
        <f ca="1">IFERROR(__xludf.DUMMYFUNCTION("""COMPUTED_VALUE"""),"hany.hawas175@gmail.com")</f>
        <v>hany.hawas175@gmail.com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 t="str">
        <f ca="1">IFERROR(__xludf.DUMMYFUNCTION("""COMPUTED_VALUE"""),"غدي معاذ")</f>
        <v>غدي معاذ</v>
      </c>
      <c r="B690" s="2">
        <f ca="1">IFERROR(__xludf.DUMMYFUNCTION("""COMPUTED_VALUE"""),274128962341)</f>
        <v>274128962341</v>
      </c>
      <c r="C690" s="2" t="str">
        <f ca="1">IFERROR(__xludf.DUMMYFUNCTION("""COMPUTED_VALUE"""),"غدي معاذ")</f>
        <v>غدي معاذ</v>
      </c>
      <c r="D690" s="2">
        <f ca="1">IFERROR(__xludf.DUMMYFUNCTION("""COMPUTED_VALUE"""),2633)</f>
        <v>2633</v>
      </c>
      <c r="E690" s="2" t="str">
        <f ca="1">IFERROR(__xludf.DUMMYFUNCTION("""COMPUTED_VALUE"""),"EG04-EG05-EG06-EG07-EG08-EG09")</f>
        <v>EG04-EG05-EG06-EG07-EG08-EG09</v>
      </c>
      <c r="F690" s="2" t="str">
        <f ca="1">IFERROR(__xludf.DUMMYFUNCTION("""COMPUTED_VALUE"""),"moaazghady@gmail.com")</f>
        <v>moaazghady@gmail.com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 t="str">
        <f ca="1">IFERROR(__xludf.DUMMYFUNCTION("""COMPUTED_VALUE"""),"جهاد مصطفى")</f>
        <v>جهاد مصطفى</v>
      </c>
      <c r="B691" s="2">
        <f ca="1">IFERROR(__xludf.DUMMYFUNCTION("""COMPUTED_VALUE"""),686140960605)</f>
        <v>686140960605</v>
      </c>
      <c r="C691" s="2" t="str">
        <f ca="1">IFERROR(__xludf.DUMMYFUNCTION("""COMPUTED_VALUE"""),"جهاد مصطفى")</f>
        <v>جهاد مصطفى</v>
      </c>
      <c r="D691" s="2"/>
      <c r="E691" s="2" t="str">
        <f ca="1">IFERROR(__xludf.DUMMYFUNCTION("""COMPUTED_VALUE"""),"EG04-EG05-EG06")</f>
        <v>EG04-EG05-EG06</v>
      </c>
      <c r="F691" s="2" t="str">
        <f ca="1">IFERROR(__xludf.DUMMYFUNCTION("""COMPUTED_VALUE"""),"gedahad1511@gmail.com")</f>
        <v>gedahad1511@gmail.com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 t="str">
        <f ca="1">IFERROR(__xludf.DUMMYFUNCTION("""COMPUTED_VALUE"""),"مروة صلاح")</f>
        <v>مروة صلاح</v>
      </c>
      <c r="B692" s="2">
        <f ca="1">IFERROR(__xludf.DUMMYFUNCTION("""COMPUTED_VALUE"""),782124541790)</f>
        <v>782124541790</v>
      </c>
      <c r="C692" s="2" t="str">
        <f ca="1">IFERROR(__xludf.DUMMYFUNCTION("""COMPUTED_VALUE"""),"مروة صلاح")</f>
        <v>مروة صلاح</v>
      </c>
      <c r="D692" s="2">
        <f ca="1">IFERROR(__xludf.DUMMYFUNCTION("""COMPUTED_VALUE"""),2789)</f>
        <v>2789</v>
      </c>
      <c r="E692" s="2" t="str">
        <f ca="1">IFERROR(__xludf.DUMMYFUNCTION("""COMPUTED_VALUE"""),"EG01-EG02-EG03-EG04-EG05")</f>
        <v>EG01-EG02-EG03-EG04-EG05</v>
      </c>
      <c r="F692" s="2" t="str">
        <f ca="1">IFERROR(__xludf.DUMMYFUNCTION("""COMPUTED_VALUE"""),"marwacambridge66@gmail.com")</f>
        <v>marwacambridge66@gmail.com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 t="str">
        <f ca="1">IFERROR(__xludf.DUMMYFUNCTION("""COMPUTED_VALUE"""),"محمد سعيد")</f>
        <v>محمد سعيد</v>
      </c>
      <c r="B693" s="2">
        <f ca="1">IFERROR(__xludf.DUMMYFUNCTION("""COMPUTED_VALUE"""),730148062985)</f>
        <v>730148062985</v>
      </c>
      <c r="C693" s="2" t="str">
        <f ca="1">IFERROR(__xludf.DUMMYFUNCTION("""COMPUTED_VALUE"""),"محمد سعيد")</f>
        <v>محمد سعيد</v>
      </c>
      <c r="D693" s="2">
        <f ca="1">IFERROR(__xludf.DUMMYFUNCTION("""COMPUTED_VALUE"""),2692)</f>
        <v>2692</v>
      </c>
      <c r="E693" s="2" t="str">
        <f ca="1">IFERROR(__xludf.DUMMYFUNCTION("""COMPUTED_VALUE"""),"EG07-EG08-EG09")</f>
        <v>EG07-EG08-EG09</v>
      </c>
      <c r="F693" s="2" t="str">
        <f ca="1">IFERROR(__xludf.DUMMYFUNCTION("""COMPUTED_VALUE"""),"mohamedsaid6622@gmail.com")</f>
        <v>mohamedsaid6622@gmail.com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 t="str">
        <f ca="1">IFERROR(__xludf.DUMMYFUNCTION("""COMPUTED_VALUE"""),"نرمين حسن")</f>
        <v>نرمين حسن</v>
      </c>
      <c r="B694" s="2">
        <f ca="1">IFERROR(__xludf.DUMMYFUNCTION("""COMPUTED_VALUE"""),872109756075)</f>
        <v>872109756075</v>
      </c>
      <c r="C694" s="2" t="str">
        <f ca="1">IFERROR(__xludf.DUMMYFUNCTION("""COMPUTED_VALUE"""),"نرمين حسن")</f>
        <v>نرمين حسن</v>
      </c>
      <c r="D694" s="2">
        <f ca="1">IFERROR(__xludf.DUMMYFUNCTION("""COMPUTED_VALUE"""),2772)</f>
        <v>2772</v>
      </c>
      <c r="E694" s="2" t="str">
        <f ca="1">IFERROR(__xludf.DUMMYFUNCTION("""COMPUTED_VALUE"""),"EG04-EG05-EG06")</f>
        <v>EG04-EG05-EG06</v>
      </c>
      <c r="F694" s="2" t="str">
        <f ca="1">IFERROR(__xludf.DUMMYFUNCTION("""COMPUTED_VALUE"""),"nermeenhasan35@gmail.com")</f>
        <v>nermeenhasan35@gmail.com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 t="str">
        <f ca="1">IFERROR(__xludf.DUMMYFUNCTION("""COMPUTED_VALUE"""),"مايكل إميل")</f>
        <v>مايكل إميل</v>
      </c>
      <c r="B695" s="2">
        <f ca="1">IFERROR(__xludf.DUMMYFUNCTION("""COMPUTED_VALUE"""),105170539032)</f>
        <v>105170539032</v>
      </c>
      <c r="C695" s="2" t="str">
        <f ca="1">IFERROR(__xludf.DUMMYFUNCTION("""COMPUTED_VALUE"""),"مايكل إميل")</f>
        <v>مايكل إميل</v>
      </c>
      <c r="D695" s="2">
        <f ca="1">IFERROR(__xludf.DUMMYFUNCTION("""COMPUTED_VALUE"""),2734)</f>
        <v>2734</v>
      </c>
      <c r="E695" s="2" t="str">
        <f ca="1">IFERROR(__xludf.DUMMYFUNCTION("""COMPUTED_VALUE"""),"EG07-EG08-EG09")</f>
        <v>EG07-EG08-EG09</v>
      </c>
      <c r="F695" s="2" t="str">
        <f ca="1">IFERROR(__xludf.DUMMYFUNCTION("""COMPUTED_VALUE"""),"michael.emil306@gmail.com")</f>
        <v>michael.emil306@gmail.com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 t="str">
        <f ca="1">IFERROR(__xludf.DUMMYFUNCTION("""COMPUTED_VALUE"""),"ليلى محمود")</f>
        <v>ليلى محمود</v>
      </c>
      <c r="B696" s="2">
        <f ca="1">IFERROR(__xludf.DUMMYFUNCTION("""COMPUTED_VALUE"""),283104819698)</f>
        <v>283104819698</v>
      </c>
      <c r="C696" s="2" t="str">
        <f ca="1">IFERROR(__xludf.DUMMYFUNCTION("""COMPUTED_VALUE"""),"ليلى محمود")</f>
        <v>ليلى محمود</v>
      </c>
      <c r="D696" s="2">
        <f ca="1">IFERROR(__xludf.DUMMYFUNCTION("""COMPUTED_VALUE"""),2669)</f>
        <v>2669</v>
      </c>
      <c r="E696" s="2" t="str">
        <f ca="1">IFERROR(__xludf.DUMMYFUNCTION("""COMPUTED_VALUE"""),"EG07-EG08-EG09")</f>
        <v>EG07-EG08-EG09</v>
      </c>
      <c r="F696" s="2" t="str">
        <f ca="1">IFERROR(__xludf.DUMMYFUNCTION("""COMPUTED_VALUE"""),"tenderrose148@gmail.com")</f>
        <v>tenderrose148@gmail.com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 t="str">
        <f ca="1">IFERROR(__xludf.DUMMYFUNCTION("""COMPUTED_VALUE"""),"نوران أنور")</f>
        <v>نوران أنور</v>
      </c>
      <c r="B697" s="2">
        <f ca="1">IFERROR(__xludf.DUMMYFUNCTION("""COMPUTED_VALUE"""),960189502368)</f>
        <v>960189502368</v>
      </c>
      <c r="C697" s="2" t="str">
        <f ca="1">IFERROR(__xludf.DUMMYFUNCTION("""COMPUTED_VALUE"""),"نوران أنور")</f>
        <v>نوران أنور</v>
      </c>
      <c r="D697" s="2">
        <f ca="1">IFERROR(__xludf.DUMMYFUNCTION("""COMPUTED_VALUE"""),2786)</f>
        <v>2786</v>
      </c>
      <c r="E697" s="2" t="str">
        <f ca="1">IFERROR(__xludf.DUMMYFUNCTION("""COMPUTED_VALUE"""),"EG01-EG02-EG03")</f>
        <v>EG01-EG02-EG03</v>
      </c>
      <c r="F697" s="2" t="str">
        <f ca="1">IFERROR(__xludf.DUMMYFUNCTION("""COMPUTED_VALUE"""),"nourananwar47@gmail.com")</f>
        <v>nourananwar47@gmail.com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 t="str">
        <f ca="1">IFERROR(__xludf.DUMMYFUNCTION("""COMPUTED_VALUE"""),"سعدية أحمد")</f>
        <v>سعدية أحمد</v>
      </c>
      <c r="B698" s="2">
        <f ca="1">IFERROR(__xludf.DUMMYFUNCTION("""COMPUTED_VALUE"""),578126806131)</f>
        <v>578126806131</v>
      </c>
      <c r="C698" s="2" t="str">
        <f ca="1">IFERROR(__xludf.DUMMYFUNCTION("""COMPUTED_VALUE"""),"سعدية أحمد")</f>
        <v>سعدية أحمد</v>
      </c>
      <c r="D698" s="2">
        <f ca="1">IFERROR(__xludf.DUMMYFUNCTION("""COMPUTED_VALUE"""),2640)</f>
        <v>2640</v>
      </c>
      <c r="E698" s="2" t="str">
        <f ca="1">IFERROR(__xludf.DUMMYFUNCTION("""COMPUTED_VALUE"""),"EG03-EG04-EG05-EG06")</f>
        <v>EG03-EG04-EG05-EG06</v>
      </c>
      <c r="F698" s="2" t="str">
        <f ca="1">IFERROR(__xludf.DUMMYFUNCTION("""COMPUTED_VALUE"""),"asaadia881@gmail.com")</f>
        <v>asaadia881@gmail.com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 t="str">
        <f ca="1">IFERROR(__xludf.DUMMYFUNCTION("""COMPUTED_VALUE"""),"هدى عباس")</f>
        <v>هدى عباس</v>
      </c>
      <c r="B699" s="2">
        <f ca="1">IFERROR(__xludf.DUMMYFUNCTION("""COMPUTED_VALUE"""),679131265016)</f>
        <v>679131265016</v>
      </c>
      <c r="C699" s="2" t="str">
        <f ca="1">IFERROR(__xludf.DUMMYFUNCTION("""COMPUTED_VALUE"""),"هدى عباس")</f>
        <v>هدى عباس</v>
      </c>
      <c r="D699" s="2">
        <f ca="1">IFERROR(__xludf.DUMMYFUNCTION("""COMPUTED_VALUE"""),2716)</f>
        <v>2716</v>
      </c>
      <c r="E699" s="2" t="str">
        <f ca="1">IFERROR(__xludf.DUMMYFUNCTION("""COMPUTED_VALUE"""),"EG04-EG05-EG06")</f>
        <v>EG04-EG05-EG06</v>
      </c>
      <c r="F699" s="2" t="str">
        <f ca="1">IFERROR(__xludf.DUMMYFUNCTION("""COMPUTED_VALUE"""),"3mahoda@gmail.com")</f>
        <v>3mahoda@gmail.com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 t="str">
        <f ca="1">IFERROR(__xludf.DUMMYFUNCTION("""COMPUTED_VALUE"""),"بيتر مدحت")</f>
        <v>بيتر مدحت</v>
      </c>
      <c r="B700" s="2">
        <f ca="1">IFERROR(__xludf.DUMMYFUNCTION("""COMPUTED_VALUE"""),105126902692)</f>
        <v>105126902692</v>
      </c>
      <c r="C700" s="2" t="str">
        <f ca="1">IFERROR(__xludf.DUMMYFUNCTION("""COMPUTED_VALUE"""),"بيتر مدحت")</f>
        <v>بيتر مدحت</v>
      </c>
      <c r="D700" s="2">
        <f ca="1">IFERROR(__xludf.DUMMYFUNCTION("""COMPUTED_VALUE"""),2794)</f>
        <v>2794</v>
      </c>
      <c r="E700" s="2" t="str">
        <f ca="1">IFERROR(__xludf.DUMMYFUNCTION("""COMPUTED_VALUE"""),"EG04-EG05-EG06")</f>
        <v>EG04-EG05-EG06</v>
      </c>
      <c r="F700" s="2" t="str">
        <f ca="1">IFERROR(__xludf.DUMMYFUNCTION("""COMPUTED_VALUE"""),"petermedhat25@gmail.com")</f>
        <v>petermedhat25@gmail.com</v>
      </c>
      <c r="G700" s="2" t="str">
        <f ca="1">IFERROR(__xludf.DUMMYFUNCTION("""COMPUTED_VALUE"""),"01282584743")</f>
        <v>01282584743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 t="str">
        <f ca="1">IFERROR(__xludf.DUMMYFUNCTION("""COMPUTED_VALUE"""),"مروة المستكاوي")</f>
        <v>مروة المستكاوي</v>
      </c>
      <c r="B701" s="2">
        <f ca="1">IFERROR(__xludf.DUMMYFUNCTION("""COMPUTED_VALUE"""),206131919704)</f>
        <v>206131919704</v>
      </c>
      <c r="C701" s="2" t="str">
        <f ca="1">IFERROR(__xludf.DUMMYFUNCTION("""COMPUTED_VALUE"""),"مروة المستكاوي")</f>
        <v>مروة المستكاوي</v>
      </c>
      <c r="D701" s="2">
        <f ca="1">IFERROR(__xludf.DUMMYFUNCTION("""COMPUTED_VALUE"""),2736)</f>
        <v>2736</v>
      </c>
      <c r="E701" s="2" t="str">
        <f ca="1">IFERROR(__xludf.DUMMYFUNCTION("""COMPUTED_VALUE"""),"EG04-EG05-EG06-EG07-EG08-EG09")</f>
        <v>EG04-EG05-EG06-EG07-EG08-EG09</v>
      </c>
      <c r="F701" s="2" t="str">
        <f ca="1">IFERROR(__xludf.DUMMYFUNCTION("""COMPUTED_VALUE"""),"marwa.mohammed2016@gmail.com")</f>
        <v>marwa.mohammed2016@gmail.com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 t="str">
        <f ca="1">IFERROR(__xludf.DUMMYFUNCTION("""COMPUTED_VALUE"""),"وليد علي")</f>
        <v>وليد علي</v>
      </c>
      <c r="B702" s="2">
        <f ca="1">IFERROR(__xludf.DUMMYFUNCTION("""COMPUTED_VALUE"""),350132398282)</f>
        <v>350132398282</v>
      </c>
      <c r="C702" s="2" t="str">
        <f ca="1">IFERROR(__xludf.DUMMYFUNCTION("""COMPUTED_VALUE"""),"وليد علي")</f>
        <v>وليد علي</v>
      </c>
      <c r="D702" s="2">
        <f ca="1">IFERROR(__xludf.DUMMYFUNCTION("""COMPUTED_VALUE"""),2778)</f>
        <v>2778</v>
      </c>
      <c r="E702" s="2" t="str">
        <f ca="1">IFERROR(__xludf.DUMMYFUNCTION("""COMPUTED_VALUE"""),"EG04-EG05-EG06-EG07-EG08-EG09")</f>
        <v>EG04-EG05-EG06-EG07-EG08-EG09</v>
      </c>
      <c r="F702" s="2" t="str">
        <f ca="1">IFERROR(__xludf.DUMMYFUNCTION("""COMPUTED_VALUE"""),"mr.walidali79@gmail.com")</f>
        <v>mr.walidali79@gmail.com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 t="str">
        <f ca="1">IFERROR(__xludf.DUMMYFUNCTION("""COMPUTED_VALUE"""),"نهال عصمت")</f>
        <v>نهال عصمت</v>
      </c>
      <c r="B703" s="2">
        <f ca="1">IFERROR(__xludf.DUMMYFUNCTION("""COMPUTED_VALUE"""),575153852182)</f>
        <v>575153852182</v>
      </c>
      <c r="C703" s="2" t="str">
        <f ca="1">IFERROR(__xludf.DUMMYFUNCTION("""COMPUTED_VALUE"""),"نهال عصمت")</f>
        <v>نهال عصمت</v>
      </c>
      <c r="D703" s="2" t="str">
        <f ca="1">IFERROR(__xludf.DUMMYFUNCTION("""COMPUTED_VALUE"""),"#N/A")</f>
        <v>#N/A</v>
      </c>
      <c r="E703" s="2"/>
      <c r="F703" s="2" t="str">
        <f ca="1">IFERROR(__xludf.DUMMYFUNCTION("""COMPUTED_VALUE"""),"nihal.h.noaman@gmail.com")</f>
        <v>nihal.h.noaman@gmail.com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 t="str">
        <f ca="1">IFERROR(__xludf.DUMMYFUNCTION("""COMPUTED_VALUE"""),"مريم يحيى")</f>
        <v>مريم يحيى</v>
      </c>
      <c r="B704" s="2">
        <f ca="1">IFERROR(__xludf.DUMMYFUNCTION("""COMPUTED_VALUE"""),186108150941)</f>
        <v>186108150941</v>
      </c>
      <c r="C704" s="2" t="str">
        <f ca="1">IFERROR(__xludf.DUMMYFUNCTION("""COMPUTED_VALUE"""),"مريم يحيى")</f>
        <v>مريم يحيى</v>
      </c>
      <c r="D704" s="2" t="str">
        <f ca="1">IFERROR(__xludf.DUMMYFUNCTION("""COMPUTED_VALUE"""),"#N/A")</f>
        <v>#N/A</v>
      </c>
      <c r="E704" s="2"/>
      <c r="F704" s="2" t="str">
        <f ca="1">IFERROR(__xludf.DUMMYFUNCTION("""COMPUTED_VALUE"""),"monnamy7@gmail.com")</f>
        <v>monnamy7@gmail.com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 t="str">
        <f ca="1">IFERROR(__xludf.DUMMYFUNCTION("""COMPUTED_VALUE"""),"آية مجاهد")</f>
        <v>آية مجاهد</v>
      </c>
      <c r="B705" s="2">
        <f ca="1">IFERROR(__xludf.DUMMYFUNCTION("""COMPUTED_VALUE"""),537126249693)</f>
        <v>537126249693</v>
      </c>
      <c r="C705" s="2" t="str">
        <f ca="1">IFERROR(__xludf.DUMMYFUNCTION("""COMPUTED_VALUE"""),"آية مجاهد")</f>
        <v>آية مجاهد</v>
      </c>
      <c r="D705" s="2">
        <f ca="1">IFERROR(__xludf.DUMMYFUNCTION("""COMPUTED_VALUE"""),2775)</f>
        <v>2775</v>
      </c>
      <c r="E705" s="2" t="str">
        <f ca="1">IFERROR(__xludf.DUMMYFUNCTION("""COMPUTED_VALUE"""),"EG04-EG05-EG06")</f>
        <v>EG04-EG05-EG06</v>
      </c>
      <c r="F705" s="2" t="str">
        <f ca="1">IFERROR(__xludf.DUMMYFUNCTION("""COMPUTED_VALUE"""),"ayamegahed071@gmail.com")</f>
        <v>ayamegahed071@gmail.com</v>
      </c>
      <c r="G705" s="2" t="str">
        <f ca="1">IFERROR(__xludf.DUMMYFUNCTION("""COMPUTED_VALUE"""),"01066056096")</f>
        <v>01066056096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 t="str">
        <f ca="1">IFERROR(__xludf.DUMMYFUNCTION("""COMPUTED_VALUE"""),"نادر عاطف")</f>
        <v>نادر عاطف</v>
      </c>
      <c r="B706" s="2">
        <f ca="1">IFERROR(__xludf.DUMMYFUNCTION("""COMPUTED_VALUE"""),962150658402)</f>
        <v>962150658402</v>
      </c>
      <c r="C706" s="2" t="str">
        <f ca="1">IFERROR(__xludf.DUMMYFUNCTION("""COMPUTED_VALUE"""),"نادر عاطف")</f>
        <v>نادر عاطف</v>
      </c>
      <c r="D706" s="2" t="str">
        <f ca="1">IFERROR(__xludf.DUMMYFUNCTION("""COMPUTED_VALUE"""),"#N/A")</f>
        <v>#N/A</v>
      </c>
      <c r="E706" s="2"/>
      <c r="F706" s="2" t="str">
        <f ca="1">IFERROR(__xludf.DUMMYFUNCTION("""COMPUTED_VALUE"""),"nader.atef@nagwa.com")</f>
        <v>nader.atef@nagwa.com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 t="str">
        <f ca="1">IFERROR(__xludf.DUMMYFUNCTION("""COMPUTED_VALUE"""),"نرمين رضا")</f>
        <v>نرمين رضا</v>
      </c>
      <c r="B707" s="2">
        <f ca="1">IFERROR(__xludf.DUMMYFUNCTION("""COMPUTED_VALUE"""),957162109584)</f>
        <v>957162109584</v>
      </c>
      <c r="C707" s="2" t="str">
        <f ca="1">IFERROR(__xludf.DUMMYFUNCTION("""COMPUTED_VALUE"""),"نرمين رضا")</f>
        <v>نرمين رضا</v>
      </c>
      <c r="D707" s="2">
        <f ca="1">IFERROR(__xludf.DUMMYFUNCTION("""COMPUTED_VALUE"""),2808)</f>
        <v>2808</v>
      </c>
      <c r="E707" s="2" t="str">
        <f ca="1">IFERROR(__xludf.DUMMYFUNCTION("""COMPUTED_VALUE"""),"EG07-EG08")</f>
        <v>EG07-EG08</v>
      </c>
      <c r="F707" s="2" t="str">
        <f ca="1">IFERROR(__xludf.DUMMYFUNCTION("""COMPUTED_VALUE"""),"totareda172@gmail.com")</f>
        <v>totareda172@gmail.com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 t="str">
        <f ca="1">IFERROR(__xludf.DUMMYFUNCTION("""COMPUTED_VALUE"""),"أحمد توفيق")</f>
        <v>أحمد توفيق</v>
      </c>
      <c r="B708" s="2">
        <f ca="1">IFERROR(__xludf.DUMMYFUNCTION("""COMPUTED_VALUE"""),863152852634)</f>
        <v>863152852634</v>
      </c>
      <c r="C708" s="2" t="str">
        <f ca="1">IFERROR(__xludf.DUMMYFUNCTION("""COMPUTED_VALUE"""),"أحمد توفيق")</f>
        <v>أحمد توفيق</v>
      </c>
      <c r="D708" s="2">
        <f ca="1">IFERROR(__xludf.DUMMYFUNCTION("""COMPUTED_VALUE"""),2804)</f>
        <v>2804</v>
      </c>
      <c r="E708" s="2" t="str">
        <f ca="1">IFERROR(__xludf.DUMMYFUNCTION("""COMPUTED_VALUE"""),"EG04-EG05-EG06")</f>
        <v>EG04-EG05-EG06</v>
      </c>
      <c r="F708" s="2" t="str">
        <f ca="1">IFERROR(__xludf.DUMMYFUNCTION("""COMPUTED_VALUE"""),"ahmedtawfek2002@gmail.com")</f>
        <v>ahmedtawfek2002@gmail.com</v>
      </c>
      <c r="G708" s="2" t="str">
        <f ca="1">IFERROR(__xludf.DUMMYFUNCTION("""COMPUTED_VALUE"""),"01098960940")</f>
        <v>01098960940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 t="str">
        <f ca="1">IFERROR(__xludf.DUMMYFUNCTION("""COMPUTED_VALUE"""),"مونيكا نعيم")</f>
        <v>مونيكا نعيم</v>
      </c>
      <c r="B709" s="2">
        <f ca="1">IFERROR(__xludf.DUMMYFUNCTION("""COMPUTED_VALUE"""),869135808760)</f>
        <v>869135808760</v>
      </c>
      <c r="C709" s="2" t="str">
        <f ca="1">IFERROR(__xludf.DUMMYFUNCTION("""COMPUTED_VALUE"""),"مونيكا نعيم")</f>
        <v>مونيكا نعيم</v>
      </c>
      <c r="D709" s="2" t="str">
        <f ca="1">IFERROR(__xludf.DUMMYFUNCTION("""COMPUTED_VALUE"""),"#N/A")</f>
        <v>#N/A</v>
      </c>
      <c r="E709" s="2"/>
      <c r="F709" s="2" t="str">
        <f ca="1">IFERROR(__xludf.DUMMYFUNCTION("""COMPUTED_VALUE"""),"monicanaeim85@gmail.com")</f>
        <v>monicanaeim85@gmail.com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 t="str">
        <f ca="1">IFERROR(__xludf.DUMMYFUNCTION("""COMPUTED_VALUE"""),"شاهنده محمد")</f>
        <v>شاهنده محمد</v>
      </c>
      <c r="B710" s="2">
        <f ca="1">IFERROR(__xludf.DUMMYFUNCTION("""COMPUTED_VALUE"""),439182479634)</f>
        <v>439182479634</v>
      </c>
      <c r="C710" s="2" t="str">
        <f ca="1">IFERROR(__xludf.DUMMYFUNCTION("""COMPUTED_VALUE"""),"شاهنده محمد")</f>
        <v>شاهنده محمد</v>
      </c>
      <c r="D710" s="2">
        <f ca="1">IFERROR(__xludf.DUMMYFUNCTION("""COMPUTED_VALUE"""),2807)</f>
        <v>2807</v>
      </c>
      <c r="E710" s="2" t="str">
        <f ca="1">IFERROR(__xludf.DUMMYFUNCTION("""COMPUTED_VALUE"""),"EG01-EG02-EG03-EG04")</f>
        <v>EG01-EG02-EG03-EG04</v>
      </c>
      <c r="F710" s="2" t="str">
        <f ca="1">IFERROR(__xludf.DUMMYFUNCTION("""COMPUTED_VALUE"""),"shahendamohammad3@gmail.com")</f>
        <v>shahendamohammad3@gmail.com</v>
      </c>
      <c r="G710" s="2" t="str">
        <f ca="1">IFERROR(__xludf.DUMMYFUNCTION("""COMPUTED_VALUE"""),"01223315390")</f>
        <v>01223315390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 t="str">
        <f ca="1">IFERROR(__xludf.DUMMYFUNCTION("""COMPUTED_VALUE"""),"هبة يحيى")</f>
        <v>هبة يحيى</v>
      </c>
      <c r="B711" s="2">
        <f ca="1">IFERROR(__xludf.DUMMYFUNCTION("""COMPUTED_VALUE"""),103163201686)</f>
        <v>103163201686</v>
      </c>
      <c r="C711" s="2" t="str">
        <f ca="1">IFERROR(__xludf.DUMMYFUNCTION("""COMPUTED_VALUE"""),"هبة يحيى")</f>
        <v>هبة يحيى</v>
      </c>
      <c r="D711" s="2" t="str">
        <f ca="1">IFERROR(__xludf.DUMMYFUNCTION("""COMPUTED_VALUE"""),"#N/A")</f>
        <v>#N/A</v>
      </c>
      <c r="E711" s="2"/>
      <c r="F711" s="2" t="str">
        <f ca="1">IFERROR(__xludf.DUMMYFUNCTION("""COMPUTED_VALUE"""),"heba.yehia@nagwa.com")</f>
        <v>heba.yehia@nagwa.com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 t="str">
        <f ca="1">IFERROR(__xludf.DUMMYFUNCTION("""COMPUTED_VALUE"""),"آلاء والي")</f>
        <v>آلاء والي</v>
      </c>
      <c r="B712" s="2">
        <f ca="1">IFERROR(__xludf.DUMMYFUNCTION("""COMPUTED_VALUE"""),876157843203)</f>
        <v>876157843203</v>
      </c>
      <c r="C712" s="2" t="str">
        <f ca="1">IFERROR(__xludf.DUMMYFUNCTION("""COMPUTED_VALUE"""),"آلاء والي")</f>
        <v>آلاء والي</v>
      </c>
      <c r="D712" s="2">
        <f ca="1">IFERROR(__xludf.DUMMYFUNCTION("""COMPUTED_VALUE"""),2805)</f>
        <v>2805</v>
      </c>
      <c r="E712" s="2" t="str">
        <f ca="1">IFERROR(__xludf.DUMMYFUNCTION("""COMPUTED_VALUE"""),"EG03-EG04-EG05-EG06")</f>
        <v>EG03-EG04-EG05-EG06</v>
      </c>
      <c r="F712" s="2" t="str">
        <f ca="1">IFERROR(__xludf.DUMMYFUNCTION("""COMPUTED_VALUE"""),"aalaamahamed7@gmail.com")</f>
        <v>aalaamahamed7@gmail.com</v>
      </c>
      <c r="G712" s="2" t="str">
        <f ca="1">IFERROR(__xludf.DUMMYFUNCTION("""COMPUTED_VALUE"""),"01065974950")</f>
        <v>01065974950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 t="str">
        <f ca="1">IFERROR(__xludf.DUMMYFUNCTION("""COMPUTED_VALUE"""),"نجلاء رضوان")</f>
        <v>نجلاء رضوان</v>
      </c>
      <c r="B713" s="2">
        <f ca="1">IFERROR(__xludf.DUMMYFUNCTION("""COMPUTED_VALUE"""),867195425601)</f>
        <v>867195425601</v>
      </c>
      <c r="C713" s="2" t="str">
        <f ca="1">IFERROR(__xludf.DUMMYFUNCTION("""COMPUTED_VALUE"""),"نجلاء رضوان")</f>
        <v>نجلاء رضوان</v>
      </c>
      <c r="D713" s="2">
        <f ca="1">IFERROR(__xludf.DUMMYFUNCTION("""COMPUTED_VALUE"""),2806)</f>
        <v>2806</v>
      </c>
      <c r="E713" s="2" t="str">
        <f ca="1">IFERROR(__xludf.DUMMYFUNCTION("""COMPUTED_VALUE"""),"EG01-EG02-EG03-EG04-EG05-EG06")</f>
        <v>EG01-EG02-EG03-EG04-EG05-EG06</v>
      </c>
      <c r="F713" s="2" t="str">
        <f ca="1">IFERROR(__xludf.DUMMYFUNCTION("""COMPUTED_VALUE"""),"naglaaradwan99@gmail.com")</f>
        <v>naglaaradwan99@gmail.com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 t="str">
        <f ca="1">IFERROR(__xludf.DUMMYFUNCTION("""COMPUTED_VALUE"""),"ماريان عبد الملاك")</f>
        <v>ماريان عبد الملاك</v>
      </c>
      <c r="B714" s="2">
        <f ca="1">IFERROR(__xludf.DUMMYFUNCTION("""COMPUTED_VALUE"""),654151845406)</f>
        <v>654151845406</v>
      </c>
      <c r="C714" s="2" t="str">
        <f ca="1">IFERROR(__xludf.DUMMYFUNCTION("""COMPUTED_VALUE"""),"ماريان عبد الملاك")</f>
        <v>ماريان عبد الملاك</v>
      </c>
      <c r="D714" s="2" t="str">
        <f ca="1">IFERROR(__xludf.DUMMYFUNCTION("""COMPUTED_VALUE"""),"#N/A")</f>
        <v>#N/A</v>
      </c>
      <c r="E714" s="2"/>
      <c r="F714" s="2" t="str">
        <f ca="1">IFERROR(__xludf.DUMMYFUNCTION("""COMPUTED_VALUE"""),"marian.abdelmalak@nagwa.com")</f>
        <v>marian.abdelmalak@nagwa.com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 t="str">
        <f ca="1">IFERROR(__xludf.DUMMYFUNCTION("""COMPUTED_VALUE"""),"مايكل صادق")</f>
        <v>مايكل صادق</v>
      </c>
      <c r="B715" s="2">
        <f ca="1">IFERROR(__xludf.DUMMYFUNCTION("""COMPUTED_VALUE"""),413140584531)</f>
        <v>413140584531</v>
      </c>
      <c r="C715" s="2" t="str">
        <f ca="1">IFERROR(__xludf.DUMMYFUNCTION("""COMPUTED_VALUE"""),"مايكل صادق")</f>
        <v>مايكل صادق</v>
      </c>
      <c r="D715" s="2" t="str">
        <f ca="1">IFERROR(__xludf.DUMMYFUNCTION("""COMPUTED_VALUE"""),"#N/A")</f>
        <v>#N/A</v>
      </c>
      <c r="E715" s="2"/>
      <c r="F715" s="2" t="str">
        <f ca="1">IFERROR(__xludf.DUMMYFUNCTION("""COMPUTED_VALUE"""),"michael.sadek@nagwa.com")</f>
        <v>michael.sadek@nagwa.com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 t="str">
        <f ca="1">IFERROR(__xludf.DUMMYFUNCTION("""COMPUTED_VALUE"""),"أحمد عبد الله")</f>
        <v>أحمد عبد الله</v>
      </c>
      <c r="B716" s="2">
        <f ca="1">IFERROR(__xludf.DUMMYFUNCTION("""COMPUTED_VALUE"""),810128230313)</f>
        <v>810128230313</v>
      </c>
      <c r="C716" s="2" t="str">
        <f ca="1">IFERROR(__xludf.DUMMYFUNCTION("""COMPUTED_VALUE"""),"أحمد عبد الله")</f>
        <v>أحمد عبد الله</v>
      </c>
      <c r="D716" s="2" t="str">
        <f ca="1">IFERROR(__xludf.DUMMYFUNCTION("""COMPUTED_VALUE"""),"#N/A")</f>
        <v>#N/A</v>
      </c>
      <c r="E716" s="2"/>
      <c r="F716" s="2" t="str">
        <f ca="1">IFERROR(__xludf.DUMMYFUNCTION("""COMPUTED_VALUE"""),"ahmed.abdullah@nagwa.com")</f>
        <v>ahmed.abdullah@nagwa.com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 t="str">
        <f ca="1">IFERROR(__xludf.DUMMYFUNCTION("""COMPUTED_VALUE"""),"زينب زكي")</f>
        <v>زينب زكي</v>
      </c>
      <c r="B717" s="2">
        <f ca="1">IFERROR(__xludf.DUMMYFUNCTION("""COMPUTED_VALUE"""),910137201294)</f>
        <v>910137201294</v>
      </c>
      <c r="C717" s="2" t="str">
        <f ca="1">IFERROR(__xludf.DUMMYFUNCTION("""COMPUTED_VALUE"""),"زينب زكي")</f>
        <v>زينب زكي</v>
      </c>
      <c r="D717" s="2" t="str">
        <f ca="1">IFERROR(__xludf.DUMMYFUNCTION("""COMPUTED_VALUE"""),"#N/A")</f>
        <v>#N/A</v>
      </c>
      <c r="E717" s="2"/>
      <c r="F717" s="2" t="str">
        <f ca="1">IFERROR(__xludf.DUMMYFUNCTION("""COMPUTED_VALUE"""),"zienabkhaled10@gmail.com")</f>
        <v>zienabkhaled10@gmail.com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 t="str">
        <f ca="1">IFERROR(__xludf.DUMMYFUNCTION("""COMPUTED_VALUE"""),"سمر إبراهيم")</f>
        <v>سمر إبراهيم</v>
      </c>
      <c r="B718" s="2">
        <f ca="1">IFERROR(__xludf.DUMMYFUNCTION("""COMPUTED_VALUE"""),198137454262)</f>
        <v>198137454262</v>
      </c>
      <c r="C718" s="2" t="str">
        <f ca="1">IFERROR(__xludf.DUMMYFUNCTION("""COMPUTED_VALUE"""),"سمر إبراهيم")</f>
        <v>سمر إبراهيم</v>
      </c>
      <c r="D718" s="4" t="str">
        <f ca="1">IFERROR(__xludf.DUMMYFUNCTION("""COMPUTED_VALUE"""),"2279")</f>
        <v>2279</v>
      </c>
      <c r="E718" s="2" t="str">
        <f ca="1">IFERROR(__xludf.DUMMYFUNCTION("""COMPUTED_VALUE"""),"G11-G12")</f>
        <v>G11-G12</v>
      </c>
      <c r="F718" s="2" t="str">
        <f ca="1">IFERROR(__xludf.DUMMYFUNCTION("""COMPUTED_VALUE"""),"samanor2010@gmail.com")</f>
        <v>samanor2010@gmail.com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 t="str">
        <f ca="1">IFERROR(__xludf.DUMMYFUNCTION("""COMPUTED_VALUE"""),"ماريان صبري")</f>
        <v>ماريان صبري</v>
      </c>
      <c r="B719" s="2">
        <f ca="1">IFERROR(__xludf.DUMMYFUNCTION("""COMPUTED_VALUE"""),514126712393)</f>
        <v>514126712393</v>
      </c>
      <c r="C719" s="2" t="str">
        <f ca="1">IFERROR(__xludf.DUMMYFUNCTION("""COMPUTED_VALUE"""),"ماريان صبري")</f>
        <v>ماريان صبري</v>
      </c>
      <c r="D719" s="2">
        <f ca="1">IFERROR(__xludf.DUMMYFUNCTION("""COMPUTED_VALUE"""),2827)</f>
        <v>2827</v>
      </c>
      <c r="E719" s="2" t="str">
        <f ca="1">IFERROR(__xludf.DUMMYFUNCTION("""COMPUTED_VALUE"""),"EG1-EG2-EG3")</f>
        <v>EG1-EG2-EG3</v>
      </c>
      <c r="F719" s="2" t="str">
        <f ca="1">IFERROR(__xludf.DUMMYFUNCTION("""COMPUTED_VALUE"""),"marianmaher01094762364@gmail.com")</f>
        <v>marianmaher01094762364@gmail.com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 t="str">
        <f ca="1">IFERROR(__xludf.DUMMYFUNCTION("""COMPUTED_VALUE"""),"عبد الرحمن رمضان")</f>
        <v>عبد الرحمن رمضان</v>
      </c>
      <c r="B720" s="2">
        <f ca="1">IFERROR(__xludf.DUMMYFUNCTION("""COMPUTED_VALUE"""),905158654524)</f>
        <v>905158654524</v>
      </c>
      <c r="C720" s="2" t="str">
        <f ca="1">IFERROR(__xludf.DUMMYFUNCTION("""COMPUTED_VALUE"""),"عبد الرحمن رمضان")</f>
        <v>عبد الرحمن رمضان</v>
      </c>
      <c r="D720" s="2"/>
      <c r="E720" s="2"/>
      <c r="F720" s="2" t="str">
        <f ca="1">IFERROR(__xludf.DUMMYFUNCTION("""COMPUTED_VALUE"""),"rabdo6492@gmail.com")</f>
        <v>rabdo6492@gmail.com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 t="str">
        <f ca="1">IFERROR(__xludf.DUMMYFUNCTION("""COMPUTED_VALUE"""),"إيمان ممدوح")</f>
        <v>إيمان ممدوح</v>
      </c>
      <c r="B721" s="2">
        <f ca="1">IFERROR(__xludf.DUMMYFUNCTION("""COMPUTED_VALUE"""),975141754312)</f>
        <v>975141754312</v>
      </c>
      <c r="C721" s="2" t="str">
        <f ca="1">IFERROR(__xludf.DUMMYFUNCTION("""COMPUTED_VALUE"""),"إيمان ممدوح")</f>
        <v>إيمان ممدوح</v>
      </c>
      <c r="D721" s="2">
        <f ca="1">IFERROR(__xludf.DUMMYFUNCTION("""COMPUTED_VALUE"""),1999)</f>
        <v>1999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 t="str">
        <f ca="1">IFERROR(__xludf.DUMMYFUNCTION("""COMPUTED_VALUE"""),"تسنيم بدر")</f>
        <v>تسنيم بدر</v>
      </c>
      <c r="B722" s="2">
        <f ca="1">IFERROR(__xludf.DUMMYFUNCTION("""COMPUTED_VALUE"""),702160894872)</f>
        <v>702160894872</v>
      </c>
      <c r="C722" s="2" t="str">
        <f ca="1">IFERROR(__xludf.DUMMYFUNCTION("""COMPUTED_VALUE"""),"تسنيم بدر")</f>
        <v>تسنيم بدر</v>
      </c>
      <c r="D722" s="2">
        <f ca="1">IFERROR(__xludf.DUMMYFUNCTION("""COMPUTED_VALUE"""),2028)</f>
        <v>2028</v>
      </c>
      <c r="E722" s="2" t="str">
        <f ca="1">IFERROR(__xludf.DUMMYFUNCTION("""COMPUTED_VALUE"""),"انتهت بالفعل إجراءات إنهاء التعاقد")</f>
        <v>انتهت بالفعل إجراءات إنهاء التعاقد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 t="str">
        <f ca="1">IFERROR(__xludf.DUMMYFUNCTION("""COMPUTED_VALUE"""),"سارة  إبراهيم سامي")</f>
        <v>سارة  إبراهيم سامي</v>
      </c>
      <c r="B723" s="2" t="str">
        <f ca="1">IFERROR(__xludf.DUMMYFUNCTION("""COMPUTED_VALUE"""),"No ID")</f>
        <v>No ID</v>
      </c>
      <c r="C723" s="2" t="str">
        <f ca="1">IFERROR(__xludf.DUMMYFUNCTION("""COMPUTED_VALUE"""),"سارة  إبراهيم سامي")</f>
        <v>سارة  إبراهيم سامي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 t="str">
        <f ca="1">IFERROR(__xludf.DUMMYFUNCTION("""COMPUTED_VALUE"""),"لطفي سالم")</f>
        <v>لطفي سالم</v>
      </c>
      <c r="B724" s="2" t="str">
        <f ca="1">IFERROR(__xludf.DUMMYFUNCTION("""COMPUTED_VALUE"""),"No ID")</f>
        <v>No ID</v>
      </c>
      <c r="C724" s="2" t="str">
        <f ca="1">IFERROR(__xludf.DUMMYFUNCTION("""COMPUTED_VALUE"""),"لطفي سالم")</f>
        <v>لطفي سالم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 t="str">
        <f ca="1">IFERROR(__xludf.DUMMYFUNCTION("""COMPUTED_VALUE"""),"شريف شيمي")</f>
        <v>شريف شيمي</v>
      </c>
      <c r="B725" s="2" t="str">
        <f ca="1">IFERROR(__xludf.DUMMYFUNCTION("""COMPUTED_VALUE"""),"No ID")</f>
        <v>No ID</v>
      </c>
      <c r="C725" s="2" t="str">
        <f ca="1">IFERROR(__xludf.DUMMYFUNCTION("""COMPUTED_VALUE"""),"شريف شيمي")</f>
        <v>شريف شيمي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 t="str">
        <f ca="1">IFERROR(__xludf.DUMMYFUNCTION("""COMPUTED_VALUE"""),"نهى النشار")</f>
        <v>نهى النشار</v>
      </c>
      <c r="B726" s="2" t="str">
        <f ca="1">IFERROR(__xludf.DUMMYFUNCTION("""COMPUTED_VALUE"""),"No ID")</f>
        <v>No ID</v>
      </c>
      <c r="C726" s="2" t="str">
        <f ca="1">IFERROR(__xludf.DUMMYFUNCTION("""COMPUTED_VALUE"""),"نهى النشار")</f>
        <v>نهى النشار</v>
      </c>
      <c r="D726" s="2"/>
      <c r="E726" s="2" t="str">
        <f ca="1">IFERROR(__xludf.DUMMYFUNCTION("""COMPUTED_VALUE"""),"EG07-EG08-EG09-EG10")</f>
        <v>EG07-EG08-EG09-EG10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 t="str">
        <f ca="1">IFERROR(__xludf.DUMMYFUNCTION("""COMPUTED_VALUE"""),"علاء يوسف")</f>
        <v>علاء يوسف</v>
      </c>
      <c r="B727" s="2" t="str">
        <f ca="1">IFERROR(__xludf.DUMMYFUNCTION("""COMPUTED_VALUE"""),"No ID")</f>
        <v>No ID</v>
      </c>
      <c r="C727" s="2" t="str">
        <f ca="1">IFERROR(__xludf.DUMMYFUNCTION("""COMPUTED_VALUE"""),"علاء يوسف")</f>
        <v>علاء يوسف</v>
      </c>
      <c r="D727" s="2"/>
      <c r="E727" s="2" t="str">
        <f ca="1">IFERROR(__xludf.DUMMYFUNCTION("""COMPUTED_VALUE"""),"EG07-EG08-EG09")</f>
        <v>EG07-EG08-EG09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 t="str">
        <f ca="1">IFERROR(__xludf.DUMMYFUNCTION("""COMPUTED_VALUE"""),"عبد الرحمن داوود")</f>
        <v>عبد الرحمن داوود</v>
      </c>
      <c r="B728" s="2" t="str">
        <f ca="1">IFERROR(__xludf.DUMMYFUNCTION("""COMPUTED_VALUE"""),"No ID")</f>
        <v>No ID</v>
      </c>
      <c r="C728" s="2" t="str">
        <f ca="1">IFERROR(__xludf.DUMMYFUNCTION("""COMPUTED_VALUE"""),"عبد الرحمن داوود")</f>
        <v>عبد الرحمن داوود</v>
      </c>
      <c r="D728" s="2"/>
      <c r="E728" s="2" t="str">
        <f ca="1">IFERROR(__xludf.DUMMYFUNCTION("""COMPUTED_VALUE"""),"EG09-EG10-EG11")</f>
        <v>EG09-EG10-EG11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 t="str">
        <f ca="1">IFERROR(__xludf.DUMMYFUNCTION("""COMPUTED_VALUE"""),"دعاء عطية")</f>
        <v>دعاء عطية</v>
      </c>
      <c r="B729" s="2" t="str">
        <f ca="1">IFERROR(__xludf.DUMMYFUNCTION("""COMPUTED_VALUE"""),"No ID")</f>
        <v>No ID</v>
      </c>
      <c r="C729" s="2" t="str">
        <f ca="1">IFERROR(__xludf.DUMMYFUNCTION("""COMPUTED_VALUE"""),"دعاء عطية")</f>
        <v>دعاء عطية</v>
      </c>
      <c r="D729" s="2"/>
      <c r="E729" s="2" t="str">
        <f ca="1">IFERROR(__xludf.DUMMYFUNCTION("""COMPUTED_VALUE"""),"EG07-EG08-EG09-EG10-EG11-EG12")</f>
        <v>EG07-EG08-EG09-EG10-EG11-EG12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 t="str">
        <f ca="1">IFERROR(__xludf.DUMMYFUNCTION("""COMPUTED_VALUE"""),"ولاء النمر")</f>
        <v>ولاء النمر</v>
      </c>
      <c r="B730" s="2" t="str">
        <f ca="1">IFERROR(__xludf.DUMMYFUNCTION("""COMPUTED_VALUE"""),"No ID")</f>
        <v>No ID</v>
      </c>
      <c r="C730" s="2" t="str">
        <f ca="1">IFERROR(__xludf.DUMMYFUNCTION("""COMPUTED_VALUE"""),"ولاء النمر")</f>
        <v>ولاء النمر</v>
      </c>
      <c r="D730" s="2"/>
      <c r="E730" s="2" t="str">
        <f ca="1">IFERROR(__xludf.DUMMYFUNCTION("""COMPUTED_VALUE"""),"EG01-EG02-EG03-EG04")</f>
        <v>EG01-EG02-EG03-EG04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 t="str">
        <f ca="1">IFERROR(__xludf.DUMMYFUNCTION("""COMPUTED_VALUE"""),"سماء رسمي")</f>
        <v>سماء رسمي</v>
      </c>
      <c r="B731" s="2" t="str">
        <f ca="1">IFERROR(__xludf.DUMMYFUNCTION("""COMPUTED_VALUE"""),"No ID")</f>
        <v>No ID</v>
      </c>
      <c r="C731" s="2" t="str">
        <f ca="1">IFERROR(__xludf.DUMMYFUNCTION("""COMPUTED_VALUE"""),"سماء رسمي")</f>
        <v>سماء رسمي</v>
      </c>
      <c r="D731" s="2"/>
      <c r="E731" s="2" t="str">
        <f ca="1">IFERROR(__xludf.DUMMYFUNCTION("""COMPUTED_VALUE"""),"EG01-EG02-EG03-EG04-EG05-EG06")</f>
        <v>EG01-EG02-EG03-EG04-EG05-EG06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 t="str">
        <f ca="1">IFERROR(__xludf.DUMMYFUNCTION("""COMPUTED_VALUE"""),"محمد علاء")</f>
        <v>محمد علاء</v>
      </c>
      <c r="B732" s="2" t="str">
        <f ca="1">IFERROR(__xludf.DUMMYFUNCTION("""COMPUTED_VALUE"""),"No ID")</f>
        <v>No ID</v>
      </c>
      <c r="C732" s="2" t="str">
        <f ca="1">IFERROR(__xludf.DUMMYFUNCTION("""COMPUTED_VALUE"""),"محمد علاء")</f>
        <v>محمد علاء</v>
      </c>
      <c r="D732" s="2"/>
      <c r="E732" s="2" t="str">
        <f ca="1">IFERROR(__xludf.DUMMYFUNCTION("""COMPUTED_VALUE"""),"EG04-EG05-EG06-EG07-EG08-EG09")</f>
        <v>EG04-EG05-EG06-EG07-EG08-EG09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 t="str">
        <f ca="1">IFERROR(__xludf.DUMMYFUNCTION("""COMPUTED_VALUE"""),"عبير حسن")</f>
        <v>عبير حسن</v>
      </c>
      <c r="B733" s="2" t="str">
        <f ca="1">IFERROR(__xludf.DUMMYFUNCTION("""COMPUTED_VALUE"""),"No ID")</f>
        <v>No ID</v>
      </c>
      <c r="C733" s="2" t="str">
        <f ca="1">IFERROR(__xludf.DUMMYFUNCTION("""COMPUTED_VALUE"""),"عبير حسن")</f>
        <v>عبير حسن</v>
      </c>
      <c r="D733" s="2"/>
      <c r="E733" s="2" t="str">
        <f ca="1">IFERROR(__xludf.DUMMYFUNCTION("""COMPUTED_VALUE"""),"EG04-EG05-EG06")</f>
        <v>EG04-EG05-EG06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 t="str">
        <f ca="1">IFERROR(__xludf.DUMMYFUNCTION("""COMPUTED_VALUE"""),"شيرين عزب")</f>
        <v>شيرين عزب</v>
      </c>
      <c r="B734" s="2" t="str">
        <f ca="1">IFERROR(__xludf.DUMMYFUNCTION("""COMPUTED_VALUE"""),"No ID")</f>
        <v>No ID</v>
      </c>
      <c r="C734" s="2" t="str">
        <f ca="1">IFERROR(__xludf.DUMMYFUNCTION("""COMPUTED_VALUE"""),"شيرين عزب")</f>
        <v>شيرين عزب</v>
      </c>
      <c r="D734" s="2"/>
      <c r="E734" s="2" t="str">
        <f ca="1">IFERROR(__xludf.DUMMYFUNCTION("""COMPUTED_VALUE"""),"EG01-EG02-EG03-EG04-EG05-EG06")</f>
        <v>EG01-EG02-EG03-EG04-EG05-EG06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 t="str">
        <f ca="1">IFERROR(__xludf.DUMMYFUNCTION("""COMPUTED_VALUE"""),"إلهام عرابي")</f>
        <v>إلهام عرابي</v>
      </c>
      <c r="B735" s="2" t="str">
        <f ca="1">IFERROR(__xludf.DUMMYFUNCTION("""COMPUTED_VALUE"""),"No ID")</f>
        <v>No ID</v>
      </c>
      <c r="C735" s="2" t="str">
        <f ca="1">IFERROR(__xludf.DUMMYFUNCTION("""COMPUTED_VALUE"""),"إلهام عرابي")</f>
        <v>إلهام عرابي</v>
      </c>
      <c r="D735" s="2"/>
      <c r="E735" s="2" t="str">
        <f ca="1">IFERROR(__xludf.DUMMYFUNCTION("""COMPUTED_VALUE"""),"EG01-EG02-EG03")</f>
        <v>EG01-EG02-EG03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 t="str">
        <f ca="1">IFERROR(__xludf.DUMMYFUNCTION("""COMPUTED_VALUE"""),"مروة بدير")</f>
        <v>مروة بدير</v>
      </c>
      <c r="B736" s="2" t="str">
        <f ca="1">IFERROR(__xludf.DUMMYFUNCTION("""COMPUTED_VALUE"""),"No ID")</f>
        <v>No ID</v>
      </c>
      <c r="C736" s="2" t="str">
        <f ca="1">IFERROR(__xludf.DUMMYFUNCTION("""COMPUTED_VALUE"""),"مروة بدير")</f>
        <v>مروة بدير</v>
      </c>
      <c r="D736" s="2"/>
      <c r="E736" s="2" t="str">
        <f ca="1">IFERROR(__xludf.DUMMYFUNCTION("""COMPUTED_VALUE"""),"EG07-EG08-EG09")</f>
        <v>EG07-EG08-EG09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 t="str">
        <f ca="1">IFERROR(__xludf.DUMMYFUNCTION("""COMPUTED_VALUE"""),"نورهان عصام")</f>
        <v>نورهان عصام</v>
      </c>
      <c r="B737" s="2" t="str">
        <f ca="1">IFERROR(__xludf.DUMMYFUNCTION("""COMPUTED_VALUE"""),"No ID")</f>
        <v>No ID</v>
      </c>
      <c r="C737" s="2" t="str">
        <f ca="1">IFERROR(__xludf.DUMMYFUNCTION("""COMPUTED_VALUE"""),"نورهان عصام")</f>
        <v>نورهان عصام</v>
      </c>
      <c r="D737" s="2"/>
      <c r="E737" s="2" t="str">
        <f ca="1">IFERROR(__xludf.DUMMYFUNCTION("""COMPUTED_VALUE"""),"EG01-EG02-EG03-EG04")</f>
        <v>EG01-EG02-EG03-EG04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 t="str">
        <f ca="1">IFERROR(__xludf.DUMMYFUNCTION("""COMPUTED_VALUE"""),"صابرين محمد")</f>
        <v>صابرين محمد</v>
      </c>
      <c r="B738" s="2" t="str">
        <f ca="1">IFERROR(__xludf.DUMMYFUNCTION("""COMPUTED_VALUE"""),"No ID")</f>
        <v>No ID</v>
      </c>
      <c r="C738" s="2" t="str">
        <f ca="1">IFERROR(__xludf.DUMMYFUNCTION("""COMPUTED_VALUE"""),"صابرين محمد")</f>
        <v>صابرين محمد</v>
      </c>
      <c r="D738" s="2"/>
      <c r="E738" s="2" t="str">
        <f ca="1">IFERROR(__xludf.DUMMYFUNCTION("""COMPUTED_VALUE"""),"EG01-EG02-EG03-EG04-EG05-EG06")</f>
        <v>EG01-EG02-EG03-EG04-EG05-EG06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 t="str">
        <f ca="1">IFERROR(__xludf.DUMMYFUNCTION("""COMPUTED_VALUE"""),"غادة أحمد")</f>
        <v>غادة أحمد</v>
      </c>
      <c r="B739" s="2" t="str">
        <f ca="1">IFERROR(__xludf.DUMMYFUNCTION("""COMPUTED_VALUE"""),"No ID")</f>
        <v>No ID</v>
      </c>
      <c r="C739" s="2" t="str">
        <f ca="1">IFERROR(__xludf.DUMMYFUNCTION("""COMPUTED_VALUE"""),"غادة أحمد")</f>
        <v>غادة أحمد</v>
      </c>
      <c r="D739" s="2"/>
      <c r="E739" s="2" t="str">
        <f ca="1">IFERROR(__xludf.DUMMYFUNCTION("""COMPUTED_VALUE"""),"EG01-EG02-EG03")</f>
        <v>EG01-EG02-EG03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 t="str">
        <f ca="1">IFERROR(__xludf.DUMMYFUNCTION("""COMPUTED_VALUE"""),"ريهام علام")</f>
        <v>ريهام علام</v>
      </c>
      <c r="B740" s="2" t="str">
        <f ca="1">IFERROR(__xludf.DUMMYFUNCTION("""COMPUTED_VALUE"""),"No ID")</f>
        <v>No ID</v>
      </c>
      <c r="C740" s="2" t="str">
        <f ca="1">IFERROR(__xludf.DUMMYFUNCTION("""COMPUTED_VALUE"""),"ريهام علام")</f>
        <v>ريهام علام</v>
      </c>
      <c r="D740" s="2"/>
      <c r="E740" s="2" t="str">
        <f ca="1">IFERROR(__xludf.DUMMYFUNCTION("""COMPUTED_VALUE"""),"EG04-EG05-EG06-EG07-EG08-EG09")</f>
        <v>EG04-EG05-EG06-EG07-EG08-EG09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 t="str">
        <f ca="1">IFERROR(__xludf.DUMMYFUNCTION("""COMPUTED_VALUE"""),"فاطمة عمر")</f>
        <v>فاطمة عمر</v>
      </c>
      <c r="B741" s="2" t="str">
        <f ca="1">IFERROR(__xludf.DUMMYFUNCTION("""COMPUTED_VALUE"""),"No ID")</f>
        <v>No ID</v>
      </c>
      <c r="C741" s="2" t="str">
        <f ca="1">IFERROR(__xludf.DUMMYFUNCTION("""COMPUTED_VALUE"""),"فاطمة عمر")</f>
        <v>فاطمة عمر</v>
      </c>
      <c r="D741" s="2"/>
      <c r="E741" s="2" t="str">
        <f ca="1">IFERROR(__xludf.DUMMYFUNCTION("""COMPUTED_VALUE"""),"EG04-EG05-EG06")</f>
        <v>EG04-EG05-EG06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 t="str">
        <f ca="1">IFERROR(__xludf.DUMMYFUNCTION("""COMPUTED_VALUE"""),"عبد المغني عبد العظيم")</f>
        <v>عبد المغني عبد العظيم</v>
      </c>
      <c r="B742" s="2" t="str">
        <f ca="1">IFERROR(__xludf.DUMMYFUNCTION("""COMPUTED_VALUE"""),"No ID")</f>
        <v>No ID</v>
      </c>
      <c r="C742" s="2" t="str">
        <f ca="1">IFERROR(__xludf.DUMMYFUNCTION("""COMPUTED_VALUE"""),"عبد المغني عبد العظيم")</f>
        <v>عبد المغني عبد العظيم</v>
      </c>
      <c r="D742" s="2"/>
      <c r="E742" s="2" t="str">
        <f ca="1">IFERROR(__xludf.DUMMYFUNCTION("""COMPUTED_VALUE"""),"EG07-EG08-EG09-EG10-EG11-EG12")</f>
        <v>EG07-EG08-EG09-EG10-EG11-EG12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 t="str">
        <f ca="1">IFERROR(__xludf.DUMMYFUNCTION("""COMPUTED_VALUE"""),"هادي عاطف")</f>
        <v>هادي عاطف</v>
      </c>
      <c r="B743" s="2" t="str">
        <f ca="1">IFERROR(__xludf.DUMMYFUNCTION("""COMPUTED_VALUE"""),"No ID")</f>
        <v>No ID</v>
      </c>
      <c r="C743" s="2" t="str">
        <f ca="1">IFERROR(__xludf.DUMMYFUNCTION("""COMPUTED_VALUE"""),"هادي عاطف")</f>
        <v>هادي عاطف</v>
      </c>
      <c r="D743" s="2"/>
      <c r="E743" s="2" t="str">
        <f ca="1">IFERROR(__xludf.DUMMYFUNCTION("""COMPUTED_VALUE"""),"EG03-EG04-EG05-EG06")</f>
        <v>EG03-EG04-EG05-EG06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 t="str">
        <f ca="1">IFERROR(__xludf.DUMMYFUNCTION("""COMPUTED_VALUE"""),"حلمي رضا")</f>
        <v>حلمي رضا</v>
      </c>
      <c r="B744" s="2" t="str">
        <f ca="1">IFERROR(__xludf.DUMMYFUNCTION("""COMPUTED_VALUE"""),"No ID")</f>
        <v>No ID</v>
      </c>
      <c r="C744" s="2" t="str">
        <f ca="1">IFERROR(__xludf.DUMMYFUNCTION("""COMPUTED_VALUE"""),"حلمي رضا")</f>
        <v>حلمي رضا</v>
      </c>
      <c r="D744" s="2"/>
      <c r="E744" s="2" t="str">
        <f ca="1">IFERROR(__xludf.DUMMYFUNCTION("""COMPUTED_VALUE"""),"EG07-EG08-EG09")</f>
        <v>EG07-EG08-EG09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 t="str">
        <f ca="1">IFERROR(__xludf.DUMMYFUNCTION("""COMPUTED_VALUE"""),"محمد حسنين")</f>
        <v>محمد حسنين</v>
      </c>
      <c r="B745" s="2" t="str">
        <f ca="1">IFERROR(__xludf.DUMMYFUNCTION("""COMPUTED_VALUE"""),"No ID")</f>
        <v>No ID</v>
      </c>
      <c r="C745" s="2" t="str">
        <f ca="1">IFERROR(__xludf.DUMMYFUNCTION("""COMPUTED_VALUE"""),"محمد حسنين")</f>
        <v>محمد حسنين</v>
      </c>
      <c r="D745" s="2"/>
      <c r="E745" s="2" t="str">
        <f ca="1">IFERROR(__xludf.DUMMYFUNCTION("""COMPUTED_VALUE"""),"EG01-EG02-EG03")</f>
        <v>EG01-EG02-EG03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 t="str">
        <f ca="1">IFERROR(__xludf.DUMMYFUNCTION("""COMPUTED_VALUE"""),"بثينة صابر")</f>
        <v>بثينة صابر</v>
      </c>
      <c r="B746" s="2" t="str">
        <f ca="1">IFERROR(__xludf.DUMMYFUNCTION("""COMPUTED_VALUE"""),"No ID")</f>
        <v>No ID</v>
      </c>
      <c r="C746" s="2" t="str">
        <f ca="1">IFERROR(__xludf.DUMMYFUNCTION("""COMPUTED_VALUE"""),"بثينة صابر")</f>
        <v>بثينة صابر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 t="str">
        <f ca="1">IFERROR(__xludf.DUMMYFUNCTION("""COMPUTED_VALUE"""),"ياسمينا جاد الله")</f>
        <v>ياسمينا جاد الله</v>
      </c>
      <c r="B747" s="2" t="str">
        <f ca="1">IFERROR(__xludf.DUMMYFUNCTION("""COMPUTED_VALUE"""),"No ID")</f>
        <v>No ID</v>
      </c>
      <c r="C747" s="2" t="str">
        <f ca="1">IFERROR(__xludf.DUMMYFUNCTION("""COMPUTED_VALUE"""),"ياسمينا جاد الله")</f>
        <v>ياسمينا جاد الله</v>
      </c>
      <c r="D747" s="2"/>
      <c r="E747" s="2" t="str">
        <f ca="1">IFERROR(__xludf.DUMMYFUNCTION("""COMPUTED_VALUE"""),"EG04-EG05-EG06-EG07-EG08-EG09")</f>
        <v>EG04-EG05-EG06-EG07-EG08-EG09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 t="str">
        <f ca="1">IFERROR(__xludf.DUMMYFUNCTION("""COMPUTED_VALUE"""),"وفاء ريان")</f>
        <v>وفاء ريان</v>
      </c>
      <c r="B748" s="2" t="str">
        <f ca="1">IFERROR(__xludf.DUMMYFUNCTION("""COMPUTED_VALUE"""),"No ID")</f>
        <v>No ID</v>
      </c>
      <c r="C748" s="2" t="str">
        <f ca="1">IFERROR(__xludf.DUMMYFUNCTION("""COMPUTED_VALUE"""),"وفاء ريان")</f>
        <v>وفاء ريان</v>
      </c>
      <c r="D748" s="2"/>
      <c r="E748" s="2" t="str">
        <f ca="1">IFERROR(__xludf.DUMMYFUNCTION("""COMPUTED_VALUE"""),"EG03-EG04-EG05-EG06")</f>
        <v>EG03-EG04-EG05-EG06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 t="str">
        <f ca="1">IFERROR(__xludf.DUMMYFUNCTION("""COMPUTED_VALUE"""),"لوريس نشأت")</f>
        <v>لوريس نشأت</v>
      </c>
      <c r="B749" s="2">
        <f ca="1">IFERROR(__xludf.DUMMYFUNCTION("""COMPUTED_VALUE"""),407151345617)</f>
        <v>407151345617</v>
      </c>
      <c r="C749" s="2" t="str">
        <f ca="1">IFERROR(__xludf.DUMMYFUNCTION("""COMPUTED_VALUE"""),"لوريس نشأت")</f>
        <v>لوريس نشأت</v>
      </c>
      <c r="D749" s="2"/>
      <c r="E749" s="2" t="str">
        <f ca="1">IFERROR(__xludf.DUMMYFUNCTION("""COMPUTED_VALUE"""),"EG01-EG02-EG03")</f>
        <v>EG01-EG02-EG03</v>
      </c>
      <c r="F749" s="2" t="str">
        <f ca="1">IFERROR(__xludf.DUMMYFUNCTION("""COMPUTED_VALUE"""),"loreesnashaat@gmail.com")</f>
        <v>loreesnashaat@gmail.com</v>
      </c>
      <c r="G749" s="2" t="str">
        <f ca="1">IFERROR(__xludf.DUMMYFUNCTION("""COMPUTED_VALUE"""),"01223512495")</f>
        <v>01223512495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 t="str">
        <f ca="1">IFERROR(__xludf.DUMMYFUNCTION("""COMPUTED_VALUE"""),"سارة حمدي")</f>
        <v>سارة حمدي</v>
      </c>
      <c r="B750" s="2">
        <f ca="1">IFERROR(__xludf.DUMMYFUNCTION("""COMPUTED_VALUE"""),405140392850)</f>
        <v>405140392850</v>
      </c>
      <c r="C750" s="2" t="str">
        <f ca="1">IFERROR(__xludf.DUMMYFUNCTION("""COMPUTED_VALUE"""),"سارة حمدي")</f>
        <v>سارة حمدي</v>
      </c>
      <c r="D750" s="2"/>
      <c r="E750" s="2" t="str">
        <f ca="1">IFERROR(__xludf.DUMMYFUNCTION("""COMPUTED_VALUE"""),"EG03-EG04-EG05-EG06")</f>
        <v>EG03-EG04-EG05-EG06</v>
      </c>
      <c r="F750" s="2" t="str">
        <f ca="1">IFERROR(__xludf.DUMMYFUNCTION("""COMPUTED_VALUE"""),"sarahamdy.hamza2015@gmail.com")</f>
        <v>sarahamdy.hamza2015@gmail.com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 t="str">
        <f ca="1">IFERROR(__xludf.DUMMYFUNCTION("""COMPUTED_VALUE"""),"مي حسن")</f>
        <v>مي حسن</v>
      </c>
      <c r="B751" s="2">
        <f ca="1">IFERROR(__xludf.DUMMYFUNCTION("""COMPUTED_VALUE"""),464168323849)</f>
        <v>464168323849</v>
      </c>
      <c r="C751" s="2" t="str">
        <f ca="1">IFERROR(__xludf.DUMMYFUNCTION("""COMPUTED_VALUE"""),"مي حسن")</f>
        <v>مي حسن</v>
      </c>
      <c r="D751" s="2"/>
      <c r="E751" s="2" t="str">
        <f ca="1">IFERROR(__xludf.DUMMYFUNCTION("""COMPUTED_VALUE"""),"EG01-EG02-EG03")</f>
        <v>EG01-EG02-EG03</v>
      </c>
      <c r="F751" s="2" t="str">
        <f ca="1">IFERROR(__xludf.DUMMYFUNCTION("""COMPUTED_VALUE"""),"maihassan1234567@gmail.com")</f>
        <v>maihassan1234567@gmail.com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 t="str">
        <f ca="1">IFERROR(__xludf.DUMMYFUNCTION("""COMPUTED_VALUE"""),"شيري ألبرت")</f>
        <v>شيري ألبرت</v>
      </c>
      <c r="B752" s="2">
        <f ca="1">IFERROR(__xludf.DUMMYFUNCTION("""COMPUTED_VALUE"""),757172427325)</f>
        <v>757172427325</v>
      </c>
      <c r="C752" s="2" t="str">
        <f ca="1">IFERROR(__xludf.DUMMYFUNCTION("""COMPUTED_VALUE"""),"شيري ألبرت")</f>
        <v>شيري ألبرت</v>
      </c>
      <c r="D752" s="2" t="str">
        <f ca="1">IFERROR(__xludf.DUMMYFUNCTION("""COMPUTED_VALUE"""),"#N/A")</f>
        <v>#N/A</v>
      </c>
      <c r="E752" s="2"/>
      <c r="F752" s="2" t="str">
        <f ca="1">IFERROR(__xludf.DUMMYFUNCTION("""COMPUTED_VALUE"""),"chery_albert@yahoo.com")</f>
        <v>chery_albert@yahoo.com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 t="str">
        <f ca="1">IFERROR(__xludf.DUMMYFUNCTION("""COMPUTED_VALUE"""),"مونيكا سيدهم")</f>
        <v>مونيكا سيدهم</v>
      </c>
      <c r="B753" s="2">
        <f ca="1">IFERROR(__xludf.DUMMYFUNCTION("""COMPUTED_VALUE"""),959169674853)</f>
        <v>959169674853</v>
      </c>
      <c r="C753" s="2" t="str">
        <f ca="1">IFERROR(__xludf.DUMMYFUNCTION("""COMPUTED_VALUE"""),"مونيكا سيدهم")</f>
        <v>مونيكا سيدهم</v>
      </c>
      <c r="D753" s="2" t="str">
        <f ca="1">IFERROR(__xludf.DUMMYFUNCTION("""COMPUTED_VALUE"""),"#N/A")</f>
        <v>#N/A</v>
      </c>
      <c r="E753" s="2"/>
      <c r="F753" s="2" t="str">
        <f ca="1">IFERROR(__xludf.DUMMYFUNCTION("""COMPUTED_VALUE"""),"monique_sidhom@hotmail.com")</f>
        <v>monique_sidhom@hotmail.com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 t="str">
        <f ca="1">IFERROR(__xludf.DUMMYFUNCTION("""COMPUTED_VALUE"""),"مارينا توما")</f>
        <v>مارينا توما</v>
      </c>
      <c r="B754" s="2">
        <f ca="1">IFERROR(__xludf.DUMMYFUNCTION("""COMPUTED_VALUE"""),587141808045)</f>
        <v>587141808045</v>
      </c>
      <c r="C754" s="2" t="str">
        <f ca="1">IFERROR(__xludf.DUMMYFUNCTION("""COMPUTED_VALUE"""),"مارينا توما")</f>
        <v>مارينا توما</v>
      </c>
      <c r="D754" s="2" t="str">
        <f ca="1">IFERROR(__xludf.DUMMYFUNCTION("""COMPUTED_VALUE"""),"#N/A")</f>
        <v>#N/A</v>
      </c>
      <c r="E754" s="2"/>
      <c r="F754" s="2" t="str">
        <f ca="1">IFERROR(__xludf.DUMMYFUNCTION("""COMPUTED_VALUE"""),"newmarina90@gmail.com")</f>
        <v>newmarina90@gmail.com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 t="str">
        <f ca="1">IFERROR(__xludf.DUMMYFUNCTION("""COMPUTED_VALUE"""),"آمال عبد العزيز")</f>
        <v>آمال عبد العزيز</v>
      </c>
      <c r="B755" s="2">
        <f ca="1">IFERROR(__xludf.DUMMYFUNCTION("""COMPUTED_VALUE"""),502162104916)</f>
        <v>502162104916</v>
      </c>
      <c r="C755" s="2" t="str">
        <f ca="1">IFERROR(__xludf.DUMMYFUNCTION("""COMPUTED_VALUE"""),"آمال عبد العزيز")</f>
        <v>آمال عبد العزيز</v>
      </c>
      <c r="D755" s="2" t="str">
        <f ca="1">IFERROR(__xludf.DUMMYFUNCTION("""COMPUTED_VALUE"""),"#N/A")</f>
        <v>#N/A</v>
      </c>
      <c r="E755" s="2"/>
      <c r="F755" s="2" t="str">
        <f ca="1">IFERROR(__xludf.DUMMYFUNCTION("""COMPUTED_VALUE"""),"amaal.abdelaziz@nagwa.com")</f>
        <v>amaal.abdelaziz@nagwa.com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 t="str">
        <f ca="1">IFERROR(__xludf.DUMMYFUNCTION("""COMPUTED_VALUE"""),"هبة الله موسى")</f>
        <v>هبة الله موسى</v>
      </c>
      <c r="B756" s="2">
        <f ca="1">IFERROR(__xludf.DUMMYFUNCTION("""COMPUTED_VALUE"""),976138623056)</f>
        <v>976138623056</v>
      </c>
      <c r="C756" s="2" t="str">
        <f ca="1">IFERROR(__xludf.DUMMYFUNCTION("""COMPUTED_VALUE"""),"هبة الله موسى")</f>
        <v>هبة الله موسى</v>
      </c>
      <c r="D756" s="2" t="str">
        <f ca="1">IFERROR(__xludf.DUMMYFUNCTION("""COMPUTED_VALUE"""),"#N/A")</f>
        <v>#N/A</v>
      </c>
      <c r="E756" s="2"/>
      <c r="F756" s="2" t="str">
        <f ca="1">IFERROR(__xludf.DUMMYFUNCTION("""COMPUTED_VALUE"""),"hebtollah.mosa@nagwa.com")</f>
        <v>hebtollah.mosa@nagwa.com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 t="str">
        <f ca="1">IFERROR(__xludf.DUMMYFUNCTION("""COMPUTED_VALUE"""),"آية عبد الرحمن")</f>
        <v>آية عبد الرحمن</v>
      </c>
      <c r="B757" s="2">
        <f ca="1">IFERROR(__xludf.DUMMYFUNCTION("""COMPUTED_VALUE"""),429151430530)</f>
        <v>429151430530</v>
      </c>
      <c r="C757" s="2" t="str">
        <f ca="1">IFERROR(__xludf.DUMMYFUNCTION("""COMPUTED_VALUE"""),"آية عبد الرحمن")</f>
        <v>آية عبد الرحمن</v>
      </c>
      <c r="D757" s="2" t="str">
        <f ca="1">IFERROR(__xludf.DUMMYFUNCTION("""COMPUTED_VALUE"""),"#N/A")</f>
        <v>#N/A</v>
      </c>
      <c r="E757" s="2"/>
      <c r="F757" s="2" t="str">
        <f ca="1">IFERROR(__xludf.DUMMYFUNCTION("""COMPUTED_VALUE"""),"aya.kallousa2003@gmail.com")</f>
        <v>aya.kallousa2003@gmail.com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 t="str">
        <f ca="1">IFERROR(__xludf.DUMMYFUNCTION("""COMPUTED_VALUE"""),"بيشوي مجدي")</f>
        <v>بيشوي مجدي</v>
      </c>
      <c r="B758" s="2">
        <f ca="1">IFERROR(__xludf.DUMMYFUNCTION("""COMPUTED_VALUE"""),825149219294)</f>
        <v>825149219294</v>
      </c>
      <c r="C758" s="2" t="str">
        <f ca="1">IFERROR(__xludf.DUMMYFUNCTION("""COMPUTED_VALUE"""),"بيشوي مجدي")</f>
        <v>بيشوي مجدي</v>
      </c>
      <c r="D758" s="2">
        <f ca="1">IFERROR(__xludf.DUMMYFUNCTION("""COMPUTED_VALUE"""),2832)</f>
        <v>2832</v>
      </c>
      <c r="E758" s="2" t="str">
        <f ca="1">IFERROR(__xludf.DUMMYFUNCTION("""COMPUTED_VALUE"""),"EG07-EG08-EG09")</f>
        <v>EG07-EG08-EG09</v>
      </c>
      <c r="F758" s="2" t="str">
        <f ca="1">IFERROR(__xludf.DUMMYFUNCTION("""COMPUTED_VALUE"""),"bishoymagdy82@gmail.com")</f>
        <v>bishoymagdy82@gmail.com</v>
      </c>
      <c r="G758" s="2" t="str">
        <f ca="1">IFERROR(__xludf.DUMMYFUNCTION("""COMPUTED_VALUE"""),"01226557050")</f>
        <v>01226557050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 t="str">
        <f ca="1">IFERROR(__xludf.DUMMYFUNCTION("""COMPUTED_VALUE"""),"فرج رزق")</f>
        <v>فرج رزق</v>
      </c>
      <c r="B759" s="2">
        <f ca="1">IFERROR(__xludf.DUMMYFUNCTION("""COMPUTED_VALUE"""),458108584108)</f>
        <v>458108584108</v>
      </c>
      <c r="C759" s="2" t="str">
        <f ca="1">IFERROR(__xludf.DUMMYFUNCTION("""COMPUTED_VALUE"""),"فرج رزق")</f>
        <v>فرج رزق</v>
      </c>
      <c r="D759" s="2">
        <f ca="1">IFERROR(__xludf.DUMMYFUNCTION("""COMPUTED_VALUE"""),2851)</f>
        <v>2851</v>
      </c>
      <c r="E759" s="2" t="str">
        <f ca="1">IFERROR(__xludf.DUMMYFUNCTION("""COMPUTED_VALUE"""),"EG10")</f>
        <v>EG10</v>
      </c>
      <c r="F759" s="2" t="str">
        <f ca="1">IFERROR(__xludf.DUMMYFUNCTION("""COMPUTED_VALUE"""),"faragreezk123@gmail.com")</f>
        <v>faragreezk123@gmail.com</v>
      </c>
      <c r="G759" s="2" t="str">
        <f ca="1">IFERROR(__xludf.DUMMYFUNCTION("""COMPUTED_VALUE"""),"01064174270")</f>
        <v>01064174270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 t="str">
        <f ca="1">IFERROR(__xludf.DUMMYFUNCTION("""COMPUTED_VALUE"""),"محمد حسين")</f>
        <v>محمد حسين</v>
      </c>
      <c r="B760" s="2">
        <f ca="1">IFERROR(__xludf.DUMMYFUNCTION("""COMPUTED_VALUE"""),653130960231)</f>
        <v>653130960231</v>
      </c>
      <c r="C760" s="2" t="str">
        <f ca="1">IFERROR(__xludf.DUMMYFUNCTION("""COMPUTED_VALUE"""),"محمد حسين")</f>
        <v>محمد حسين</v>
      </c>
      <c r="D760" s="2" t="str">
        <f ca="1">IFERROR(__xludf.DUMMYFUNCTION("""COMPUTED_VALUE"""),"#N/A")</f>
        <v>#N/A</v>
      </c>
      <c r="E760" s="2"/>
      <c r="F760" s="2" t="str">
        <f ca="1">IFERROR(__xludf.DUMMYFUNCTION("""COMPUTED_VALUE"""),"mohamedhussain5078@gmail.com")</f>
        <v>mohamedhussain5078@gmail.com</v>
      </c>
      <c r="G760" s="2" t="str">
        <f ca="1">IFERROR(__xludf.DUMMYFUNCTION("""COMPUTED_VALUE"""),"01095569461")</f>
        <v>01095569461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 t="str">
        <f ca="1">IFERROR(__xludf.DUMMYFUNCTION("""COMPUTED_VALUE"""),"شيرين جمال")</f>
        <v>شيرين جمال</v>
      </c>
      <c r="B761" s="2">
        <f ca="1">IFERROR(__xludf.DUMMYFUNCTION("""COMPUTED_VALUE"""),127152579046)</f>
        <v>127152579046</v>
      </c>
      <c r="C761" s="2" t="str">
        <f ca="1">IFERROR(__xludf.DUMMYFUNCTION("""COMPUTED_VALUE"""),"شيرين جمال")</f>
        <v>شيرين جمال</v>
      </c>
      <c r="D761" s="2">
        <f ca="1">IFERROR(__xludf.DUMMYFUNCTION("""COMPUTED_VALUE"""),2842)</f>
        <v>2842</v>
      </c>
      <c r="E761" s="2" t="str">
        <f ca="1">IFERROR(__xludf.DUMMYFUNCTION("""COMPUTED_VALUE"""),"EG03-EG04-EG05-EG06")</f>
        <v>EG03-EG04-EG05-EG06</v>
      </c>
      <c r="F761" s="2" t="str">
        <f ca="1">IFERROR(__xludf.DUMMYFUNCTION("""COMPUTED_VALUE"""),"miss.shirengamal@yahoo.com")</f>
        <v>miss.shirengamal@yahoo.com</v>
      </c>
      <c r="G761" s="2" t="str">
        <f ca="1">IFERROR(__xludf.DUMMYFUNCTION("""COMPUTED_VALUE"""),"01276234136")</f>
        <v>01276234136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 t="str">
        <f ca="1">IFERROR(__xludf.DUMMYFUNCTION("""COMPUTED_VALUE"""),"غادة شعبان")</f>
        <v>غادة شعبان</v>
      </c>
      <c r="B762" s="2">
        <f ca="1">IFERROR(__xludf.DUMMYFUNCTION("""COMPUTED_VALUE"""),635140735816)</f>
        <v>635140735816</v>
      </c>
      <c r="C762" s="2" t="str">
        <f ca="1">IFERROR(__xludf.DUMMYFUNCTION("""COMPUTED_VALUE"""),"غادة شعبان")</f>
        <v>غادة شعبان</v>
      </c>
      <c r="D762" s="2" t="str">
        <f ca="1">IFERROR(__xludf.DUMMYFUNCTION("""COMPUTED_VALUE"""),"#N/A")</f>
        <v>#N/A</v>
      </c>
      <c r="E762" s="2"/>
      <c r="F762" s="2" t="str">
        <f ca="1">IFERROR(__xludf.DUMMYFUNCTION("""COMPUTED_VALUE"""),"ghada.shaaban365@gmail.com")</f>
        <v>ghada.shaaban365@gmail.com</v>
      </c>
      <c r="G762" s="2" t="str">
        <f ca="1">IFERROR(__xludf.DUMMYFUNCTION("""COMPUTED_VALUE"""),"01281384364")</f>
        <v>01281384364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 t="str">
        <f ca="1">IFERROR(__xludf.DUMMYFUNCTION("""COMPUTED_VALUE"""),"بسيوني محمد")</f>
        <v>بسيوني محمد</v>
      </c>
      <c r="B763" s="2">
        <f ca="1">IFERROR(__xludf.DUMMYFUNCTION("""COMPUTED_VALUE"""),803104946740)</f>
        <v>803104946740</v>
      </c>
      <c r="C763" s="2" t="str">
        <f ca="1">IFERROR(__xludf.DUMMYFUNCTION("""COMPUTED_VALUE"""),"بسيوني محمد")</f>
        <v>بسيوني محمد</v>
      </c>
      <c r="D763" s="2" t="str">
        <f ca="1">IFERROR(__xludf.DUMMYFUNCTION("""COMPUTED_VALUE"""),"#N/A")</f>
        <v>#N/A</v>
      </c>
      <c r="E763" s="2"/>
      <c r="F763" s="2" t="str">
        <f ca="1">IFERROR(__xludf.DUMMYFUNCTION("""COMPUTED_VALUE"""),"basyouni.3d@gmail.com")</f>
        <v>basyouni.3d@gmail.com</v>
      </c>
      <c r="G763" s="2" t="str">
        <f ca="1">IFERROR(__xludf.DUMMYFUNCTION("""COMPUTED_VALUE"""),"+201008786722")</f>
        <v>+201008786722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 t="str">
        <f ca="1">IFERROR(__xludf.DUMMYFUNCTION("""COMPUTED_VALUE"""),"صفاء زيدان")</f>
        <v>صفاء زيدان</v>
      </c>
      <c r="B764" s="2">
        <f ca="1">IFERROR(__xludf.DUMMYFUNCTION("""COMPUTED_VALUE"""),389136139475)</f>
        <v>389136139475</v>
      </c>
      <c r="C764" s="2" t="str">
        <f ca="1">IFERROR(__xludf.DUMMYFUNCTION("""COMPUTED_VALUE"""),"صفاء زيدان")</f>
        <v>صفاء زيدان</v>
      </c>
      <c r="D764" s="2">
        <f ca="1">IFERROR(__xludf.DUMMYFUNCTION("""COMPUTED_VALUE"""),2834)</f>
        <v>2834</v>
      </c>
      <c r="E764" s="2" t="str">
        <f ca="1">IFERROR(__xludf.DUMMYFUNCTION("""COMPUTED_VALUE"""),"EG01-EG02-EG03")</f>
        <v>EG01-EG02-EG03</v>
      </c>
      <c r="F764" s="2" t="str">
        <f ca="1">IFERROR(__xludf.DUMMYFUNCTION("""COMPUTED_VALUE"""),"safaazidan44@gmail.com")</f>
        <v>safaazidan44@gmail.com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 t="str">
        <f ca="1">IFERROR(__xludf.DUMMYFUNCTION("""COMPUTED_VALUE"""),"ياسمين حسن")</f>
        <v>ياسمين حسن</v>
      </c>
      <c r="B765" s="2">
        <f ca="1">IFERROR(__xludf.DUMMYFUNCTION("""COMPUTED_VALUE"""),474179052159)</f>
        <v>474179052159</v>
      </c>
      <c r="C765" s="2" t="str">
        <f ca="1">IFERROR(__xludf.DUMMYFUNCTION("""COMPUTED_VALUE"""),"ياسمين حسن")</f>
        <v>ياسمين حسن</v>
      </c>
      <c r="D765" s="2" t="str">
        <f ca="1">IFERROR(__xludf.DUMMYFUNCTION("""COMPUTED_VALUE"""),"#N/A")</f>
        <v>#N/A</v>
      </c>
      <c r="E765" s="2"/>
      <c r="F765" s="2" t="str">
        <f ca="1">IFERROR(__xludf.DUMMYFUNCTION("""COMPUTED_VALUE"""),"Gadallahyasmine@gmail.com")</f>
        <v>Gadallahyasmine@gmail.com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 t="str">
        <f ca="1">IFERROR(__xludf.DUMMYFUNCTION("""COMPUTED_VALUE"""),"ماريا وهيب")</f>
        <v>ماريا وهيب</v>
      </c>
      <c r="B766" s="2">
        <f ca="1">IFERROR(__xludf.DUMMYFUNCTION("""COMPUTED_VALUE"""),418150453208)</f>
        <v>418150453208</v>
      </c>
      <c r="C766" s="2" t="str">
        <f ca="1">IFERROR(__xludf.DUMMYFUNCTION("""COMPUTED_VALUE"""),"ماريا وهيب")</f>
        <v>ماريا وهيب</v>
      </c>
      <c r="D766" s="2">
        <f ca="1">IFERROR(__xludf.DUMMYFUNCTION("""COMPUTED_VALUE"""),2840)</f>
        <v>2840</v>
      </c>
      <c r="E766" s="2" t="str">
        <f ca="1">IFERROR(__xludf.DUMMYFUNCTION("""COMPUTED_VALUE"""),"EG01-EG02-EG03")</f>
        <v>EG01-EG02-EG03</v>
      </c>
      <c r="F766" s="2" t="str">
        <f ca="1">IFERROR(__xludf.DUMMYFUNCTION("""COMPUTED_VALUE"""),"Mariawahib600@gmail.com")</f>
        <v>Mariawahib600@gmail.com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 t="str">
        <f ca="1">IFERROR(__xludf.DUMMYFUNCTION("""COMPUTED_VALUE"""),"خيري كمال")</f>
        <v>خيري كمال</v>
      </c>
      <c r="B767" s="2">
        <f ca="1">IFERROR(__xludf.DUMMYFUNCTION("""COMPUTED_VALUE"""),592102843710)</f>
        <v>592102843710</v>
      </c>
      <c r="C767" s="2" t="str">
        <f ca="1">IFERROR(__xludf.DUMMYFUNCTION("""COMPUTED_VALUE"""),"خيري كمال")</f>
        <v>خيري كمال</v>
      </c>
      <c r="D767" s="2">
        <f ca="1">IFERROR(__xludf.DUMMYFUNCTION("""COMPUTED_VALUE"""),2841)</f>
        <v>2841</v>
      </c>
      <c r="E767" s="2" t="str">
        <f ca="1">IFERROR(__xludf.DUMMYFUNCTION("""COMPUTED_VALUE"""),"EG07-EG08-EG09")</f>
        <v>EG07-EG08-EG09</v>
      </c>
      <c r="F767" s="2" t="str">
        <f ca="1">IFERROR(__xludf.DUMMYFUNCTION("""COMPUTED_VALUE"""),"khairykamal63@gmail.com")</f>
        <v>khairykamal63@gmail.com</v>
      </c>
      <c r="G767" s="2">
        <f ca="1">IFERROR(__xludf.DUMMYFUNCTION("""COMPUTED_VALUE"""),1003571622)</f>
        <v>1003571622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 t="str">
        <f ca="1">IFERROR(__xludf.DUMMYFUNCTION("""COMPUTED_VALUE"""),"هبة أنور")</f>
        <v>هبة أنور</v>
      </c>
      <c r="B768" s="2">
        <f ca="1">IFERROR(__xludf.DUMMYFUNCTION("""COMPUTED_VALUE"""),876191464085)</f>
        <v>876191464085</v>
      </c>
      <c r="C768" s="2" t="str">
        <f ca="1">IFERROR(__xludf.DUMMYFUNCTION("""COMPUTED_VALUE"""),"هبة أنور")</f>
        <v>هبة أنور</v>
      </c>
      <c r="D768" s="2" t="str">
        <f ca="1">IFERROR(__xludf.DUMMYFUNCTION("""COMPUTED_VALUE"""),"#N/A")</f>
        <v>#N/A</v>
      </c>
      <c r="E768" s="2"/>
      <c r="F768" s="2" t="str">
        <f ca="1">IFERROR(__xludf.DUMMYFUNCTION("""COMPUTED_VALUE"""),"hebakasem371988@gmail.com")</f>
        <v>hebakasem371988@gmail.com</v>
      </c>
      <c r="G768" s="2" t="str">
        <f ca="1">IFERROR(__xludf.DUMMYFUNCTION("""COMPUTED_VALUE"""),"01013304685")</f>
        <v>01013304685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 t="str">
        <f ca="1">IFERROR(__xludf.DUMMYFUNCTION("""COMPUTED_VALUE"""),"سارة عبد المحسن")</f>
        <v>سارة عبد المحسن</v>
      </c>
      <c r="B769" s="2">
        <f ca="1">IFERROR(__xludf.DUMMYFUNCTION("""COMPUTED_VALUE"""),294190482125)</f>
        <v>294190482125</v>
      </c>
      <c r="C769" s="2" t="str">
        <f ca="1">IFERROR(__xludf.DUMMYFUNCTION("""COMPUTED_VALUE"""),"سارة عبد المحسن")</f>
        <v>سارة عبد المحسن</v>
      </c>
      <c r="D769" s="2" t="str">
        <f ca="1">IFERROR(__xludf.DUMMYFUNCTION("""COMPUTED_VALUE"""),"#N/A")</f>
        <v>#N/A</v>
      </c>
      <c r="E769" s="2"/>
      <c r="F769" s="2" t="str">
        <f ca="1">IFERROR(__xludf.DUMMYFUNCTION("""COMPUTED_VALUE"""),"nana.sasa253@gmail.com")</f>
        <v>nana.sasa253@gmail.com</v>
      </c>
      <c r="G769" s="2" t="str">
        <f ca="1">IFERROR(__xludf.DUMMYFUNCTION("""COMPUTED_VALUE"""),"01210143366")</f>
        <v>01210143366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 t="str">
        <f ca="1">IFERROR(__xludf.DUMMYFUNCTION("""COMPUTED_VALUE"""),"جاد الحسيني")</f>
        <v>جاد الحسيني</v>
      </c>
      <c r="B770" s="2">
        <f ca="1">IFERROR(__xludf.DUMMYFUNCTION("""COMPUTED_VALUE"""),857187871618)</f>
        <v>857187871618</v>
      </c>
      <c r="C770" s="2" t="str">
        <f ca="1">IFERROR(__xludf.DUMMYFUNCTION("""COMPUTED_VALUE"""),"جاد الحسيني")</f>
        <v>جاد الحسيني</v>
      </c>
      <c r="D770" s="2">
        <f ca="1">IFERROR(__xludf.DUMMYFUNCTION("""COMPUTED_VALUE"""),2870)</f>
        <v>2870</v>
      </c>
      <c r="E770" s="2" t="str">
        <f ca="1">IFERROR(__xludf.DUMMYFUNCTION("""COMPUTED_VALUE"""),"EG03-EG04-EG05-EG06")</f>
        <v>EG03-EG04-EG05-EG06</v>
      </c>
      <c r="F770" s="2" t="str">
        <f ca="1">IFERROR(__xludf.DUMMYFUNCTION("""COMPUTED_VALUE"""),"gad17197@gmail.com")</f>
        <v>gad17197@gmail.com</v>
      </c>
      <c r="G770" s="2" t="str">
        <f ca="1">IFERROR(__xludf.DUMMYFUNCTION("""COMPUTED_VALUE"""),"01005619745")</f>
        <v>01005619745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 t="str">
        <f ca="1">IFERROR(__xludf.DUMMYFUNCTION("""COMPUTED_VALUE"""),"عبد الله محمد عبد الحليم")</f>
        <v>عبد الله محمد عبد الحليم</v>
      </c>
      <c r="B771" s="2">
        <f ca="1">IFERROR(__xludf.DUMMYFUNCTION("""COMPUTED_VALUE"""),123132713791)</f>
        <v>123132713791</v>
      </c>
      <c r="C771" s="2" t="str">
        <f ca="1">IFERROR(__xludf.DUMMYFUNCTION("""COMPUTED_VALUE"""),"عبد الله محمد عبد الحليم")</f>
        <v>عبد الله محمد عبد الحليم</v>
      </c>
      <c r="D771" s="2">
        <f ca="1">IFERROR(__xludf.DUMMYFUNCTION("""COMPUTED_VALUE"""),2853)</f>
        <v>2853</v>
      </c>
      <c r="E771" s="2" t="str">
        <f ca="1">IFERROR(__xludf.DUMMYFUNCTION("""COMPUTED_VALUE"""),"EG03-EG04-EG05-EG06")</f>
        <v>EG03-EG04-EG05-EG06</v>
      </c>
      <c r="F771" s="2" t="str">
        <f ca="1">IFERROR(__xludf.DUMMYFUNCTION("""COMPUTED_VALUE"""),"abdallah20111995@gmail.com")</f>
        <v>abdallah20111995@gmail.com</v>
      </c>
      <c r="G771" s="2">
        <f ca="1">IFERROR(__xludf.DUMMYFUNCTION("""COMPUTED_VALUE"""),1117321211)</f>
        <v>1117321211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 t="str">
        <f ca="1">IFERROR(__xludf.DUMMYFUNCTION("""COMPUTED_VALUE"""),"هدير عبد المحسن")</f>
        <v>هدير عبد المحسن</v>
      </c>
      <c r="B772" s="2">
        <f ca="1">IFERROR(__xludf.DUMMYFUNCTION("""COMPUTED_VALUE"""),417194809016)</f>
        <v>417194809016</v>
      </c>
      <c r="C772" s="2" t="str">
        <f ca="1">IFERROR(__xludf.DUMMYFUNCTION("""COMPUTED_VALUE"""),"هدير عبد المحسن")</f>
        <v>هدير عبد المحسن</v>
      </c>
      <c r="D772" s="2" t="str">
        <f ca="1">IFERROR(__xludf.DUMMYFUNCTION("""COMPUTED_VALUE"""),"#N/A")</f>
        <v>#N/A</v>
      </c>
      <c r="E772" s="2"/>
      <c r="F772" s="2" t="str">
        <f ca="1">IFERROR(__xludf.DUMMYFUNCTION("""COMPUTED_VALUE"""),"dodym0883@gmail.com")</f>
        <v>dodym0883@gmail.com</v>
      </c>
      <c r="G772" s="2" t="str">
        <f ca="1">IFERROR(__xludf.DUMMYFUNCTION("""COMPUTED_VALUE"""),"01207771809")</f>
        <v>01207771809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 t="str">
        <f ca="1">IFERROR(__xludf.DUMMYFUNCTION("""COMPUTED_VALUE"""),"إكرامي شرارة")</f>
        <v>إكرامي شرارة</v>
      </c>
      <c r="B773" s="2">
        <f ca="1">IFERROR(__xludf.DUMMYFUNCTION("""COMPUTED_VALUE"""),380138081706)</f>
        <v>380138081706</v>
      </c>
      <c r="C773" s="2" t="str">
        <f ca="1">IFERROR(__xludf.DUMMYFUNCTION("""COMPUTED_VALUE"""),"إكرامي شرارة")</f>
        <v>إكرامي شرارة</v>
      </c>
      <c r="D773" s="2" t="str">
        <f ca="1">IFERROR(__xludf.DUMMYFUNCTION("""COMPUTED_VALUE"""),"#N/A")</f>
        <v>#N/A</v>
      </c>
      <c r="E773" s="2"/>
      <c r="F773" s="2" t="str">
        <f ca="1">IFERROR(__xludf.DUMMYFUNCTION("""COMPUTED_VALUE"""),"ekramesharara@gmail.com")</f>
        <v>ekramesharara@gmail.com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 t="str">
        <f ca="1">IFERROR(__xludf.DUMMYFUNCTION("""COMPUTED_VALUE"""),"رضوى مصطفى")</f>
        <v>رضوى مصطفى</v>
      </c>
      <c r="B774" s="2">
        <f ca="1">IFERROR(__xludf.DUMMYFUNCTION("""COMPUTED_VALUE"""),375183747813)</f>
        <v>375183747813</v>
      </c>
      <c r="C774" s="2" t="str">
        <f ca="1">IFERROR(__xludf.DUMMYFUNCTION("""COMPUTED_VALUE"""),"رضوى مصطفى")</f>
        <v>رضوى مصطفى</v>
      </c>
      <c r="D774" s="2">
        <f ca="1">IFERROR(__xludf.DUMMYFUNCTION("""COMPUTED_VALUE"""),2857)</f>
        <v>2857</v>
      </c>
      <c r="E774" s="2" t="str">
        <f ca="1">IFERROR(__xludf.DUMMYFUNCTION("""COMPUTED_VALUE"""),"EG01-EG02-EG03")</f>
        <v>EG01-EG02-EG03</v>
      </c>
      <c r="F774" s="2" t="str">
        <f ca="1">IFERROR(__xludf.DUMMYFUNCTION("""COMPUTED_VALUE"""),"mostafaradwa190@gmail.com")</f>
        <v>mostafaradwa190@gmail.com</v>
      </c>
      <c r="G774" s="2" t="str">
        <f ca="1">IFERROR(__xludf.DUMMYFUNCTION("""COMPUTED_VALUE"""),"01280110379")</f>
        <v>01280110379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 t="str">
        <f ca="1">IFERROR(__xludf.DUMMYFUNCTION("""COMPUTED_VALUE"""),"وجدان عبد الرازق")</f>
        <v>وجدان عبد الرازق</v>
      </c>
      <c r="B775" s="2">
        <f ca="1">IFERROR(__xludf.DUMMYFUNCTION("""COMPUTED_VALUE"""),518178303713)</f>
        <v>518178303713</v>
      </c>
      <c r="C775" s="2" t="str">
        <f ca="1">IFERROR(__xludf.DUMMYFUNCTION("""COMPUTED_VALUE"""),"وجدان عبد الرازق")</f>
        <v>وجدان عبد الرازق</v>
      </c>
      <c r="D775" s="2">
        <f ca="1">IFERROR(__xludf.DUMMYFUNCTION("""COMPUTED_VALUE"""),2855)</f>
        <v>2855</v>
      </c>
      <c r="E775" s="2" t="str">
        <f ca="1">IFERROR(__xludf.DUMMYFUNCTION("""COMPUTED_VALUE"""),"EG07-EG08-EG09")</f>
        <v>EG07-EG08-EG09</v>
      </c>
      <c r="F775" s="2" t="str">
        <f ca="1">IFERROR(__xludf.DUMMYFUNCTION("""COMPUTED_VALUE"""),"wegawega1989@gmail.com")</f>
        <v>wegawega1989@gmail.com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 t="str">
        <f ca="1">IFERROR(__xludf.DUMMYFUNCTION("""COMPUTED_VALUE"""),"محمد عبد القادر")</f>
        <v>محمد عبد القادر</v>
      </c>
      <c r="B776" s="2">
        <f ca="1">IFERROR(__xludf.DUMMYFUNCTION("""COMPUTED_VALUE"""),319189603602)</f>
        <v>319189603602</v>
      </c>
      <c r="C776" s="2" t="str">
        <f ca="1">IFERROR(__xludf.DUMMYFUNCTION("""COMPUTED_VALUE"""),"محمد عبد القادر")</f>
        <v>محمد عبد القادر</v>
      </c>
      <c r="D776" s="2" t="str">
        <f ca="1">IFERROR(__xludf.DUMMYFUNCTION("""COMPUTED_VALUE"""),"#N/A")</f>
        <v>#N/A</v>
      </c>
      <c r="E776" s="2"/>
      <c r="F776" s="2" t="str">
        <f ca="1">IFERROR(__xludf.DUMMYFUNCTION("""COMPUTED_VALUE"""),"mohamed1996shaban23@gmail.com")</f>
        <v>mohamed1996shaban23@gmail.com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 t="str">
        <f ca="1">IFERROR(__xludf.DUMMYFUNCTION("""COMPUTED_VALUE"""),"ثابت محمد")</f>
        <v>ثابت محمد</v>
      </c>
      <c r="B777" s="2">
        <f ca="1">IFERROR(__xludf.DUMMYFUNCTION("""COMPUTED_VALUE"""),362130914353)</f>
        <v>362130914353</v>
      </c>
      <c r="C777" s="2" t="str">
        <f ca="1">IFERROR(__xludf.DUMMYFUNCTION("""COMPUTED_VALUE"""),"ثابت محمد")</f>
        <v>ثابت محمد</v>
      </c>
      <c r="D777" s="2">
        <f ca="1">IFERROR(__xludf.DUMMYFUNCTION("""COMPUTED_VALUE"""),2852)</f>
        <v>2852</v>
      </c>
      <c r="E777" s="2" t="str">
        <f ca="1">IFERROR(__xludf.DUMMYFUNCTION("""COMPUTED_VALUE"""),"EG4-EG5-EG6-EG7-EG8")</f>
        <v>EG4-EG5-EG6-EG7-EG8</v>
      </c>
      <c r="F777" s="2" t="str">
        <f ca="1">IFERROR(__xludf.DUMMYFUNCTION("""COMPUTED_VALUE"""),"sabitalbatal@gmail.com")</f>
        <v>sabitalbatal@gmail.com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 t="str">
        <f ca="1">IFERROR(__xludf.DUMMYFUNCTION("""COMPUTED_VALUE"""),"دينا عادل محمود")</f>
        <v>دينا عادل محمود</v>
      </c>
      <c r="B778" s="2">
        <f ca="1">IFERROR(__xludf.DUMMYFUNCTION("""COMPUTED_VALUE"""),979127456161)</f>
        <v>979127456161</v>
      </c>
      <c r="C778" s="2" t="str">
        <f ca="1">IFERROR(__xludf.DUMMYFUNCTION("""COMPUTED_VALUE"""),"دينا عادل محمود")</f>
        <v>دينا عادل محمود</v>
      </c>
      <c r="D778" s="2">
        <f ca="1">IFERROR(__xludf.DUMMYFUNCTION("""COMPUTED_VALUE"""),2874)</f>
        <v>2874</v>
      </c>
      <c r="E778" s="2" t="str">
        <f ca="1">IFERROR(__xludf.DUMMYFUNCTION("""COMPUTED_VALUE"""),"EG04-EG05-EG06")</f>
        <v>EG04-EG05-EG06</v>
      </c>
      <c r="F778" s="2" t="str">
        <f ca="1">IFERROR(__xludf.DUMMYFUNCTION("""COMPUTED_VALUE"""),"dadel7052@gmail.com")</f>
        <v>dadel7052@gmail.com</v>
      </c>
      <c r="G778" s="2" t="str">
        <f ca="1">IFERROR(__xludf.DUMMYFUNCTION("""COMPUTED_VALUE"""),"01095076094")</f>
        <v>01095076094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 t="str">
        <f ca="1">IFERROR(__xludf.DUMMYFUNCTION("""COMPUTED_VALUE"""),"نيفين ثابت")</f>
        <v>نيفين ثابت</v>
      </c>
      <c r="B779" s="2">
        <f ca="1">IFERROR(__xludf.DUMMYFUNCTION("""COMPUTED_VALUE"""),892131842437)</f>
        <v>892131842437</v>
      </c>
      <c r="C779" s="2" t="str">
        <f ca="1">IFERROR(__xludf.DUMMYFUNCTION("""COMPUTED_VALUE"""),"نيفين ثابت")</f>
        <v>نيفين ثابت</v>
      </c>
      <c r="D779" s="2">
        <f ca="1">IFERROR(__xludf.DUMMYFUNCTION("""COMPUTED_VALUE"""),2845)</f>
        <v>2845</v>
      </c>
      <c r="E779" s="2" t="str">
        <f ca="1">IFERROR(__xludf.DUMMYFUNCTION("""COMPUTED_VALUE"""),"EG01-EG02-EG03")</f>
        <v>EG01-EG02-EG03</v>
      </c>
      <c r="F779" s="2" t="str">
        <f ca="1">IFERROR(__xludf.DUMMYFUNCTION("""COMPUTED_VALUE"""),"novasameh1@gmail.com")</f>
        <v>novasameh1@gmail.com</v>
      </c>
      <c r="G779" s="2" t="str">
        <f ca="1">IFERROR(__xludf.DUMMYFUNCTION("""COMPUTED_VALUE"""),"01122260857")</f>
        <v>01122260857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 t="str">
        <f ca="1">IFERROR(__xludf.DUMMYFUNCTION("""COMPUTED_VALUE"""),"محمد علي")</f>
        <v>محمد علي</v>
      </c>
      <c r="B780" s="2">
        <f ca="1">IFERROR(__xludf.DUMMYFUNCTION("""COMPUTED_VALUE"""),359145032416)</f>
        <v>359145032416</v>
      </c>
      <c r="C780" s="2" t="str">
        <f ca="1">IFERROR(__xludf.DUMMYFUNCTION("""COMPUTED_VALUE"""),"محمد علي")</f>
        <v>محمد علي</v>
      </c>
      <c r="D780" s="2" t="str">
        <f ca="1">IFERROR(__xludf.DUMMYFUNCTION("""COMPUTED_VALUE"""),"#N/A")</f>
        <v>#N/A</v>
      </c>
      <c r="E780" s="2"/>
      <c r="F780" s="2" t="str">
        <f ca="1">IFERROR(__xludf.DUMMYFUNCTION("""COMPUTED_VALUE"""),"hassanali07@gmail.com")</f>
        <v>hassanali07@gmail.com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 t="str">
        <f ca="1">IFERROR(__xludf.DUMMYFUNCTION("""COMPUTED_VALUE"""),"#N/A")</f>
        <v>#N/A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 t="str">
        <f ca="1">IFERROR(__xludf.DUMMYFUNCTION("""COMPUTED_VALUE"""),"#N/A")</f>
        <v>#N/A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 t="str">
        <f ca="1">IFERROR(__xludf.DUMMYFUNCTION("""COMPUTED_VALUE"""),"#N/A")</f>
        <v>#N/A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 t="str">
        <f ca="1">IFERROR(__xludf.DUMMYFUNCTION("""COMPUTED_VALUE"""),"#N/A")</f>
        <v>#N/A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 t="str">
        <f ca="1">IFERROR(__xludf.DUMMYFUNCTION("""COMPUTED_VALUE"""),"#N/A")</f>
        <v>#N/A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 t="str">
        <f ca="1">IFERROR(__xludf.DUMMYFUNCTION("""COMPUTED_VALUE"""),"#N/A")</f>
        <v>#N/A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 t="str">
        <f ca="1">IFERROR(__xludf.DUMMYFUNCTION("""COMPUTED_VALUE"""),"#N/A")</f>
        <v>#N/A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 t="str">
        <f ca="1">IFERROR(__xludf.DUMMYFUNCTION("""COMPUTED_VALUE"""),"#N/A")</f>
        <v>#N/A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 t="str">
        <f ca="1">IFERROR(__xludf.DUMMYFUNCTION("""COMPUTED_VALUE"""),"#N/A")</f>
        <v>#N/A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 t="str">
        <f ca="1">IFERROR(__xludf.DUMMYFUNCTION("""COMPUTED_VALUE"""),"#N/A")</f>
        <v>#N/A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 t="str">
        <f ca="1">IFERROR(__xludf.DUMMYFUNCTION("""COMPUTED_VALUE"""),"#N/A")</f>
        <v>#N/A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 t="str">
        <f ca="1">IFERROR(__xludf.DUMMYFUNCTION("""COMPUTED_VALUE"""),"#N/A")</f>
        <v>#N/A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 t="str">
        <f ca="1">IFERROR(__xludf.DUMMYFUNCTION("""COMPUTED_VALUE"""),"#N/A")</f>
        <v>#N/A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 t="str">
        <f ca="1">IFERROR(__xludf.DUMMYFUNCTION("""COMPUTED_VALUE"""),"#N/A")</f>
        <v>#N/A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 t="str">
        <f ca="1">IFERROR(__xludf.DUMMYFUNCTION("""COMPUTED_VALUE"""),"#N/A")</f>
        <v>#N/A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2025-12-13T15:19:06Z</dcterms:modified>
</cp:coreProperties>
</file>