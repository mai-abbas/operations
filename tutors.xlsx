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ctive" sheetId="2" r:id="rId5"/>
    <sheet state="visible" name="Data" sheetId="3" r:id="rId6"/>
    <sheet state="visible" name="Tutors" sheetId="4" r:id="rId7"/>
  </sheets>
  <definedNames/>
  <calcPr/>
</workbook>
</file>

<file path=xl/sharedStrings.xml><?xml version="1.0" encoding="utf-8"?>
<sst xmlns="http://schemas.openxmlformats.org/spreadsheetml/2006/main" count="10758" uniqueCount="2400">
  <si>
    <t>Tutor Name</t>
  </si>
  <si>
    <t>Tutor ID</t>
  </si>
  <si>
    <t>Stage</t>
  </si>
  <si>
    <t>Subject</t>
  </si>
  <si>
    <t>Status</t>
  </si>
  <si>
    <t>HR ID</t>
  </si>
  <si>
    <t>Stage Range</t>
  </si>
  <si>
    <t>Email</t>
  </si>
  <si>
    <t>Mobile Number</t>
  </si>
  <si>
    <t>Active</t>
  </si>
  <si>
    <t>إيمان محمود</t>
  </si>
  <si>
    <t>Lower Primary</t>
  </si>
  <si>
    <t>Discover</t>
  </si>
  <si>
    <t>Backup</t>
  </si>
  <si>
    <t>نسرين زهران</t>
  </si>
  <si>
    <t>رحاب حمدي</t>
  </si>
  <si>
    <t>نرمين جلال</t>
  </si>
  <si>
    <t>ندى عبد النبي</t>
  </si>
  <si>
    <t>مروة مجدي</t>
  </si>
  <si>
    <t>يارا سلطان</t>
  </si>
  <si>
    <t>أسماء الحسيني</t>
  </si>
  <si>
    <t>دعاء مصطفى</t>
  </si>
  <si>
    <t>مونيكا إدوارد</t>
  </si>
  <si>
    <t>دنيا فاروق</t>
  </si>
  <si>
    <t>إيريني عاطف</t>
  </si>
  <si>
    <t>English</t>
  </si>
  <si>
    <t>هبة عبد الحميد</t>
  </si>
  <si>
    <t>مها عبد الله</t>
  </si>
  <si>
    <t>ميرا هشام</t>
  </si>
  <si>
    <t>نوران أسامة</t>
  </si>
  <si>
    <t>إسراء علاء</t>
  </si>
  <si>
    <t>سارة جرجس</t>
  </si>
  <si>
    <t>ندى شريف</t>
  </si>
  <si>
    <t>أسماء حمزة</t>
  </si>
  <si>
    <t>شاهندة عبد العزيز</t>
  </si>
  <si>
    <t>Inactive</t>
  </si>
  <si>
    <t>جيهان سمير</t>
  </si>
  <si>
    <t>ريهام هريدي</t>
  </si>
  <si>
    <t>ندى علي</t>
  </si>
  <si>
    <t>مارينا عماد</t>
  </si>
  <si>
    <t>ماريام أشرف</t>
  </si>
  <si>
    <t>إيمان جلال</t>
  </si>
  <si>
    <t>نهى لطفي</t>
  </si>
  <si>
    <t>صفا عادل</t>
  </si>
  <si>
    <t>نجوى بدوي</t>
  </si>
  <si>
    <t>شاهنده محمد</t>
  </si>
  <si>
    <t>أسماء أشرف</t>
  </si>
  <si>
    <t>Mathematics</t>
  </si>
  <si>
    <t>آية صبحي</t>
  </si>
  <si>
    <t>نورهان هاني</t>
  </si>
  <si>
    <t>آية فتحي</t>
  </si>
  <si>
    <t>نورهان ياسر</t>
  </si>
  <si>
    <t>إيمان رمضان</t>
  </si>
  <si>
    <t>آية عادل</t>
  </si>
  <si>
    <t>دينا رضوان</t>
  </si>
  <si>
    <t>سمية محمد</t>
  </si>
  <si>
    <t>نورهان فاضل</t>
  </si>
  <si>
    <t>مريم الجوهري</t>
  </si>
  <si>
    <t>ياسمين إيهاب</t>
  </si>
  <si>
    <t>شيماء نبيل</t>
  </si>
  <si>
    <t>اكتشف</t>
  </si>
  <si>
    <t>ياسمين محروس</t>
  </si>
  <si>
    <t>نرمين صبري</t>
  </si>
  <si>
    <t>الرياضيات</t>
  </si>
  <si>
    <t>مروة عبد الشافي</t>
  </si>
  <si>
    <t>فاطمة لبيب</t>
  </si>
  <si>
    <t>حسين حلمي</t>
  </si>
  <si>
    <t>نهلة يسري</t>
  </si>
  <si>
    <t>إبراهيم طارق</t>
  </si>
  <si>
    <t>اللغة العربية</t>
  </si>
  <si>
    <t>سارة عبد الحميد</t>
  </si>
  <si>
    <t>إيمان شاكر</t>
  </si>
  <si>
    <t>دعاء زكريا</t>
  </si>
  <si>
    <t>ياسمين محمد</t>
  </si>
  <si>
    <t>EG01-EG02-EG03</t>
  </si>
  <si>
    <t>إنجي مختار</t>
  </si>
  <si>
    <t>شيماء كمال</t>
  </si>
  <si>
    <t>أسماء قاسم</t>
  </si>
  <si>
    <t>شيماء حسين فهمي</t>
  </si>
  <si>
    <t>منال إبراهيم</t>
  </si>
  <si>
    <t>شيماء سليمان</t>
  </si>
  <si>
    <t>أماني سعد</t>
  </si>
  <si>
    <t>آلاء أشرف</t>
  </si>
  <si>
    <t>سارة سعيد</t>
  </si>
  <si>
    <t>زينب سمير</t>
  </si>
  <si>
    <t>أميرة غيث</t>
  </si>
  <si>
    <t>Higher Primary</t>
  </si>
  <si>
    <t>طه محمد</t>
  </si>
  <si>
    <t>رافد سلمان</t>
  </si>
  <si>
    <t>إيمان عطية</t>
  </si>
  <si>
    <t>دينا حسين</t>
  </si>
  <si>
    <t>ريم الديب</t>
  </si>
  <si>
    <t>مرام طارق</t>
  </si>
  <si>
    <t>إيمان فؤاد</t>
  </si>
  <si>
    <t>دعاء أبو الحديد</t>
  </si>
  <si>
    <t>شيرين محمد</t>
  </si>
  <si>
    <t>إيمان حسن</t>
  </si>
  <si>
    <t>محمد شعبان</t>
  </si>
  <si>
    <t>نورهان عماد</t>
  </si>
  <si>
    <t>ريهام أحمد</t>
  </si>
  <si>
    <t>سارة عادل</t>
  </si>
  <si>
    <t>مصطفى عتمان</t>
  </si>
  <si>
    <t>ناريمان الشاعر</t>
  </si>
  <si>
    <t>ياسمين زكي</t>
  </si>
  <si>
    <t>عمرو موافي</t>
  </si>
  <si>
    <t>ندى صيام</t>
  </si>
  <si>
    <t>نجوى نوير</t>
  </si>
  <si>
    <t>بيتر جورج</t>
  </si>
  <si>
    <t>إياد سيد</t>
  </si>
  <si>
    <t>سمر السيد</t>
  </si>
  <si>
    <t>بسمة فؤاد</t>
  </si>
  <si>
    <t>منى الشاعر</t>
  </si>
  <si>
    <t>سمير فرج</t>
  </si>
  <si>
    <t>نهى إبراهيم</t>
  </si>
  <si>
    <t>إبراهيم عبد العليم</t>
  </si>
  <si>
    <t>سهر السيد</t>
  </si>
  <si>
    <t>محمد سيد</t>
  </si>
  <si>
    <t>دعاء عماد الدين</t>
  </si>
  <si>
    <t>يوسف محمود</t>
  </si>
  <si>
    <t>نهلة اليماني</t>
  </si>
  <si>
    <t>محمد عبد الله</t>
  </si>
  <si>
    <t>غدي معاذ</t>
  </si>
  <si>
    <t>نرمين حسن</t>
  </si>
  <si>
    <t>بيتر مدحت</t>
  </si>
  <si>
    <t>وليد علي</t>
  </si>
  <si>
    <t>حاتم حسن</t>
  </si>
  <si>
    <t>ICT</t>
  </si>
  <si>
    <t>EG04,EG05,EG06</t>
  </si>
  <si>
    <t>رحمة صلاح</t>
  </si>
  <si>
    <t>عمرو خالد</t>
  </si>
  <si>
    <t>إسلام همام</t>
  </si>
  <si>
    <t>أحمد جودة</t>
  </si>
  <si>
    <t>آية حمدي</t>
  </si>
  <si>
    <t>كيرلس بطرس</t>
  </si>
  <si>
    <t>مي الهمشري</t>
  </si>
  <si>
    <t>علي حامد</t>
  </si>
  <si>
    <t>محمد رأفت</t>
  </si>
  <si>
    <t>أحمد نسيم</t>
  </si>
  <si>
    <t>إيمان خليل</t>
  </si>
  <si>
    <t>سالي سيد</t>
  </si>
  <si>
    <t>رانيا فهمي</t>
  </si>
  <si>
    <t>هدى عباس</t>
  </si>
  <si>
    <t>سلمى الليثي</t>
  </si>
  <si>
    <t>هبة الله عادل</t>
  </si>
  <si>
    <t>سارة محمد</t>
  </si>
  <si>
    <t>إيمان دسوقي</t>
  </si>
  <si>
    <t>محمد لقمان</t>
  </si>
  <si>
    <t>الشيماء جمال</t>
  </si>
  <si>
    <t>فاطمة حمدي</t>
  </si>
  <si>
    <t>سارة عثمان</t>
  </si>
  <si>
    <t>دعاء نجيب</t>
  </si>
  <si>
    <t>مينا مجدي</t>
  </si>
  <si>
    <t>رانيا عبد المنعم</t>
  </si>
  <si>
    <t>شيماء ناجي</t>
  </si>
  <si>
    <t>عمرو طارق</t>
  </si>
  <si>
    <t>إسراء مبارك</t>
  </si>
  <si>
    <t>عمر جمعة</t>
  </si>
  <si>
    <t>كريمة سعيد</t>
  </si>
  <si>
    <t>منة رأفت</t>
  </si>
  <si>
    <t>نانسي أحمد</t>
  </si>
  <si>
    <t>أسماء صابر</t>
  </si>
  <si>
    <t>أسماء النوبي</t>
  </si>
  <si>
    <t>حبيبة عادل</t>
  </si>
  <si>
    <t>مارتينا أسعد</t>
  </si>
  <si>
    <t>هبة الله هشام</t>
  </si>
  <si>
    <t>نصرة حسين</t>
  </si>
  <si>
    <t>أميرة بدير</t>
  </si>
  <si>
    <t>جهاد مصطفى</t>
  </si>
  <si>
    <t>سعدية أحمد</t>
  </si>
  <si>
    <t>آية مجاهد</t>
  </si>
  <si>
    <t>أحمد توفيق</t>
  </si>
  <si>
    <t>زينة الشيخ</t>
  </si>
  <si>
    <t>Science</t>
  </si>
  <si>
    <t>نورهان المليجي</t>
  </si>
  <si>
    <t>إسراء إبراهيم</t>
  </si>
  <si>
    <t>رضوى هشام</t>
  </si>
  <si>
    <t>أماني السيد</t>
  </si>
  <si>
    <t>ياسمين صلاح</t>
  </si>
  <si>
    <t>علياء فكري</t>
  </si>
  <si>
    <t>حنان صبحي</t>
  </si>
  <si>
    <t>رنا طارق</t>
  </si>
  <si>
    <t>هبة عبد العال</t>
  </si>
  <si>
    <t>رانا سامي</t>
  </si>
  <si>
    <t>مروة عبد القادر</t>
  </si>
  <si>
    <t>Resigned</t>
  </si>
  <si>
    <t>أميرة أحمد</t>
  </si>
  <si>
    <t>يارا مصطفى</t>
  </si>
  <si>
    <t>دميانة عاطف</t>
  </si>
  <si>
    <t>هدير أشرف</t>
  </si>
  <si>
    <t>يوستينا ويدي</t>
  </si>
  <si>
    <t>إيمان سعداوي</t>
  </si>
  <si>
    <t>سارة صبري</t>
  </si>
  <si>
    <t>منة الله محمد</t>
  </si>
  <si>
    <t>إسراء رامي</t>
  </si>
  <si>
    <t>خديجة عبد الرحمن</t>
  </si>
  <si>
    <t>دنيا منصور</t>
  </si>
  <si>
    <t>إيمان مشالي</t>
  </si>
  <si>
    <t>مجدولين سمير</t>
  </si>
  <si>
    <t>ندى عبد الناصر</t>
  </si>
  <si>
    <t>إيناس إبراهيم</t>
  </si>
  <si>
    <t>مريم عبد الرحمن</t>
  </si>
  <si>
    <t>آية بيومي</t>
  </si>
  <si>
    <t>هالة محمد</t>
  </si>
  <si>
    <t>الدراسات الاجتماعية</t>
  </si>
  <si>
    <t>هويدا منصور</t>
  </si>
  <si>
    <t>هبة محمد</t>
  </si>
  <si>
    <t>سارة نجيب</t>
  </si>
  <si>
    <t>زينب الصغير</t>
  </si>
  <si>
    <t>ريم نصار</t>
  </si>
  <si>
    <t>كرستين مراد</t>
  </si>
  <si>
    <t>محمد الهناوي</t>
  </si>
  <si>
    <t>ندى أسامة</t>
  </si>
  <si>
    <t>دعاء مرزوق</t>
  </si>
  <si>
    <t>الشيماء عبد الرحمن</t>
  </si>
  <si>
    <t>أسماء محمود</t>
  </si>
  <si>
    <t>ريهام مصطفى</t>
  </si>
  <si>
    <t>رنا عبد الحميد</t>
  </si>
  <si>
    <t>بشرى عاطف</t>
  </si>
  <si>
    <t>إسراء أحمد</t>
  </si>
  <si>
    <t>هبة علي</t>
  </si>
  <si>
    <t>فاطمة رشاد</t>
  </si>
  <si>
    <t>راندا فؤاد</t>
  </si>
  <si>
    <t>رانيا عماد</t>
  </si>
  <si>
    <t>إيناس علي</t>
  </si>
  <si>
    <t>أحمد صلاح</t>
  </si>
  <si>
    <t>منة الله أشرف</t>
  </si>
  <si>
    <t>مصطفى محمود</t>
  </si>
  <si>
    <t>بسمة مرسي</t>
  </si>
  <si>
    <t>بسمة سعيد</t>
  </si>
  <si>
    <t>سارة سلامة</t>
  </si>
  <si>
    <t>باسم المصري</t>
  </si>
  <si>
    <t>عمرو محمود</t>
  </si>
  <si>
    <t>آلاء والي</t>
  </si>
  <si>
    <t>زينب حسن</t>
  </si>
  <si>
    <t>مريم محمد</t>
  </si>
  <si>
    <t>ولاء سعد</t>
  </si>
  <si>
    <t>هدير سيد</t>
  </si>
  <si>
    <t>خلود محمد</t>
  </si>
  <si>
    <t>سارة محمود</t>
  </si>
  <si>
    <t>محمد يحيى</t>
  </si>
  <si>
    <t>ناهد فتحي</t>
  </si>
  <si>
    <t>دعاء ناجي</t>
  </si>
  <si>
    <t>يارا حسن</t>
  </si>
  <si>
    <t>عبد الرازق فتحي</t>
  </si>
  <si>
    <t>فاطمة الزهراء حسين</t>
  </si>
  <si>
    <t>مها الكردي</t>
  </si>
  <si>
    <t>محمد عبد الراضي</t>
  </si>
  <si>
    <t>مجدي إبراهيم</t>
  </si>
  <si>
    <t>مصطفى جمال</t>
  </si>
  <si>
    <t>رحمة سعيد</t>
  </si>
  <si>
    <t>العلوم</t>
  </si>
  <si>
    <t>أسماء الحماقي</t>
  </si>
  <si>
    <t>رانيا شعبان</t>
  </si>
  <si>
    <t>سارة هشام</t>
  </si>
  <si>
    <t>مريم عطا</t>
  </si>
  <si>
    <t>نورهان صادق</t>
  </si>
  <si>
    <t>مصطفى عطا الله</t>
  </si>
  <si>
    <t>سندس إبراهيم</t>
  </si>
  <si>
    <t>إيمان إبراهيم</t>
  </si>
  <si>
    <t>مريم أبو غراب</t>
  </si>
  <si>
    <t>شيماء سيد</t>
  </si>
  <si>
    <t>كارولين إسحاق</t>
  </si>
  <si>
    <t>ندى صلاح</t>
  </si>
  <si>
    <t>حسناء الجزار</t>
  </si>
  <si>
    <t>جهاد أحمد</t>
  </si>
  <si>
    <t>أسماء العليمي</t>
  </si>
  <si>
    <t>عبد الله معين</t>
  </si>
  <si>
    <t>محمد البدساوي</t>
  </si>
  <si>
    <t>إبراهيم الطراوي</t>
  </si>
  <si>
    <t>فاتن سيد</t>
  </si>
  <si>
    <t>محمد محرم</t>
  </si>
  <si>
    <t>السيد سابق</t>
  </si>
  <si>
    <t>أحمد سالم</t>
  </si>
  <si>
    <t>إبراهيم رشدي</t>
  </si>
  <si>
    <t>أحمد فتحي</t>
  </si>
  <si>
    <t>محمود الخطيب</t>
  </si>
  <si>
    <t>سارة عربي</t>
  </si>
  <si>
    <t>إسلام علي</t>
  </si>
  <si>
    <t>محمد مصطفى</t>
  </si>
  <si>
    <t>فاطمة عبد المنعم</t>
  </si>
  <si>
    <t>أميرة رمضان</t>
  </si>
  <si>
    <t>إيناس أحمد</t>
  </si>
  <si>
    <t>عمرو الشريف</t>
  </si>
  <si>
    <t>عادل الحلفاوي</t>
  </si>
  <si>
    <t>حسام قنديل</t>
  </si>
  <si>
    <t>رباب أحمد</t>
  </si>
  <si>
    <t>سعد بحيري</t>
  </si>
  <si>
    <t>ريهام عادل</t>
  </si>
  <si>
    <t>نادية الهواري</t>
  </si>
  <si>
    <t>فاطمة الزهراء أشرف</t>
  </si>
  <si>
    <t>دنيا علاء الدين</t>
  </si>
  <si>
    <t>هناء الأمير</t>
  </si>
  <si>
    <t>أمل عمارة</t>
  </si>
  <si>
    <t>نهاد صلاح</t>
  </si>
  <si>
    <t>أسماء هاشم</t>
  </si>
  <si>
    <t>آية فهمي</t>
  </si>
  <si>
    <t>راندا البداية</t>
  </si>
  <si>
    <t>أيمن السعيد</t>
  </si>
  <si>
    <t>نجلاء رضوان</t>
  </si>
  <si>
    <t>حازم عبد الرحمن</t>
  </si>
  <si>
    <t>تكنولوجيا المعلومات والاتصالات</t>
  </si>
  <si>
    <t>محمود نجاتي</t>
  </si>
  <si>
    <t>ياسمين هشام</t>
  </si>
  <si>
    <t>Preparatory</t>
  </si>
  <si>
    <t>حسام علي</t>
  </si>
  <si>
    <t>اعتماد واصف</t>
  </si>
  <si>
    <t>مجدي عبد المجيد</t>
  </si>
  <si>
    <t>إيمان عادل</t>
  </si>
  <si>
    <t>أحمد مندور</t>
  </si>
  <si>
    <t>عبد الرحمن عادل</t>
  </si>
  <si>
    <t>سامي الحداد</t>
  </si>
  <si>
    <t>عبد الله بكري</t>
  </si>
  <si>
    <t>رامز باسيلي</t>
  </si>
  <si>
    <t>أحمد عبد الونيس</t>
  </si>
  <si>
    <t>محمود حسنين</t>
  </si>
  <si>
    <t>علاء أبو الحسن</t>
  </si>
  <si>
    <t>علي طنطاوي</t>
  </si>
  <si>
    <t>أحمد حسين</t>
  </si>
  <si>
    <t>إيمان علاء</t>
  </si>
  <si>
    <t>نهى عبد الرحمن</t>
  </si>
  <si>
    <t>كاثرين ذكي</t>
  </si>
  <si>
    <t>ميشيل عماد</t>
  </si>
  <si>
    <t>عبد العال محمد</t>
  </si>
  <si>
    <t>هبة جمال</t>
  </si>
  <si>
    <t>سوزان عبد الفتاح</t>
  </si>
  <si>
    <t>أميرة يونس</t>
  </si>
  <si>
    <t>محمد سامي</t>
  </si>
  <si>
    <t>محمد رفعت</t>
  </si>
  <si>
    <t>سامح محمود</t>
  </si>
  <si>
    <t>أحمد عزب</t>
  </si>
  <si>
    <t>إسلام السيد</t>
  </si>
  <si>
    <t>ماجد مجدي</t>
  </si>
  <si>
    <t>جلال محمد</t>
  </si>
  <si>
    <t>أشرف يوسف</t>
  </si>
  <si>
    <t>هدى علي</t>
  </si>
  <si>
    <t>مروة كمال</t>
  </si>
  <si>
    <t>أحمد رخا</t>
  </si>
  <si>
    <t>شيماء جابر</t>
  </si>
  <si>
    <t>محمد فهمي</t>
  </si>
  <si>
    <t>عبد الرحمن ربيع</t>
  </si>
  <si>
    <t>حسام الدين الزغبي</t>
  </si>
  <si>
    <t>محمود جلال</t>
  </si>
  <si>
    <t>شريف صلاح</t>
  </si>
  <si>
    <t>سالي خالد</t>
  </si>
  <si>
    <t>إسلام حسن</t>
  </si>
  <si>
    <t>عادل عبد الله</t>
  </si>
  <si>
    <t>نوران لطفي</t>
  </si>
  <si>
    <t>ريهام علي</t>
  </si>
  <si>
    <t>محمود السعيد</t>
  </si>
  <si>
    <t>شريف زيتون</t>
  </si>
  <si>
    <t>أندرو ثروت</t>
  </si>
  <si>
    <t>زهراء صابر</t>
  </si>
  <si>
    <t>فيرونيا ممدوح</t>
  </si>
  <si>
    <t>عبد المنعم سرور</t>
  </si>
  <si>
    <t>تريزا نجيب</t>
  </si>
  <si>
    <t>يمنى محمود</t>
  </si>
  <si>
    <t>إنجي نبيل</t>
  </si>
  <si>
    <t>آية سري</t>
  </si>
  <si>
    <t>محمود عاصم</t>
  </si>
  <si>
    <t>سهيلة يسري</t>
  </si>
  <si>
    <t>ألبرت إبراهيم</t>
  </si>
  <si>
    <t>جون ملاك</t>
  </si>
  <si>
    <t>أحمد ضيف</t>
  </si>
  <si>
    <t>شيماء ماجد</t>
  </si>
  <si>
    <t>نسمة محمد</t>
  </si>
  <si>
    <t>محمود شريف</t>
  </si>
  <si>
    <t>نصر صالح</t>
  </si>
  <si>
    <t>هبة حمزة</t>
  </si>
  <si>
    <t>مارينا قدسي</t>
  </si>
  <si>
    <t>سهير ممدوح</t>
  </si>
  <si>
    <t>منة قطب</t>
  </si>
  <si>
    <t>رويدا فكري</t>
  </si>
  <si>
    <t>إحسان طاهر</t>
  </si>
  <si>
    <t>آلاء هشام</t>
  </si>
  <si>
    <t>رحاب توفيق</t>
  </si>
  <si>
    <t>ليلى السيد</t>
  </si>
  <si>
    <t>إسلام حُزين</t>
  </si>
  <si>
    <t>منة والي</t>
  </si>
  <si>
    <t>أحمد عبد الشهيد</t>
  </si>
  <si>
    <t>محمود علاء</t>
  </si>
  <si>
    <t>نادر وجدي</t>
  </si>
  <si>
    <t>مهند مجدي</t>
  </si>
  <si>
    <t>محمد مجدي</t>
  </si>
  <si>
    <t>مروى يوسف</t>
  </si>
  <si>
    <t>Terminated</t>
  </si>
  <si>
    <t>محمود الصعيدي</t>
  </si>
  <si>
    <t>حسام نور الدين</t>
  </si>
  <si>
    <t>فاطمة دهب</t>
  </si>
  <si>
    <t>محمد هدية</t>
  </si>
  <si>
    <t>طارق سمير</t>
  </si>
  <si>
    <t>أحمد حسام</t>
  </si>
  <si>
    <t>أحمد البحيري</t>
  </si>
  <si>
    <t>محمد فوزي</t>
  </si>
  <si>
    <t>أحمد سيد</t>
  </si>
  <si>
    <t>عبد الرحمن فتحي</t>
  </si>
  <si>
    <t>عبد الله سامي</t>
  </si>
  <si>
    <t>نهاد يسري</t>
  </si>
  <si>
    <t>أحمد حسني</t>
  </si>
  <si>
    <t>عبد الله محمد</t>
  </si>
  <si>
    <t>محمد أثير</t>
  </si>
  <si>
    <t>أحمد فلوكس</t>
  </si>
  <si>
    <t>محمد مسعد</t>
  </si>
  <si>
    <t>محمد سعيد</t>
  </si>
  <si>
    <t>مايكل إميل</t>
  </si>
  <si>
    <t>إبراهيم فريد</t>
  </si>
  <si>
    <t>علي محمد</t>
  </si>
  <si>
    <t>مرسي خالد</t>
  </si>
  <si>
    <t>إيمان فايز</t>
  </si>
  <si>
    <t>مي جمال</t>
  </si>
  <si>
    <t>ريمون مجدي</t>
  </si>
  <si>
    <t>جوزيف حنا</t>
  </si>
  <si>
    <t>مصطفى يوسف</t>
  </si>
  <si>
    <t>شوقي السيسي</t>
  </si>
  <si>
    <t>إبراهيم مرجان</t>
  </si>
  <si>
    <t>محمد نبيه</t>
  </si>
  <si>
    <t>سعيد منصور</t>
  </si>
  <si>
    <t>جودة عبد العزيز</t>
  </si>
  <si>
    <t>أحمد عويس</t>
  </si>
  <si>
    <t>محمود أبو المجد</t>
  </si>
  <si>
    <t>سارة عبد الحليم</t>
  </si>
  <si>
    <t>أحمد عبد الرزاق</t>
  </si>
  <si>
    <t>شيرين حلمي</t>
  </si>
  <si>
    <t>كامل خير الله</t>
  </si>
  <si>
    <t>ميرونا سرور</t>
  </si>
  <si>
    <t>كريستينا جرجس</t>
  </si>
  <si>
    <t>داليا عربي</t>
  </si>
  <si>
    <t>مصطفى رجب</t>
  </si>
  <si>
    <t>تامر فاضل</t>
  </si>
  <si>
    <t>دعاء صوابي</t>
  </si>
  <si>
    <t>نجلاء الهادي</t>
  </si>
  <si>
    <t>دينا إسماعيل</t>
  </si>
  <si>
    <t>نورا سلطان</t>
  </si>
  <si>
    <t>أيمن علي</t>
  </si>
  <si>
    <t>أحمد محمد</t>
  </si>
  <si>
    <t>عبد الله الكحلاوي</t>
  </si>
  <si>
    <t>هالة عبد الحليم</t>
  </si>
  <si>
    <t>عاصم عبد الهادي</t>
  </si>
  <si>
    <t>غادة صلاح</t>
  </si>
  <si>
    <t>دينا عادل</t>
  </si>
  <si>
    <t>ناهد الجبالي</t>
  </si>
  <si>
    <t>نور الهدى عبد الرحمن</t>
  </si>
  <si>
    <t>ليلى محمود</t>
  </si>
  <si>
    <t>مروة المستكاوي</t>
  </si>
  <si>
    <t>نرمين رضا</t>
  </si>
  <si>
    <t>ربيع الدوحة</t>
  </si>
  <si>
    <t>حسين مصطفى</t>
  </si>
  <si>
    <t>محمد عصام</t>
  </si>
  <si>
    <t>شريف عبد المنعم</t>
  </si>
  <si>
    <t>مسعد عبد الرحيم</t>
  </si>
  <si>
    <t>إسلام زيان</t>
  </si>
  <si>
    <t>خالد درويش</t>
  </si>
  <si>
    <t>سالم محمد</t>
  </si>
  <si>
    <t>مبروك الزيات</t>
  </si>
  <si>
    <t>بسام المليجي</t>
  </si>
  <si>
    <t>محمد حمدي</t>
  </si>
  <si>
    <t>أحمد فتحي عبد الله</t>
  </si>
  <si>
    <t>أسماء العبساوي</t>
  </si>
  <si>
    <t>أحمد درويش</t>
  </si>
  <si>
    <t>محمد حامد</t>
  </si>
  <si>
    <t>حسام البدري</t>
  </si>
  <si>
    <t>محمد عبد الحميد</t>
  </si>
  <si>
    <t>أشرف ماهر</t>
  </si>
  <si>
    <t>أحمد علوي</t>
  </si>
  <si>
    <t>عبد المقصود حسن</t>
  </si>
  <si>
    <t>أبو الصفا إسماعيل</t>
  </si>
  <si>
    <t>عبد الهادي غز</t>
  </si>
  <si>
    <t>أحمد جمال</t>
  </si>
  <si>
    <t>محمود رجب</t>
  </si>
  <si>
    <t>أحمد خيري</t>
  </si>
  <si>
    <t>جمال سلامة</t>
  </si>
  <si>
    <t>معاذ خالد</t>
  </si>
  <si>
    <t>محمد صالح</t>
  </si>
  <si>
    <t>عمار أسامة</t>
  </si>
  <si>
    <t>أشرف صبري</t>
  </si>
  <si>
    <t>طارق العليمي</t>
  </si>
  <si>
    <t>محمد عبد الغني</t>
  </si>
  <si>
    <t>شادي خالد</t>
  </si>
  <si>
    <t>Secondary</t>
  </si>
  <si>
    <t>Biology</t>
  </si>
  <si>
    <t>ملك عليوي</t>
  </si>
  <si>
    <t>بيشوي وديع</t>
  </si>
  <si>
    <t>حسام عبد الحي</t>
  </si>
  <si>
    <t>أحمد السيد</t>
  </si>
  <si>
    <t>أحمد السمري</t>
  </si>
  <si>
    <t>آمال حجازي</t>
  </si>
  <si>
    <t>سمر يوسف</t>
  </si>
  <si>
    <t>أرساني عزيز</t>
  </si>
  <si>
    <t>أحمد زكريا</t>
  </si>
  <si>
    <t>محمد الغرباوي</t>
  </si>
  <si>
    <t>Chemistry</t>
  </si>
  <si>
    <t>جمال إسماعيل</t>
  </si>
  <si>
    <t>عبد الرحمن السيد</t>
  </si>
  <si>
    <t>روماني سعد</t>
  </si>
  <si>
    <t>خالد غالي</t>
  </si>
  <si>
    <t>هبة عادل</t>
  </si>
  <si>
    <t>نهى بسيوني</t>
  </si>
  <si>
    <t>جورج مجدي</t>
  </si>
  <si>
    <t>عمرو حسين</t>
  </si>
  <si>
    <t>شريف الرخاوي</t>
  </si>
  <si>
    <t>هاجر السيد</t>
  </si>
  <si>
    <t>حكمت أحمد</t>
  </si>
  <si>
    <t>إسراء حسن</t>
  </si>
  <si>
    <t>Integrated Science</t>
  </si>
  <si>
    <t>أحمد البنا</t>
  </si>
  <si>
    <t>عمرو خليل</t>
  </si>
  <si>
    <t>أحمد النشار</t>
  </si>
  <si>
    <t>سيد صبري</t>
  </si>
  <si>
    <t>الحسين محمد</t>
  </si>
  <si>
    <t>أحمد شعبان</t>
  </si>
  <si>
    <t>أحمد عبد العظيم</t>
  </si>
  <si>
    <t>Physics</t>
  </si>
  <si>
    <t>جوزيف إميل</t>
  </si>
  <si>
    <t>إسلام ممدوح</t>
  </si>
  <si>
    <t>رحاب الصعيدي</t>
  </si>
  <si>
    <t>وليد بكر</t>
  </si>
  <si>
    <t>محمد حسن</t>
  </si>
  <si>
    <t>أحمد عبد الستار</t>
  </si>
  <si>
    <t>جورج إدريس</t>
  </si>
  <si>
    <t>سما الإبراشي</t>
  </si>
  <si>
    <t>الأحياء</t>
  </si>
  <si>
    <t>أحمد الديري</t>
  </si>
  <si>
    <t>رجب رمضان</t>
  </si>
  <si>
    <t>عبير عبد الحليم</t>
  </si>
  <si>
    <t>محمد هاني</t>
  </si>
  <si>
    <t>محمود السايح</t>
  </si>
  <si>
    <t>دينا سليمان</t>
  </si>
  <si>
    <t>محمد إسماعيل</t>
  </si>
  <si>
    <t>التاريخ</t>
  </si>
  <si>
    <t>أحمد عبد اللطيف</t>
  </si>
  <si>
    <t>أحمد حسن</t>
  </si>
  <si>
    <t>جهاد بدر</t>
  </si>
  <si>
    <t>أحمد حسن أحمد</t>
  </si>
  <si>
    <t>حاتم محمد</t>
  </si>
  <si>
    <t>طه عبد الرازق</t>
  </si>
  <si>
    <t>جوزيف ميشيل</t>
  </si>
  <si>
    <t>باسم حسين</t>
  </si>
  <si>
    <t>طارق سليم</t>
  </si>
  <si>
    <t>الجغرافيا</t>
  </si>
  <si>
    <t>وائل سلطان</t>
  </si>
  <si>
    <t>محمد عباس</t>
  </si>
  <si>
    <t>سارة لطفي</t>
  </si>
  <si>
    <t>هادي الشاعر</t>
  </si>
  <si>
    <t>أحمد عوض</t>
  </si>
  <si>
    <t>أحمد الشرقاوي</t>
  </si>
  <si>
    <t>رمضان عبد القادر</t>
  </si>
  <si>
    <t>بولس جرجس</t>
  </si>
  <si>
    <t>أحمد حاتم</t>
  </si>
  <si>
    <t>محمد رمضان</t>
  </si>
  <si>
    <t>أحمد عاطف</t>
  </si>
  <si>
    <t>مينا ميلاد</t>
  </si>
  <si>
    <t>غيث عاطف</t>
  </si>
  <si>
    <t>إبراهيم سعيد</t>
  </si>
  <si>
    <t>أحمد سيف</t>
  </si>
  <si>
    <t>أنطون ألبرت</t>
  </si>
  <si>
    <t>عمرو العقبي</t>
  </si>
  <si>
    <t>إسلام محمد</t>
  </si>
  <si>
    <t>الفلسفة والمنطق</t>
  </si>
  <si>
    <t>رامي فاروق</t>
  </si>
  <si>
    <t>أحمد علاء</t>
  </si>
  <si>
    <t>مدحت صابر</t>
  </si>
  <si>
    <t>دينا البهي</t>
  </si>
  <si>
    <t>أشرف القيصر</t>
  </si>
  <si>
    <t>بسيوني مسعد</t>
  </si>
  <si>
    <t>روماني إبراهيم</t>
  </si>
  <si>
    <t>أماني بسيوني</t>
  </si>
  <si>
    <t>محمد منصور</t>
  </si>
  <si>
    <t>الفيزياء</t>
  </si>
  <si>
    <t>أحمد مختار</t>
  </si>
  <si>
    <t>أحمد عبد القادر</t>
  </si>
  <si>
    <t>موسى عثمان</t>
  </si>
  <si>
    <t>إسلام عماد</t>
  </si>
  <si>
    <t>محمد عادل</t>
  </si>
  <si>
    <t>أسامة إمام</t>
  </si>
  <si>
    <t>وسام الشناوي</t>
  </si>
  <si>
    <t>الكيمياء</t>
  </si>
  <si>
    <t>نزار الشافعي</t>
  </si>
  <si>
    <t>دعاء عرابي</t>
  </si>
  <si>
    <t>أحمد الأمير</t>
  </si>
  <si>
    <t>محمد جودة</t>
  </si>
  <si>
    <t>ياسر عبد الجواد</t>
  </si>
  <si>
    <t>أحمد سليمان</t>
  </si>
  <si>
    <t>محمد أنور</t>
  </si>
  <si>
    <t>أيمن خطاب</t>
  </si>
  <si>
    <t>أحمد الشيمي</t>
  </si>
  <si>
    <t>حسن الرفاعي</t>
  </si>
  <si>
    <t>يوسف عبد الوهاب</t>
  </si>
  <si>
    <t>أحمد عرفة</t>
  </si>
  <si>
    <t>أحمد رجب</t>
  </si>
  <si>
    <t>رضا سلامة</t>
  </si>
  <si>
    <t>علم النفس والاجتماع</t>
  </si>
  <si>
    <t>أحمد سمير</t>
  </si>
  <si>
    <t>سالي إبراهيم</t>
  </si>
  <si>
    <t>محمد إبراهيم</t>
  </si>
  <si>
    <t>أحمد داود</t>
  </si>
  <si>
    <t>محمد سالم</t>
  </si>
  <si>
    <t>محمد عماد عبد النبي الشحات</t>
  </si>
  <si>
    <t>EG10-EG11-G12</t>
  </si>
  <si>
    <t>دسوقي إبراهيم</t>
  </si>
  <si>
    <t>رشا نصير</t>
  </si>
  <si>
    <t>مازن جاد</t>
  </si>
  <si>
    <t>زكي سعيد</t>
  </si>
  <si>
    <t>أحمد يحيى</t>
  </si>
  <si>
    <t>أماني نيكولا</t>
  </si>
  <si>
    <t>فادي جبرائيل</t>
  </si>
  <si>
    <t>رضا جبريل</t>
  </si>
  <si>
    <t>مروة مصطفى</t>
  </si>
  <si>
    <t>Español</t>
  </si>
  <si>
    <t>رضوى صبري</t>
  </si>
  <si>
    <t>Deutsch</t>
  </si>
  <si>
    <t>بيشوي عادل</t>
  </si>
  <si>
    <t>Italiano</t>
  </si>
  <si>
    <t>ماجدة محمد</t>
  </si>
  <si>
    <t>الطيب الطاهر</t>
  </si>
  <si>
    <t>عبد الله أحمد</t>
  </si>
  <si>
    <t>إنجي يحيى</t>
  </si>
  <si>
    <t>Français</t>
  </si>
  <si>
    <t>نورا جادو</t>
  </si>
  <si>
    <t>محمد بهاء</t>
  </si>
  <si>
    <t>هشام إبراهيم</t>
  </si>
  <si>
    <t>داليا حسين</t>
  </si>
  <si>
    <t>سمر هريدي</t>
  </si>
  <si>
    <t>رانيا عبد الجواد</t>
  </si>
  <si>
    <t>رضوى البرقوقي</t>
  </si>
  <si>
    <t>بثينة طه</t>
  </si>
  <si>
    <t>عصام عمر</t>
  </si>
  <si>
    <t>active</t>
  </si>
  <si>
    <t>رحاب جمعة</t>
  </si>
  <si>
    <t>جاكلين عطا الله</t>
  </si>
  <si>
    <t>أماني علام</t>
  </si>
  <si>
    <t>مريم حسين</t>
  </si>
  <si>
    <t>خالد فريد</t>
  </si>
  <si>
    <t>سارة كمال</t>
  </si>
  <si>
    <t>نورين طه</t>
  </si>
  <si>
    <t>تقى حسن</t>
  </si>
  <si>
    <t>جمال مصطفى</t>
  </si>
  <si>
    <t>محمد صفوت</t>
  </si>
  <si>
    <t>محمد إمام</t>
  </si>
  <si>
    <t>رانا عنتر</t>
  </si>
  <si>
    <t>ماريا مجدي</t>
  </si>
  <si>
    <t>لبنى عبد العزيز</t>
  </si>
  <si>
    <t>أحمد علام</t>
  </si>
  <si>
    <t>EG07-EG08-EG09-EG10-EG11-EG12</t>
  </si>
  <si>
    <t>عبير فؤاد</t>
  </si>
  <si>
    <t>عمر خالد</t>
  </si>
  <si>
    <t>ماريان حنا</t>
  </si>
  <si>
    <t>سامح ماجد</t>
  </si>
  <si>
    <t>طارق إسماعيل</t>
  </si>
  <si>
    <t>حنان بدوي</t>
  </si>
  <si>
    <t>فاطمة أحمد</t>
  </si>
  <si>
    <t>أحمد منصور</t>
  </si>
  <si>
    <t>أيمن سليم</t>
  </si>
  <si>
    <t>سلمى عصام</t>
  </si>
  <si>
    <t>أحمد ياقوت</t>
  </si>
  <si>
    <t>جهاد عبد المقصود</t>
  </si>
  <si>
    <t>نهى علاء</t>
  </si>
  <si>
    <t>عمرو خطاب</t>
  </si>
  <si>
    <t>نورهان حشاد</t>
  </si>
  <si>
    <t>سماح محمد</t>
  </si>
  <si>
    <t>نسرين عبد الوهاب</t>
  </si>
  <si>
    <t>نانسي مجاهد</t>
  </si>
  <si>
    <t>يسرا عبد الحميد</t>
  </si>
  <si>
    <t>حسني الهاشمي</t>
  </si>
  <si>
    <t>سمر إبراهيم</t>
  </si>
  <si>
    <t>آية داود</t>
  </si>
  <si>
    <t>علياء مكاوي</t>
  </si>
  <si>
    <t>طلعت أحمد</t>
  </si>
  <si>
    <t>أميرة علي</t>
  </si>
  <si>
    <t>محمد الصاوي</t>
  </si>
  <si>
    <t>تقى السيد</t>
  </si>
  <si>
    <t>تسنيم بدر</t>
  </si>
  <si>
    <t>ماهينور راغب</t>
  </si>
  <si>
    <t>آيات أبو العلا</t>
  </si>
  <si>
    <t>مارسيل سميح</t>
  </si>
  <si>
    <t>عبده شيتاوي</t>
  </si>
  <si>
    <t>New Hire</t>
  </si>
  <si>
    <t>محمد رجب</t>
  </si>
  <si>
    <t>ميرنا طارق</t>
  </si>
  <si>
    <t>منى أخنوخ</t>
  </si>
  <si>
    <t>إسلام درويش</t>
  </si>
  <si>
    <t>سارة  إبراهيم سامي</t>
  </si>
  <si>
    <t>نرمين سعيد</t>
  </si>
  <si>
    <t>عبد الرحمن رمضان</t>
  </si>
  <si>
    <t>نهال زاهر</t>
  </si>
  <si>
    <t>ريهام سلطان</t>
  </si>
  <si>
    <t>إيمان السيد</t>
  </si>
  <si>
    <t>أحمد صالح</t>
  </si>
  <si>
    <t>يمنى ياسر</t>
  </si>
  <si>
    <t>مي سامي</t>
  </si>
  <si>
    <t>إيمان ممدوح</t>
  </si>
  <si>
    <t>مينا جاد</t>
  </si>
  <si>
    <t>لطفي سالم</t>
  </si>
  <si>
    <t>الجيولوجيا</t>
  </si>
  <si>
    <t>شريف شيمي</t>
  </si>
  <si>
    <t>محمد كمال</t>
  </si>
  <si>
    <t>إيمان أمين</t>
  </si>
  <si>
    <t>نهى النشار</t>
  </si>
  <si>
    <t>علاء يوسف</t>
  </si>
  <si>
    <t>شحاتة مسعد</t>
  </si>
  <si>
    <t>شيماء سعيد</t>
  </si>
  <si>
    <t>منار نبيل</t>
  </si>
  <si>
    <t>ريهام الطويل</t>
  </si>
  <si>
    <t>منى صلاح</t>
  </si>
  <si>
    <t>أميرة عبد العزيز</t>
  </si>
  <si>
    <t>حنان زيدان</t>
  </si>
  <si>
    <t>رنا البدري</t>
  </si>
  <si>
    <t>عبد الرحمن أشرف</t>
  </si>
  <si>
    <t>ولاء النمر</t>
  </si>
  <si>
    <t>ياسمين سعيد</t>
  </si>
  <si>
    <t>عبد الرحمن داوود</t>
  </si>
  <si>
    <t>سماء رسمي</t>
  </si>
  <si>
    <t>هاني حواس</t>
  </si>
  <si>
    <t>دعاء عطية</t>
  </si>
  <si>
    <t>ياسمين سمير</t>
  </si>
  <si>
    <t>نيفين السعيد</t>
  </si>
  <si>
    <t>حاكم محمد</t>
  </si>
  <si>
    <t>هدى شعبان</t>
  </si>
  <si>
    <t>أسامة خليل</t>
  </si>
  <si>
    <t>محمد زكي</t>
  </si>
  <si>
    <t>داليا نبيل</t>
  </si>
  <si>
    <t>عبير حسن</t>
  </si>
  <si>
    <t>رانيا عطية</t>
  </si>
  <si>
    <t>محمود أحمد</t>
  </si>
  <si>
    <t>منيرة مهدي</t>
  </si>
  <si>
    <t>لمياء السعيد</t>
  </si>
  <si>
    <t>مروة بدير</t>
  </si>
  <si>
    <t>عبير فرغلي</t>
  </si>
  <si>
    <t>نيرة محمود</t>
  </si>
  <si>
    <t>نورهان عصام</t>
  </si>
  <si>
    <t>هبة كمال</t>
  </si>
  <si>
    <t>صابرين محمد</t>
  </si>
  <si>
    <t>ندى وليد</t>
  </si>
  <si>
    <t>نورهان طارق</t>
  </si>
  <si>
    <t>محمد عبد الباسط</t>
  </si>
  <si>
    <t>آية علاء</t>
  </si>
  <si>
    <t>غادة أحمد</t>
  </si>
  <si>
    <t>ريهام علام</t>
  </si>
  <si>
    <t>محمد علاء</t>
  </si>
  <si>
    <t>كريستين سمير</t>
  </si>
  <si>
    <t>فاطمة عمر</t>
  </si>
  <si>
    <t>عبد المغني عبد العظيم</t>
  </si>
  <si>
    <t>مارتينا مراد</t>
  </si>
  <si>
    <t>هدير محمد</t>
  </si>
  <si>
    <t>مروة صلاح</t>
  </si>
  <si>
    <t>شيرين عزب</t>
  </si>
  <si>
    <t>هادي عاطف</t>
  </si>
  <si>
    <t>حلمي رضا</t>
  </si>
  <si>
    <t>نوران أنور</t>
  </si>
  <si>
    <t>محمد حسنين</t>
  </si>
  <si>
    <t>إلهام عرابي</t>
  </si>
  <si>
    <t>بسيوني محمد</t>
  </si>
  <si>
    <t>لوريس نشأت</t>
  </si>
  <si>
    <t>ياسمين حسن</t>
  </si>
  <si>
    <t>سارة حمدي</t>
  </si>
  <si>
    <t>مي حسن</t>
  </si>
  <si>
    <t>وفاء ريان</t>
  </si>
  <si>
    <t>هدى عادل</t>
  </si>
  <si>
    <t>نيرة إسماعيل</t>
  </si>
  <si>
    <t>محسن قنديل</t>
  </si>
  <si>
    <t>محمد عيد</t>
  </si>
  <si>
    <t>EG04-EG05-EG06</t>
  </si>
  <si>
    <t>إسراء السيد</t>
  </si>
  <si>
    <t>محمود عبده</t>
  </si>
  <si>
    <t>عبد الله جمال</t>
  </si>
  <si>
    <t>محمود جودة</t>
  </si>
  <si>
    <t>نور علام</t>
  </si>
  <si>
    <t>شروق أمين</t>
  </si>
  <si>
    <t>ماهينور توفيق</t>
  </si>
  <si>
    <t>منة جلال</t>
  </si>
  <si>
    <t>مي رشدي</t>
  </si>
  <si>
    <t>إسراء مرسي</t>
  </si>
  <si>
    <t>سارة دهشان</t>
  </si>
  <si>
    <t>ماريان صبري</t>
  </si>
  <si>
    <t>أحمد عماد</t>
  </si>
  <si>
    <t>حسام حسين</t>
  </si>
  <si>
    <t>محمود حسن</t>
  </si>
  <si>
    <t>أحمد صلاح الدين</t>
  </si>
  <si>
    <t>EG08-EG09-EG10-EG11-EG12</t>
  </si>
  <si>
    <t>البدراوي طلبة</t>
  </si>
  <si>
    <t>مي غرابة</t>
  </si>
  <si>
    <t>شيرين حافظ</t>
  </si>
  <si>
    <t>محمد عبد المنعم</t>
  </si>
  <si>
    <t>عماد عرابي</t>
  </si>
  <si>
    <t>ماريا ماجد</t>
  </si>
  <si>
    <t>ندى سعيد</t>
  </si>
  <si>
    <t>صلاح سالمان</t>
  </si>
  <si>
    <t>حسام أحمد</t>
  </si>
  <si>
    <t>سلمى محمود</t>
  </si>
  <si>
    <t>مونيكا عماد</t>
  </si>
  <si>
    <t>فاطمة سمير</t>
  </si>
  <si>
    <t>محمد توفيق</t>
  </si>
  <si>
    <t>نسمة سلطان</t>
  </si>
  <si>
    <t>صفاء زيدان</t>
  </si>
  <si>
    <t>مصطفى حمد</t>
  </si>
  <si>
    <t>ماريا وهيب</t>
  </si>
  <si>
    <t>خيري كمال</t>
  </si>
  <si>
    <t>محمد حسين</t>
  </si>
  <si>
    <t>شيرين جمال</t>
  </si>
  <si>
    <t>هايدي عصام</t>
  </si>
  <si>
    <t>محمد علي حسن</t>
  </si>
  <si>
    <t>غادة شعبان</t>
  </si>
  <si>
    <t>نيفين وديع</t>
  </si>
  <si>
    <t>فرج رزق</t>
  </si>
  <si>
    <t>العلوم المتكاملة</t>
  </si>
  <si>
    <t>أحمد سيد شعبان طه نوح</t>
  </si>
  <si>
    <t>محمد عبد القادر</t>
  </si>
  <si>
    <t>ثابت محمد</t>
  </si>
  <si>
    <t>بيشوي مجدي</t>
  </si>
  <si>
    <t>إكرامي محمد</t>
  </si>
  <si>
    <t>وجدان عبد الرازق</t>
  </si>
  <si>
    <t>إسراء برعي</t>
  </si>
  <si>
    <t>سارة الهمشري</t>
  </si>
  <si>
    <t>هبة أنور</t>
  </si>
  <si>
    <t>عبد الله عبد الحليم</t>
  </si>
  <si>
    <t>رضوى مصطفى</t>
  </si>
  <si>
    <t>إيمان عفت</t>
  </si>
  <si>
    <t>دينا عادل محمود</t>
  </si>
  <si>
    <t>جاد الحسيني</t>
  </si>
  <si>
    <t>نيفين ثابت</t>
  </si>
  <si>
    <t>هدير عبد المحسن</t>
  </si>
  <si>
    <t>سارة عبد المحسن</t>
  </si>
  <si>
    <t>هدير سمير</t>
  </si>
  <si>
    <t>إبراهيم جابر</t>
  </si>
  <si>
    <t>بدر منير عبد المجيد</t>
  </si>
  <si>
    <t>شيماء يونس</t>
  </si>
  <si>
    <t>فاطمة صلاح</t>
  </si>
  <si>
    <t>محمد عبد الهادي</t>
  </si>
  <si>
    <t>كريم جمال</t>
  </si>
  <si>
    <t>شعبان مصطفى عبد الباقي</t>
  </si>
  <si>
    <t>ضحى الزعيري</t>
  </si>
  <si>
    <t>إنجي طلعت</t>
  </si>
  <si>
    <t>هالة عبد العزيز</t>
  </si>
  <si>
    <t>حامد عبد الرازق</t>
  </si>
  <si>
    <t>أحمد سعد</t>
  </si>
  <si>
    <t>أماني علي أمين</t>
  </si>
  <si>
    <t>زينب عزت</t>
  </si>
  <si>
    <t>شيماء علي</t>
  </si>
  <si>
    <t>منتصر عبد الحافظ</t>
  </si>
  <si>
    <t>عمرو رمضان</t>
  </si>
  <si>
    <t>ياسر عقل</t>
  </si>
  <si>
    <t>محمد حسن علي</t>
  </si>
  <si>
    <t>محمد ندا</t>
  </si>
  <si>
    <t>شيماء السيد</t>
  </si>
  <si>
    <t>مصطفى عثمان</t>
  </si>
  <si>
    <t>فاطمة أشرف</t>
  </si>
  <si>
    <t xml:space="preserve">آلاء صادق
</t>
  </si>
  <si>
    <t>دعاء عادل</t>
  </si>
  <si>
    <t>محمد نبيل</t>
  </si>
  <si>
    <t>ماريا محب</t>
  </si>
  <si>
    <t>كنزي طارق</t>
  </si>
  <si>
    <t>نورهان يوسف</t>
  </si>
  <si>
    <t>محمد نور الدين</t>
  </si>
  <si>
    <t>إسلام الحسيني</t>
  </si>
  <si>
    <t xml:space="preserve">مروة حجاج
</t>
  </si>
  <si>
    <t>صالح سمير</t>
  </si>
  <si>
    <t xml:space="preserve">محمود غانم
</t>
  </si>
  <si>
    <t>مصطفى عبد الجليل</t>
  </si>
  <si>
    <t>هاجر محمد</t>
  </si>
  <si>
    <t>كريمة عادل</t>
  </si>
  <si>
    <t>رانا هشام</t>
  </si>
  <si>
    <t>ميرنا ماهر</t>
  </si>
  <si>
    <t>منة الله مجدى</t>
  </si>
  <si>
    <t>خلود أحمد</t>
  </si>
  <si>
    <t>محمد جمال</t>
  </si>
  <si>
    <t xml:space="preserve">إسلام عصام
</t>
  </si>
  <si>
    <t>دينا أحمد</t>
  </si>
  <si>
    <t>شيماء الساعي</t>
  </si>
  <si>
    <t>بسيمة زكي</t>
  </si>
  <si>
    <t xml:space="preserve">علاء رأفت
</t>
  </si>
  <si>
    <t>وائل رضا عبد الوهاب</t>
  </si>
  <si>
    <t>ماجدولين موسى</t>
  </si>
  <si>
    <t>رحاب حامد الأنصاري</t>
  </si>
  <si>
    <t>آية وحيد</t>
  </si>
  <si>
    <t>مريم علي</t>
  </si>
  <si>
    <t>نورهان مهدي</t>
  </si>
  <si>
    <t>محمد رجب أنور</t>
  </si>
  <si>
    <t>محمد صبحي</t>
  </si>
  <si>
    <t>مهرائيل عزت</t>
  </si>
  <si>
    <t>ابتسام فؤاد</t>
  </si>
  <si>
    <t>نادية علي رشوان</t>
  </si>
  <si>
    <t>مدرس ذكاء اصطناعي</t>
  </si>
  <si>
    <t>شيماء محمد</t>
  </si>
  <si>
    <t>مصطفى حماد</t>
  </si>
  <si>
    <t>imaneabada@gmail.com</t>
  </si>
  <si>
    <t>01005729272</t>
  </si>
  <si>
    <t>2172</t>
  </si>
  <si>
    <t>the.peace20006@gmail.com</t>
  </si>
  <si>
    <t>01067579926</t>
  </si>
  <si>
    <t>2171</t>
  </si>
  <si>
    <t>rehab533@gmail.com</t>
  </si>
  <si>
    <t>01019577994</t>
  </si>
  <si>
    <t>2191</t>
  </si>
  <si>
    <t>EG01-EG02-EG03-EG04-EG05</t>
  </si>
  <si>
    <t>norenosman11@yahoo.com</t>
  </si>
  <si>
    <t>01285292060</t>
  </si>
  <si>
    <t>nadalisaid46@gmail.com</t>
  </si>
  <si>
    <t>01273190435</t>
  </si>
  <si>
    <t>jodyy2007@gmail.com</t>
  </si>
  <si>
    <t>01091927577</t>
  </si>
  <si>
    <t>ywael044@gmail.com</t>
  </si>
  <si>
    <t>01271833101</t>
  </si>
  <si>
    <t>elhosseinyasmaa@gmail.com</t>
  </si>
  <si>
    <t>01006995563</t>
  </si>
  <si>
    <t>EG01-EG02-EG03-EG04-EG05-EG06</t>
  </si>
  <si>
    <t>doaamostafaalis@gmail.com</t>
  </si>
  <si>
    <t>01012291825</t>
  </si>
  <si>
    <t>EG01-EG02-EG03-EG04</t>
  </si>
  <si>
    <t>moneyedward37@gmail.com</t>
  </si>
  <si>
    <t>01277626560</t>
  </si>
  <si>
    <t>doniafarouk2811@gmail.com</t>
  </si>
  <si>
    <t>01201302647</t>
  </si>
  <si>
    <t>2003</t>
  </si>
  <si>
    <t>erineyatef@gmail.com</t>
  </si>
  <si>
    <t>01211816220</t>
  </si>
  <si>
    <t>2103</t>
  </si>
  <si>
    <t>heba.abdelhameed99@gmail.com</t>
  </si>
  <si>
    <t>01126571109</t>
  </si>
  <si>
    <t>mahahimony@gmail.com</t>
  </si>
  <si>
    <t>01156615561</t>
  </si>
  <si>
    <t>merahesham2000@gmail.com</t>
  </si>
  <si>
    <t>01027391210</t>
  </si>
  <si>
    <t xml:space="preserve">EG01-EG02-EG03-EG04 </t>
  </si>
  <si>
    <t>nouranyl64@gmail.com</t>
  </si>
  <si>
    <t>01010594459</t>
  </si>
  <si>
    <t>EG01-EG02-EG03-EG04-EG05-EG06-EG07</t>
  </si>
  <si>
    <t>esraalaa25@gmail.com</t>
  </si>
  <si>
    <t>01091311114</t>
  </si>
  <si>
    <t>aueed.eteachers@gmail.com</t>
  </si>
  <si>
    <t>01270819064</t>
  </si>
  <si>
    <t>nadasherif1007@gmail.com</t>
  </si>
  <si>
    <t>EG01-EG02</t>
  </si>
  <si>
    <t>somahamza27@gmail.com</t>
  </si>
  <si>
    <t>shahendaabdulaziz98@gmail.com</t>
  </si>
  <si>
    <t>01004298923</t>
  </si>
  <si>
    <t>EG01-EG02-EG03-EG04-5</t>
  </si>
  <si>
    <t>mrsgehan94@gmail.com</t>
  </si>
  <si>
    <t>reham.haridy17@gmail.com</t>
  </si>
  <si>
    <t>01126620688</t>
  </si>
  <si>
    <t>nadaaly58@gmail.com</t>
  </si>
  <si>
    <t>01275735695</t>
  </si>
  <si>
    <t>marinaemad4922@gmail.com</t>
  </si>
  <si>
    <t>01210882072</t>
  </si>
  <si>
    <t>ashrfmaryam557@gmail.com</t>
  </si>
  <si>
    <t>galaleman21@yahoo.com</t>
  </si>
  <si>
    <t>01276133970</t>
  </si>
  <si>
    <t>nohalotfy33@gmail.com</t>
  </si>
  <si>
    <t>01271850094</t>
  </si>
  <si>
    <t>safaadel499@gmail.com</t>
  </si>
  <si>
    <t>nosamohamed000@gmail.com</t>
  </si>
  <si>
    <t>shahendamohammad3@gmail.com</t>
  </si>
  <si>
    <t>01223315390</t>
  </si>
  <si>
    <t>2310</t>
  </si>
  <si>
    <t>asmaaashraf.aa@gmail.com</t>
  </si>
  <si>
    <t>01015511375</t>
  </si>
  <si>
    <t>2290</t>
  </si>
  <si>
    <t>ayasobhy2014@gmail.com</t>
  </si>
  <si>
    <t>01096896433</t>
  </si>
  <si>
    <t>nourhan.hany.amer.1992@gmail.com</t>
  </si>
  <si>
    <t>01023766623</t>
  </si>
  <si>
    <t>ayafathy1020@gmail.com</t>
  </si>
  <si>
    <t>01025755518//01507075518</t>
  </si>
  <si>
    <t>nourhanyasser1999184@gmail.com</t>
  </si>
  <si>
    <t>01110620513</t>
  </si>
  <si>
    <t>emanali8134@gmail.com</t>
  </si>
  <si>
    <t>01282166883</t>
  </si>
  <si>
    <t>aya963539@gmail.com</t>
  </si>
  <si>
    <t>01064460758</t>
  </si>
  <si>
    <t>dinaradwan109@gmail.com</t>
  </si>
  <si>
    <t>01144211463</t>
  </si>
  <si>
    <t>somaiamohmed2050@gmail.com</t>
  </si>
  <si>
    <t>01096034557</t>
  </si>
  <si>
    <t>nourhan.fdel5@gmail.com</t>
  </si>
  <si>
    <t>01091234112</t>
  </si>
  <si>
    <t>mariamelgohary8@gmail.com</t>
  </si>
  <si>
    <t>yasmin.ihab.abdelwahed@hotmail.com</t>
  </si>
  <si>
    <t>2179</t>
  </si>
  <si>
    <t>shaimaa.nabil2410@gmail.com</t>
  </si>
  <si>
    <t>01013159595</t>
  </si>
  <si>
    <t>2246</t>
  </si>
  <si>
    <t>EG01-EG02-EG03-EG04-EG05-EG06-</t>
  </si>
  <si>
    <t>yoyotamer2345@gmail.com</t>
  </si>
  <si>
    <t>01114556924</t>
  </si>
  <si>
    <t>2215</t>
  </si>
  <si>
    <t>nermeensabry992@gmail.com</t>
  </si>
  <si>
    <t>01284529778</t>
  </si>
  <si>
    <t>2266</t>
  </si>
  <si>
    <t>marmar.elmahdy@gmail.com</t>
  </si>
  <si>
    <t>01061732805-01289867044</t>
  </si>
  <si>
    <t>fatmalabib041@gmail.com</t>
  </si>
  <si>
    <t>01019758284</t>
  </si>
  <si>
    <t>hussienhelmy54@gmail.com</t>
  </si>
  <si>
    <t>01222364937</t>
  </si>
  <si>
    <t>nahlayousry6@gmail.com</t>
  </si>
  <si>
    <t>2092</t>
  </si>
  <si>
    <t>ibrahimtarek1412@gmail.com</t>
  </si>
  <si>
    <t>2178</t>
  </si>
  <si>
    <t>sara.mohmed409@gmail.com</t>
  </si>
  <si>
    <t>01155026319</t>
  </si>
  <si>
    <t>2273</t>
  </si>
  <si>
    <t>emanshaker81@gmail.com</t>
  </si>
  <si>
    <t>0201114924955</t>
  </si>
  <si>
    <t>2278</t>
  </si>
  <si>
    <t>douaazika@gmail.com</t>
  </si>
  <si>
    <t>2321</t>
  </si>
  <si>
    <t>myasmine116@gmail.com</t>
  </si>
  <si>
    <t>01015633019</t>
  </si>
  <si>
    <t>enjymokhtar.219@gmail.com</t>
  </si>
  <si>
    <t>01201521125</t>
  </si>
  <si>
    <t>shimaakamal553@gmail.com</t>
  </si>
  <si>
    <t>01157711782</t>
  </si>
  <si>
    <t>asmaakasem25@hotmail.com</t>
  </si>
  <si>
    <t>01100109067</t>
  </si>
  <si>
    <t>shimaahussain2@gmail.com</t>
  </si>
  <si>
    <t>01016634509</t>
  </si>
  <si>
    <t>manalabdelnaby10@gmail.com</t>
  </si>
  <si>
    <t>shimosoliman4016@gmail.com</t>
  </si>
  <si>
    <t>amanianas217@gmail.com</t>
  </si>
  <si>
    <t>01001014795</t>
  </si>
  <si>
    <t>alaa.work91@gmail.com</t>
  </si>
  <si>
    <t>sosajojo29@gmail.com</t>
  </si>
  <si>
    <t>01211339318</t>
  </si>
  <si>
    <t>zeinabsamirsamir@gmail.com</t>
  </si>
  <si>
    <t>1963</t>
  </si>
  <si>
    <t>amiraghth@gmail.com</t>
  </si>
  <si>
    <t>01119682313</t>
  </si>
  <si>
    <t>1990</t>
  </si>
  <si>
    <t>tahaeldaowdy@gmail.com</t>
  </si>
  <si>
    <t>+201119688644</t>
  </si>
  <si>
    <t>2153</t>
  </si>
  <si>
    <t>der7afer@gmail.com</t>
  </si>
  <si>
    <t>01145433963</t>
  </si>
  <si>
    <t>eman.ismail89@gmail.com</t>
  </si>
  <si>
    <t>01098433794</t>
  </si>
  <si>
    <t>EG04-EG05-EG06-EG07-EG08-EG09</t>
  </si>
  <si>
    <t>elsayeddina@hotmail.com</t>
  </si>
  <si>
    <t>01114432985</t>
  </si>
  <si>
    <t>raldeeb.hesham@gmail.com</t>
  </si>
  <si>
    <t>01010014454</t>
  </si>
  <si>
    <t>maram.tareq1988@gmail.com</t>
  </si>
  <si>
    <t>01550116087</t>
  </si>
  <si>
    <t>efouad774@gmail.com</t>
  </si>
  <si>
    <t>01203102091</t>
  </si>
  <si>
    <t>EG04-EG05-EG06-EG07</t>
  </si>
  <si>
    <t>doaa.aboelhadid@gmail.com</t>
  </si>
  <si>
    <t>01090759683</t>
  </si>
  <si>
    <t>sherin.mohamed.hafez@gmail.com</t>
  </si>
  <si>
    <t>01017179234</t>
  </si>
  <si>
    <t>EG03-EG04-EG05-EG06</t>
  </si>
  <si>
    <t>eh718010@gmail.com</t>
  </si>
  <si>
    <t>01011118294</t>
  </si>
  <si>
    <t>ms3455672@gmail.com</t>
  </si>
  <si>
    <t>01068974535</t>
  </si>
  <si>
    <t>nourhanemad92@gmail.com</t>
  </si>
  <si>
    <t>01007704272</t>
  </si>
  <si>
    <t>rihamaql@gmail.com</t>
  </si>
  <si>
    <t>sarahadel25@gmail.com</t>
  </si>
  <si>
    <t>01221284747</t>
  </si>
  <si>
    <t>ettmanmostafa@gmail.com</t>
  </si>
  <si>
    <t>01002002430</t>
  </si>
  <si>
    <t>narimanelshaer29@gmail.com</t>
  </si>
  <si>
    <t>01068481234</t>
  </si>
  <si>
    <t>EG04-EG05</t>
  </si>
  <si>
    <t>yasmin.t.zaki@gmail.com</t>
  </si>
  <si>
    <t>EG04-EG05-EG06-7-8</t>
  </si>
  <si>
    <t>amrmowafy2025@gmail.com</t>
  </si>
  <si>
    <t>01004917420</t>
  </si>
  <si>
    <t>nadasiam055@gmail.com</t>
  </si>
  <si>
    <t>01025277618</t>
  </si>
  <si>
    <t xml:space="preserve">EG04-EG05-EG06 </t>
  </si>
  <si>
    <t>nagwaneweir@gmail.com</t>
  </si>
  <si>
    <t>01000321191</t>
  </si>
  <si>
    <t>peter.hanna.said@gmail.com</t>
  </si>
  <si>
    <t>01023587845</t>
  </si>
  <si>
    <t>eyadsayed2016@gmail.com</t>
  </si>
  <si>
    <t>01225926326</t>
  </si>
  <si>
    <t>samarhtt88@gmail.com</t>
  </si>
  <si>
    <t>EG04-EG05-EG06-7</t>
  </si>
  <si>
    <t>basma.fouad@yahoo.com</t>
  </si>
  <si>
    <t>01099743661</t>
  </si>
  <si>
    <t>monakoka010@gmail.com</t>
  </si>
  <si>
    <t>01141513173</t>
  </si>
  <si>
    <t>mr.samiribrahim@yahoo.com</t>
  </si>
  <si>
    <t>01200100441</t>
  </si>
  <si>
    <t>nohaibrahim1310@gmail.com</t>
  </si>
  <si>
    <t>ibrahimabdelaliem591@gmail.com</t>
  </si>
  <si>
    <t>01013720278</t>
  </si>
  <si>
    <t>mrs.sahar.savvy@gmail.com</t>
  </si>
  <si>
    <t>EG04-EG05-EG06-EG07-EG08-EG09-10-11</t>
  </si>
  <si>
    <t>omer_mohamed2009@yahoo.com</t>
  </si>
  <si>
    <t>00201017573880</t>
  </si>
  <si>
    <t>doaaemadeldin6@gmail.com</t>
  </si>
  <si>
    <t>01099093013</t>
  </si>
  <si>
    <t>ymy201010@gmail.com</t>
  </si>
  <si>
    <t>nahla.y2013@gmail.com</t>
  </si>
  <si>
    <t>01015128248</t>
  </si>
  <si>
    <t>EG04-EG05-EG06-EG07-EG08-EG09-EG10-EG11-EG12</t>
  </si>
  <si>
    <t>princemido@hotmail.com</t>
  </si>
  <si>
    <t>moaazghady@gmail.com</t>
  </si>
  <si>
    <t>nermeenhasan35@gmail.com</t>
  </si>
  <si>
    <t>petermedhat25@gmail.com</t>
  </si>
  <si>
    <t>01282584743</t>
  </si>
  <si>
    <t>mr.walidali79@gmail.com</t>
  </si>
  <si>
    <t>2288</t>
  </si>
  <si>
    <t>hatem2235h@gmail.com</t>
  </si>
  <si>
    <t>01030944131</t>
  </si>
  <si>
    <t>2270</t>
  </si>
  <si>
    <t>rahmahamoda59@gmail.com</t>
  </si>
  <si>
    <t>01011416685</t>
  </si>
  <si>
    <t>amr731844@gmail.com</t>
  </si>
  <si>
    <t>01094839978</t>
  </si>
  <si>
    <t>pro.islamhmam@gmail.com</t>
  </si>
  <si>
    <t>01550512026</t>
  </si>
  <si>
    <t>ahmedgoda712@gmail.com</t>
  </si>
  <si>
    <t>01212265381</t>
  </si>
  <si>
    <t>aya.emara96@gmail.com</t>
  </si>
  <si>
    <t>kirolosbotrosrizk@gmail.com</t>
  </si>
  <si>
    <t>01212650406</t>
  </si>
  <si>
    <t>may.elhamshary18@gmail.com</t>
  </si>
  <si>
    <t>01098180108</t>
  </si>
  <si>
    <t>hamdly634@gmail.com</t>
  </si>
  <si>
    <t>01157080971</t>
  </si>
  <si>
    <t>m.h.raffat@gmail.com</t>
  </si>
  <si>
    <t>nesahmed2@gmail.com</t>
  </si>
  <si>
    <t>01068231011</t>
  </si>
  <si>
    <t>emankhalil9688896@gmail.com</t>
  </si>
  <si>
    <t>01211232390</t>
  </si>
  <si>
    <t>sally.sayed@yahoo.com</t>
  </si>
  <si>
    <t>01226537936</t>
  </si>
  <si>
    <t>rania.fahmy222@gmail.com</t>
  </si>
  <si>
    <t>01101560506</t>
  </si>
  <si>
    <t>3mahoda@gmail.com</t>
  </si>
  <si>
    <t>1843</t>
  </si>
  <si>
    <t>salmaellaithy96@gmail.com</t>
  </si>
  <si>
    <t>01099069950</t>
  </si>
  <si>
    <t>1866</t>
  </si>
  <si>
    <t>hebaadel1795@gmail.com</t>
  </si>
  <si>
    <t>01159608979</t>
  </si>
  <si>
    <t>1958</t>
  </si>
  <si>
    <t>sararef3t90@gmail.com</t>
  </si>
  <si>
    <t>+201100848903</t>
  </si>
  <si>
    <t>2040</t>
  </si>
  <si>
    <t>emiliamony@gmail.com</t>
  </si>
  <si>
    <t>2049</t>
  </si>
  <si>
    <t>mohamedlokman055@gmail.com</t>
  </si>
  <si>
    <t>01006721017</t>
  </si>
  <si>
    <t>2240</t>
  </si>
  <si>
    <t>alshaimaag062@gmail.com</t>
  </si>
  <si>
    <t>01094815086</t>
  </si>
  <si>
    <t>2245</t>
  </si>
  <si>
    <t>samarhamdy793@gmail.com</t>
  </si>
  <si>
    <t>01204852813</t>
  </si>
  <si>
    <t>2248</t>
  </si>
  <si>
    <t>sa.othman8@gmail.com</t>
  </si>
  <si>
    <t>01022637927</t>
  </si>
  <si>
    <t>douaanaguib@gmail.com</t>
  </si>
  <si>
    <t>01000271867</t>
  </si>
  <si>
    <t>mrminamath1989@gmail.com</t>
  </si>
  <si>
    <t>01061512070</t>
  </si>
  <si>
    <t>raniamo712@gmail.com</t>
  </si>
  <si>
    <t>01157249432</t>
  </si>
  <si>
    <t>shemoelbindary52@gmail.com</t>
  </si>
  <si>
    <t>01090538802</t>
  </si>
  <si>
    <t>amrtarek.1100@yahoo.com</t>
  </si>
  <si>
    <t>01143727455</t>
  </si>
  <si>
    <t>essay.soo1996@gmail.com</t>
  </si>
  <si>
    <t>ogomaa57@gmail.com</t>
  </si>
  <si>
    <t>01002637904</t>
  </si>
  <si>
    <t>karema0saed@gmail.com</t>
  </si>
  <si>
    <t>mennar048@gmail.com</t>
  </si>
  <si>
    <t>nancyahmed9720@gmail.com</t>
  </si>
  <si>
    <t>01226903380</t>
  </si>
  <si>
    <t>math.department.eg@gmail.com</t>
  </si>
  <si>
    <t>01016652043</t>
  </si>
  <si>
    <t>asmaa.elnoubi@gmail.com</t>
  </si>
  <si>
    <t>01270115158</t>
  </si>
  <si>
    <t>EG03-EG04-EG05</t>
  </si>
  <si>
    <t>habibaadel1922@gmail.com</t>
  </si>
  <si>
    <t>01201027560</t>
  </si>
  <si>
    <t>martinaasad5@gmail.com</t>
  </si>
  <si>
    <t>+201281678241</t>
  </si>
  <si>
    <t>hebatullahhesham47@gmail.com</t>
  </si>
  <si>
    <t>nasrahussein422@gmail.com</t>
  </si>
  <si>
    <t>amiratutmask@gmail.com</t>
  </si>
  <si>
    <t>01006331821</t>
  </si>
  <si>
    <t>gedahad1511@gmail.com</t>
  </si>
  <si>
    <t>asaadia881@gmail.com</t>
  </si>
  <si>
    <t>ayamegahed071@gmail.com</t>
  </si>
  <si>
    <t>01066056096</t>
  </si>
  <si>
    <t>ahmedtawfek2002@gmail.com</t>
  </si>
  <si>
    <t>01098960940</t>
  </si>
  <si>
    <t>1004</t>
  </si>
  <si>
    <t>zeina.elsheikh@nagwa.com</t>
  </si>
  <si>
    <t>01097890222</t>
  </si>
  <si>
    <t>1849</t>
  </si>
  <si>
    <t>noraalmiligy@gmail.com</t>
  </si>
  <si>
    <t>1907</t>
  </si>
  <si>
    <t>esraa.eid.95@gmail.com</t>
  </si>
  <si>
    <t>01009980720</t>
  </si>
  <si>
    <t>2013</t>
  </si>
  <si>
    <t>radwakadrey@gmail.com</t>
  </si>
  <si>
    <t>01228963698</t>
  </si>
  <si>
    <t>2144</t>
  </si>
  <si>
    <t>amanyelsayed808@gmail.com</t>
  </si>
  <si>
    <t>01008649576</t>
  </si>
  <si>
    <t>1383</t>
  </si>
  <si>
    <t>byasmins4288@gmail.com</t>
  </si>
  <si>
    <t>01004560430</t>
  </si>
  <si>
    <t>aliaafsultan105@gmail.com</t>
  </si>
  <si>
    <t>01040323439</t>
  </si>
  <si>
    <t>hanansobhy9997@gmail.com</t>
  </si>
  <si>
    <t>01068457100</t>
  </si>
  <si>
    <t>rana.tarek.met@gmail.com</t>
  </si>
  <si>
    <t>01142877853</t>
  </si>
  <si>
    <t>hebamohamed.bloom@gmail.com</t>
  </si>
  <si>
    <t>01094740302</t>
  </si>
  <si>
    <t>rana.hrly@gmail.com</t>
  </si>
  <si>
    <t>01210614318</t>
  </si>
  <si>
    <t>marwa1980red@hotmail.com</t>
  </si>
  <si>
    <t>01210055699</t>
  </si>
  <si>
    <t>amiraahmed231@gmail.com</t>
  </si>
  <si>
    <t>01155574478</t>
  </si>
  <si>
    <t>ms.yaramostafaa@gmail.com</t>
  </si>
  <si>
    <t>demianaatef28@gmail.com</t>
  </si>
  <si>
    <t>01204031792</t>
  </si>
  <si>
    <t>hadeer.ashraf14@hotmail.com</t>
  </si>
  <si>
    <t>01004044327</t>
  </si>
  <si>
    <t>youstina.waide123@gmail.com</t>
  </si>
  <si>
    <t>01273882464</t>
  </si>
  <si>
    <t>EG05-EG06</t>
  </si>
  <si>
    <t>emanseadawy22@gmail.com</t>
  </si>
  <si>
    <t>01080328965</t>
  </si>
  <si>
    <t>sarasabry32@yahoo.com</t>
  </si>
  <si>
    <t>+201024181225</t>
  </si>
  <si>
    <t>mennatullahmohamed23@gmail.com</t>
  </si>
  <si>
    <t>01203531607</t>
  </si>
  <si>
    <t>esraaramy50@gmail.com</t>
  </si>
  <si>
    <t>01032803981</t>
  </si>
  <si>
    <t>khadijaabdelrahman88@gmail.com</t>
  </si>
  <si>
    <t>EG04-EG05-EG06-EG10</t>
  </si>
  <si>
    <t>ddoniamansour@gmail.com</t>
  </si>
  <si>
    <t>emanmashaly999@gmail.com</t>
  </si>
  <si>
    <t>01099178001</t>
  </si>
  <si>
    <t>magdolinesamir@gmail.com</t>
  </si>
  <si>
    <t>01203034643</t>
  </si>
  <si>
    <t>ndyaldrgham@gmail.com</t>
  </si>
  <si>
    <t>inas.ibrahim.habib@gmail.com</t>
  </si>
  <si>
    <t>mariamdarbain06@gmail.com</t>
  </si>
  <si>
    <t>01095138842</t>
  </si>
  <si>
    <t>msayabayoumy@gmail.com</t>
  </si>
  <si>
    <t>01143323764</t>
  </si>
  <si>
    <t>1826</t>
  </si>
  <si>
    <t>mhala5855@gmail.com</t>
  </si>
  <si>
    <t>1885</t>
  </si>
  <si>
    <t>dodoelzohry22@gmail.com</t>
  </si>
  <si>
    <t>01090569530</t>
  </si>
  <si>
    <t>1920</t>
  </si>
  <si>
    <t>heba.mh29@gmail.com</t>
  </si>
  <si>
    <t>1986</t>
  </si>
  <si>
    <t>saranaguib005@gmail.com</t>
  </si>
  <si>
    <t>1985</t>
  </si>
  <si>
    <t>ms.zeinabelsagheer.paoh@gmail.com</t>
  </si>
  <si>
    <t>2070</t>
  </si>
  <si>
    <t>reemhassannassar209@gmail.com</t>
  </si>
  <si>
    <t>01118953299</t>
  </si>
  <si>
    <t>2066</t>
  </si>
  <si>
    <t>christinemourad6@gmail.com</t>
  </si>
  <si>
    <t>01202636991</t>
  </si>
  <si>
    <t>ma6515149@gmail.com</t>
  </si>
  <si>
    <t>01208476617</t>
  </si>
  <si>
    <t>2207</t>
  </si>
  <si>
    <t>nadaaosama1@gmail.com</t>
  </si>
  <si>
    <t>01208990138</t>
  </si>
  <si>
    <t>2182</t>
  </si>
  <si>
    <t>doaamarzouk992@gmail.com</t>
  </si>
  <si>
    <t>01002287489</t>
  </si>
  <si>
    <t>2219</t>
  </si>
  <si>
    <t>shimmaabdalrhman@gmail.com</t>
  </si>
  <si>
    <t>EG04-EG05-EG06-EG07-EG08</t>
  </si>
  <si>
    <t>asmmasalim22@gmail.com</t>
  </si>
  <si>
    <t>01033304652</t>
  </si>
  <si>
    <t>reham_2013@yahoo.com</t>
  </si>
  <si>
    <t>01152340498</t>
  </si>
  <si>
    <t>2221</t>
  </si>
  <si>
    <t>mis.rana811@gmail.com</t>
  </si>
  <si>
    <t>01211401694</t>
  </si>
  <si>
    <t>2247</t>
  </si>
  <si>
    <t>bushra0atif@gmail.com</t>
  </si>
  <si>
    <t>01125625432</t>
  </si>
  <si>
    <t>2230</t>
  </si>
  <si>
    <t>ei8933954@gmail.com</t>
  </si>
  <si>
    <t>01202150818</t>
  </si>
  <si>
    <t>hebaalisaber223@gmail.com</t>
  </si>
  <si>
    <t>fatma.rashad86@gmail.com</t>
  </si>
  <si>
    <t>01128890011</t>
  </si>
  <si>
    <t>randa.fouad.1811@gmail.com</t>
  </si>
  <si>
    <t>raniaemad91111@gmail.com</t>
  </si>
  <si>
    <t>enas.ali91@gmail.com</t>
  </si>
  <si>
    <t>01014651990</t>
  </si>
  <si>
    <t>EG07-EG08-EG09</t>
  </si>
  <si>
    <t>ahmedsalah991986@gmail.com</t>
  </si>
  <si>
    <t>01224705674</t>
  </si>
  <si>
    <t>mennaashraf863@gmail.com</t>
  </si>
  <si>
    <t>01222505132</t>
  </si>
  <si>
    <t>mustaphahistory@gmail.com</t>
  </si>
  <si>
    <t>cute.pospos@gmail.com</t>
  </si>
  <si>
    <t>01142388120</t>
  </si>
  <si>
    <t>basmasaeed2714@gmail.com</t>
  </si>
  <si>
    <t>sarageo405060@gmail.com</t>
  </si>
  <si>
    <t>01125500358</t>
  </si>
  <si>
    <t>bassemalmasry80@gmail.com</t>
  </si>
  <si>
    <t>mrw263050@gmail.com</t>
  </si>
  <si>
    <t>01032048605</t>
  </si>
  <si>
    <t>aalaamahamed7@gmail.com</t>
  </si>
  <si>
    <t>01065974950</t>
  </si>
  <si>
    <t>1844</t>
  </si>
  <si>
    <t>zeinabslime1987@gmail.com</t>
  </si>
  <si>
    <t>01157488697</t>
  </si>
  <si>
    <t>1900</t>
  </si>
  <si>
    <t>mariamabdelkader292@gmail.com</t>
  </si>
  <si>
    <t>1956</t>
  </si>
  <si>
    <t>walaasaad17@gmail.com</t>
  </si>
  <si>
    <t>01120350201</t>
  </si>
  <si>
    <t>1960</t>
  </si>
  <si>
    <t>hadeersayeed68@gmail.com</t>
  </si>
  <si>
    <t>01028000334</t>
  </si>
  <si>
    <t>1997</t>
  </si>
  <si>
    <t>khookha.geushy@gmail.com</t>
  </si>
  <si>
    <t>01000285051</t>
  </si>
  <si>
    <t>2036</t>
  </si>
  <si>
    <t>saramelgendy@gmail.com</t>
  </si>
  <si>
    <t>01128004018</t>
  </si>
  <si>
    <t>2257</t>
  </si>
  <si>
    <t>mohamedyahya1921@gmail.com</t>
  </si>
  <si>
    <t>01013531223 - 01123214248</t>
  </si>
  <si>
    <t>‪nahedfathy192@gmail.com</t>
  </si>
  <si>
    <t>01025801482</t>
  </si>
  <si>
    <t>missdoaanagy@gmail.com</t>
  </si>
  <si>
    <t>01066558103</t>
  </si>
  <si>
    <t>yarahassan2027@gmail.com</t>
  </si>
  <si>
    <t>01014975043</t>
  </si>
  <si>
    <t>abdonet777@yahoo.com</t>
  </si>
  <si>
    <t>01069344824</t>
  </si>
  <si>
    <t>samarana2654@gmail.com</t>
  </si>
  <si>
    <t>01225233745</t>
  </si>
  <si>
    <t>mahaelhamzay@gmail.com</t>
  </si>
  <si>
    <t>mb4940749@gmail.com</t>
  </si>
  <si>
    <t>01005056280</t>
  </si>
  <si>
    <t>2025jd04@gmail.com</t>
  </si>
  <si>
    <t>01288701449</t>
  </si>
  <si>
    <t>mostafagamalmetwally@gmail.com</t>
  </si>
  <si>
    <t>1897</t>
  </si>
  <si>
    <t>rahmasaeed600@gmail.com</t>
  </si>
  <si>
    <t>01140946934</t>
  </si>
  <si>
    <t>1968</t>
  </si>
  <si>
    <t>aalhamaqi@gmail.com</t>
  </si>
  <si>
    <t>01097689004</t>
  </si>
  <si>
    <t>1984</t>
  </si>
  <si>
    <t>raniashabanmohamed99@gmail.com</t>
  </si>
  <si>
    <t>2138</t>
  </si>
  <si>
    <t>sarahhesham7777@gmail.com</t>
  </si>
  <si>
    <t>01024197640</t>
  </si>
  <si>
    <t>2169</t>
  </si>
  <si>
    <t>mariamjohn2016@gmail.com</t>
  </si>
  <si>
    <t>01204817452</t>
  </si>
  <si>
    <t>noursadek219@gmail.com</t>
  </si>
  <si>
    <t>01200935348</t>
  </si>
  <si>
    <t>mostafa.raafat.mr@gmail.com</t>
  </si>
  <si>
    <t>01127246518</t>
  </si>
  <si>
    <t>sondosibrahimmohamed50@gmail.com</t>
  </si>
  <si>
    <t>01148230103</t>
  </si>
  <si>
    <t>emanhamdy9876@gmail.com</t>
  </si>
  <si>
    <t>01118049112</t>
  </si>
  <si>
    <t>maryamabogourab98@gmail.com</t>
  </si>
  <si>
    <t>01024705051</t>
  </si>
  <si>
    <t>shimaasayed7796@gmail.com</t>
  </si>
  <si>
    <t>01014038811</t>
  </si>
  <si>
    <t>carolineezak250@gmail.com</t>
  </si>
  <si>
    <t>01200451640</t>
  </si>
  <si>
    <t>ns5603341@gmail.com</t>
  </si>
  <si>
    <t>hasnaa.seen@gmail.com</t>
  </si>
  <si>
    <t>gehadmousa786@gmail.com</t>
  </si>
  <si>
    <t>01022451628</t>
  </si>
  <si>
    <t>asmaaa.elaimy@gmail.com</t>
  </si>
  <si>
    <t>01066612687</t>
  </si>
  <si>
    <t>145</t>
  </si>
  <si>
    <t>abdallah.moeenn@gmail.com</t>
  </si>
  <si>
    <t>737</t>
  </si>
  <si>
    <t>mohamed.eid@nagwa.com</t>
  </si>
  <si>
    <t>1869</t>
  </si>
  <si>
    <t>ibrahim.altrawey@gmail.com</t>
  </si>
  <si>
    <t>01228286453</t>
  </si>
  <si>
    <t>1714</t>
  </si>
  <si>
    <t>faten4.sayed@gmail.com</t>
  </si>
  <si>
    <t>1964</t>
  </si>
  <si>
    <t>m.moharam91@gmail.com</t>
  </si>
  <si>
    <t>01009005365</t>
  </si>
  <si>
    <t>2081</t>
  </si>
  <si>
    <t>apoapdo3000@gmail.com</t>
  </si>
  <si>
    <t>01119730825</t>
  </si>
  <si>
    <t>1137</t>
  </si>
  <si>
    <t>ahmedsalem6060@gmail.com</t>
  </si>
  <si>
    <t>01143409562</t>
  </si>
  <si>
    <t>2104</t>
  </si>
  <si>
    <t>ibrahimroshdy20202021@gmail.com</t>
  </si>
  <si>
    <t>01092350359</t>
  </si>
  <si>
    <t>2313</t>
  </si>
  <si>
    <t>afathy123654@gmail.com</t>
  </si>
  <si>
    <t>01150395089</t>
  </si>
  <si>
    <t>2307</t>
  </si>
  <si>
    <t>mahmoudkhamees2@gmail.com</t>
  </si>
  <si>
    <t>01016063128</t>
  </si>
  <si>
    <t>2319</t>
  </si>
  <si>
    <t>saraharaby90@gmail.com</t>
  </si>
  <si>
    <t>01118843325</t>
  </si>
  <si>
    <t>islamsba98@gmail.com</t>
  </si>
  <si>
    <t>01018015076</t>
  </si>
  <si>
    <t>EG03-EG04-EG05-EG06-EG07-EG08-EG09</t>
  </si>
  <si>
    <t>ebsmoab@gmail.com</t>
  </si>
  <si>
    <t>01123330493</t>
  </si>
  <si>
    <t>fatma25nady@gmail.com</t>
  </si>
  <si>
    <t>01028758529</t>
  </si>
  <si>
    <t>EG03-EG04-EG05-EG06-EG07</t>
  </si>
  <si>
    <t>meramera192333@gmail.com</t>
  </si>
  <si>
    <t>01123054991</t>
  </si>
  <si>
    <t>enahany4@gmail.com</t>
  </si>
  <si>
    <t>01096788156</t>
  </si>
  <si>
    <t>amrgamalhamdi@gmail.com</t>
  </si>
  <si>
    <t>01060743606</t>
  </si>
  <si>
    <t>adelhalfawytea@gmail.com</t>
  </si>
  <si>
    <t>01026332686</t>
  </si>
  <si>
    <t>hossam.kandel70@gmail.com</t>
  </si>
  <si>
    <t>01227304602</t>
  </si>
  <si>
    <t>rababelhenawey@gmail.com</t>
  </si>
  <si>
    <t>saadbehery13@gmail.com</t>
  </si>
  <si>
    <t>reham.3adel@hotmail.com</t>
  </si>
  <si>
    <t>01114564985</t>
  </si>
  <si>
    <t>nadiaabdalbast@outlook.com</t>
  </si>
  <si>
    <t>01027624883</t>
  </si>
  <si>
    <t>fatmaalzhraa704@gmail.com</t>
  </si>
  <si>
    <t>01011497610</t>
  </si>
  <si>
    <t>doniaalaaeldeen13@gmail.com</t>
  </si>
  <si>
    <t>01127447490</t>
  </si>
  <si>
    <t>hanaaelamir7@gmail.com</t>
  </si>
  <si>
    <t>01003088300</t>
  </si>
  <si>
    <t>amalomara78@gmail.com</t>
  </si>
  <si>
    <t>01278856104</t>
  </si>
  <si>
    <t>nehadsalahalsakka@gmail.com</t>
  </si>
  <si>
    <t>01067349853</t>
  </si>
  <si>
    <t>asmaa.hashim88@gmail.com</t>
  </si>
  <si>
    <t>01098052277</t>
  </si>
  <si>
    <t>modeayamode@gmail.com</t>
  </si>
  <si>
    <t>randaelbedaya02@gmail.com</t>
  </si>
  <si>
    <t>aymanbesso81@gmail.com</t>
  </si>
  <si>
    <t>naglaaradwan99@gmail.com</t>
  </si>
  <si>
    <t>2296</t>
  </si>
  <si>
    <t>hazemabdulrahman99@gmail.com</t>
  </si>
  <si>
    <t>01126374221</t>
  </si>
  <si>
    <t>2271</t>
  </si>
  <si>
    <t>smahmoudnagaty@gmail.com</t>
  </si>
  <si>
    <t>01125927483</t>
  </si>
  <si>
    <t>1911</t>
  </si>
  <si>
    <t>jess.hisham@gmail.com</t>
  </si>
  <si>
    <t>01000347446</t>
  </si>
  <si>
    <t>1942</t>
  </si>
  <si>
    <t>hossamhs2@gmail.com</t>
  </si>
  <si>
    <t>01140444210</t>
  </si>
  <si>
    <t>etimadwasef.hurg@gmail.com</t>
  </si>
  <si>
    <t>01206008424</t>
  </si>
  <si>
    <t>EG07-EG08-EG09-EG10-EG11</t>
  </si>
  <si>
    <t>magdi.younis@yahoo.com</t>
  </si>
  <si>
    <t>emanyassen175@gmail.com</t>
  </si>
  <si>
    <t>01124999968</t>
  </si>
  <si>
    <t>greenocean1221@gmail.com</t>
  </si>
  <si>
    <t>01004480246</t>
  </si>
  <si>
    <t>EG04-EG05-EG06-EG07-EG08-EG09-EG10</t>
  </si>
  <si>
    <t>abderrahman.adel1994@gmail.com</t>
  </si>
  <si>
    <t>01023436456 - 01121192433</t>
  </si>
  <si>
    <t>samyalhadad1971@gmail.com</t>
  </si>
  <si>
    <t>0127 6656531</t>
  </si>
  <si>
    <t>abdollahbakry84@gmail.com</t>
  </si>
  <si>
    <t>01280483249</t>
  </si>
  <si>
    <t>rzsa33@gmail.com</t>
  </si>
  <si>
    <t>01228046146</t>
  </si>
  <si>
    <t>EG07-EG08-EG09-EG10</t>
  </si>
  <si>
    <t>aabdelwanis10@gmail.com</t>
  </si>
  <si>
    <t>01277938694</t>
  </si>
  <si>
    <t>mm.hh7238@gmail.com</t>
  </si>
  <si>
    <t>01098964450</t>
  </si>
  <si>
    <t>abouelhassan777@gmail.com</t>
  </si>
  <si>
    <t>01143319486</t>
  </si>
  <si>
    <t>ali.tantawy10@icloud.com</t>
  </si>
  <si>
    <t>01069571410</t>
  </si>
  <si>
    <t>dr.english007@gmail.com</t>
  </si>
  <si>
    <t>emanalaahassan@gmail.com</t>
  </si>
  <si>
    <t>01092570623</t>
  </si>
  <si>
    <t>nohaabdelrahman840@gmail.com</t>
  </si>
  <si>
    <t>EG07-EG08</t>
  </si>
  <si>
    <t>catherinezaki90@gmail.com</t>
  </si>
  <si>
    <t>michel.emad17@gmail.com</t>
  </si>
  <si>
    <t xml:space="preserve">EG07-EG08-EG09 </t>
  </si>
  <si>
    <t>abdelaalhalawa@gmail.com</t>
  </si>
  <si>
    <t>01227050389</t>
  </si>
  <si>
    <t>hebagamal121@gmail.com</t>
  </si>
  <si>
    <t>suzanabdelfattah997@gmail.com</t>
  </si>
  <si>
    <t>amirayounes800@gmail.com</t>
  </si>
  <si>
    <t>7kheir@gmail.com</t>
  </si>
  <si>
    <t>01040261145</t>
  </si>
  <si>
    <t>1776</t>
  </si>
  <si>
    <t>seniormaths25@gmail.com</t>
  </si>
  <si>
    <t>01129242524</t>
  </si>
  <si>
    <t>1847</t>
  </si>
  <si>
    <t>mathteacher37age@gmail.com</t>
  </si>
  <si>
    <t>01068212833</t>
  </si>
  <si>
    <t>1848</t>
  </si>
  <si>
    <t>ahmad.azaba@yahoo.com</t>
  </si>
  <si>
    <t>01154891562</t>
  </si>
  <si>
    <t>1901</t>
  </si>
  <si>
    <t>mr.eslamelsyed@gmail.com</t>
  </si>
  <si>
    <t>01004928895</t>
  </si>
  <si>
    <t>1959</t>
  </si>
  <si>
    <t>maged0bebawy@gmail.com</t>
  </si>
  <si>
    <t>01271303012</t>
  </si>
  <si>
    <t>2052</t>
  </si>
  <si>
    <t>galalmohamed33@gmail.com</t>
  </si>
  <si>
    <t>+201069423949</t>
  </si>
  <si>
    <t>a0112020620@gmail.com</t>
  </si>
  <si>
    <t>01224567255</t>
  </si>
  <si>
    <t>hodaaly3008@gmail.com</t>
  </si>
  <si>
    <t>01208548997</t>
  </si>
  <si>
    <t>marwa.kamal.core@gmail.com</t>
  </si>
  <si>
    <t>01112024700</t>
  </si>
  <si>
    <t>arakha119@gmail.com</t>
  </si>
  <si>
    <t>01062336833 - 01229867543</t>
  </si>
  <si>
    <t>shaymaagaber.sg@gmail.com</t>
  </si>
  <si>
    <t>mohamed.fahmy0190@gmail.com</t>
  </si>
  <si>
    <t>01110995621</t>
  </si>
  <si>
    <t>rabiea1222@gmail.com</t>
  </si>
  <si>
    <t>01095228365</t>
  </si>
  <si>
    <t>hossammath@yahoo.com</t>
  </si>
  <si>
    <t>01006233576</t>
  </si>
  <si>
    <t>galalgalal185@gmail.com</t>
  </si>
  <si>
    <t>01006486535</t>
  </si>
  <si>
    <t>mrsherifsalah85@gmail.com</t>
  </si>
  <si>
    <t>01020165124</t>
  </si>
  <si>
    <t>sally.khalledsamy@outlook.com</t>
  </si>
  <si>
    <t>01149979990</t>
  </si>
  <si>
    <t>dr.eslam.h.i@gmail.com</t>
  </si>
  <si>
    <t>01002501821</t>
  </si>
  <si>
    <t>EG04-EG06-EG07-EG08-EG09</t>
  </si>
  <si>
    <t>a.abdallah.depd@gmail.com</t>
  </si>
  <si>
    <t>01118300659 - 01225781819</t>
  </si>
  <si>
    <t>nouranlotfy63@gmail.com</t>
  </si>
  <si>
    <t>01001625777</t>
  </si>
  <si>
    <t>rehamaly.76@gmail.com</t>
  </si>
  <si>
    <t>01206255208</t>
  </si>
  <si>
    <t>elsaiid99@live.com</t>
  </si>
  <si>
    <t>01126789926</t>
  </si>
  <si>
    <t>sherifzaiton218@gmail.com</t>
  </si>
  <si>
    <t>1788</t>
  </si>
  <si>
    <t>andrewtharwatfikry@gmail.com</t>
  </si>
  <si>
    <t>01205947696</t>
  </si>
  <si>
    <t>1851</t>
  </si>
  <si>
    <t>zahraasawy@gmail.com</t>
  </si>
  <si>
    <t>01146935411</t>
  </si>
  <si>
    <t>1930</t>
  </si>
  <si>
    <t>EG06-EG07-EG08-EG09-EG10</t>
  </si>
  <si>
    <t>veroniamamdouh332@gmail.com</t>
  </si>
  <si>
    <t>01285314528</t>
  </si>
  <si>
    <t>2042</t>
  </si>
  <si>
    <t>meneimpharma@gmail.com</t>
  </si>
  <si>
    <t>01225606274</t>
  </si>
  <si>
    <t>2098</t>
  </si>
  <si>
    <t>theresanaguib84@gmail.com</t>
  </si>
  <si>
    <t>01272245620</t>
  </si>
  <si>
    <t>2174</t>
  </si>
  <si>
    <t>yumna_elnennah@yahoo.com</t>
  </si>
  <si>
    <t>01013423508</t>
  </si>
  <si>
    <t>2213</t>
  </si>
  <si>
    <t>enabil24@gmail.com</t>
  </si>
  <si>
    <t>01204477722</t>
  </si>
  <si>
    <t>2282</t>
  </si>
  <si>
    <t>ayaserry@hotmail.com</t>
  </si>
  <si>
    <t>01033449440</t>
  </si>
  <si>
    <t>2281</t>
  </si>
  <si>
    <t>mhmodasem@yahoo.com</t>
  </si>
  <si>
    <t>01555039810</t>
  </si>
  <si>
    <t>sohilayousry160@gmail.com</t>
  </si>
  <si>
    <t>01147701242</t>
  </si>
  <si>
    <t>albertibrahim30@gmail.com</t>
  </si>
  <si>
    <t>01276626044</t>
  </si>
  <si>
    <t>johnmalakzaki@gmail.com</t>
  </si>
  <si>
    <t>01021748033</t>
  </si>
  <si>
    <t>ahmeddeif79@gmail.com</t>
  </si>
  <si>
    <t>01552762209</t>
  </si>
  <si>
    <t>shimaamaged436@gmail.com</t>
  </si>
  <si>
    <t>01271024461</t>
  </si>
  <si>
    <t>nm1238991@gmail.com</t>
  </si>
  <si>
    <t>01069534013</t>
  </si>
  <si>
    <t>melfar836@gmail.com</t>
  </si>
  <si>
    <t>+201289807074</t>
  </si>
  <si>
    <t>eng.nasrsaleh@gmail.com</t>
  </si>
  <si>
    <t>01008960199</t>
  </si>
  <si>
    <t>hebahamza662202@gmail.com</t>
  </si>
  <si>
    <t>sci.epistimi@gmail.com</t>
  </si>
  <si>
    <t>soheirmamdouh4190@gmail.com</t>
  </si>
  <si>
    <t>mennamohamed89166@gmail.com</t>
  </si>
  <si>
    <t>rowida.fekri.3325@gmail.com</t>
  </si>
  <si>
    <t>1859</t>
  </si>
  <si>
    <t>toka.karim22@gmail.com</t>
  </si>
  <si>
    <t>01011609935</t>
  </si>
  <si>
    <t>1861</t>
  </si>
  <si>
    <t>alaahesham492@gmail.com</t>
  </si>
  <si>
    <t>01204537345</t>
  </si>
  <si>
    <t>1873</t>
  </si>
  <si>
    <t>rehabtawfik8@gmail.com</t>
  </si>
  <si>
    <t>1883</t>
  </si>
  <si>
    <t>lailaelsayed3@gmail.com</t>
  </si>
  <si>
    <t>1921</t>
  </si>
  <si>
    <t>islamhozayen1@gmail.com</t>
  </si>
  <si>
    <t>01000302485</t>
  </si>
  <si>
    <t>1988</t>
  </si>
  <si>
    <t>memawaly578@gmail.com</t>
  </si>
  <si>
    <t>01030282653</t>
  </si>
  <si>
    <t>2045</t>
  </si>
  <si>
    <t>ahmedabdelshaheed88@gmail.com</t>
  </si>
  <si>
    <t>01009361878</t>
  </si>
  <si>
    <t>2083</t>
  </si>
  <si>
    <t>mahmoud.mohameed26@gmail.com</t>
  </si>
  <si>
    <t>01006764019</t>
  </si>
  <si>
    <t>2084</t>
  </si>
  <si>
    <t>naderwagdy666@gmail.com</t>
  </si>
  <si>
    <t>01280490085</t>
  </si>
  <si>
    <t>2181</t>
  </si>
  <si>
    <t>muhannad.m.m.khalil@gmail.com</t>
  </si>
  <si>
    <t>01114420263</t>
  </si>
  <si>
    <t>2192</t>
  </si>
  <si>
    <t>mohamedmagdi8000@gmail.com</t>
  </si>
  <si>
    <t>01119389015</t>
  </si>
  <si>
    <t>2183</t>
  </si>
  <si>
    <t>EG04-EG05-EG06-EG07-EG08-EG09-EG10-EG11</t>
  </si>
  <si>
    <t>marumoh44@gmail.com</t>
  </si>
  <si>
    <t>01550859370</t>
  </si>
  <si>
    <t>elseadim@gmail.com</t>
  </si>
  <si>
    <t>01032561184</t>
  </si>
  <si>
    <t>2197</t>
  </si>
  <si>
    <t>hossamnourahmed@gmail.com</t>
  </si>
  <si>
    <t>01141205561</t>
  </si>
  <si>
    <t>2218</t>
  </si>
  <si>
    <t>fatmadahab55@gmail.com</t>
  </si>
  <si>
    <t>01147619592</t>
  </si>
  <si>
    <t>1734</t>
  </si>
  <si>
    <t>mohamed291284@gmail.com</t>
  </si>
  <si>
    <t>tarektoty101@gmail.com</t>
  </si>
  <si>
    <t>01145921925 - 01557287290</t>
  </si>
  <si>
    <t>medo48902@gmail.com</t>
  </si>
  <si>
    <t>01117021822</t>
  </si>
  <si>
    <t>elsaker79@hotmail.com</t>
  </si>
  <si>
    <t>mohamedfawzyabdelrady@gmail.com</t>
  </si>
  <si>
    <t>01033733035</t>
  </si>
  <si>
    <t>2250</t>
  </si>
  <si>
    <t>ahmeeddsayedd@gmail.com</t>
  </si>
  <si>
    <t>01115362496</t>
  </si>
  <si>
    <t>abdelrahmanfathi003@gmail.com</t>
  </si>
  <si>
    <t>01028192743</t>
  </si>
  <si>
    <t>bsamy3661@gmail.com</t>
  </si>
  <si>
    <t>01022651019</t>
  </si>
  <si>
    <t>EG08-EG09</t>
  </si>
  <si>
    <t>nehadyousry1984@gmail.com</t>
  </si>
  <si>
    <t>01221944623</t>
  </si>
  <si>
    <t>mr_ahmedhosni@yahoo.com</t>
  </si>
  <si>
    <t>01000120625</t>
  </si>
  <si>
    <t>abdallah.mahran124@gmail.com</t>
  </si>
  <si>
    <t>01004189352</t>
  </si>
  <si>
    <t>mohamadatheer1@gmail.com</t>
  </si>
  <si>
    <t>01282290201</t>
  </si>
  <si>
    <t>ahmedfalokas99@gmail.com</t>
  </si>
  <si>
    <t>01125530074</t>
  </si>
  <si>
    <t>me3350047@gmail.com</t>
  </si>
  <si>
    <t>mohamedsaid6622@gmail.com</t>
  </si>
  <si>
    <t>michael.emil306@gmail.com</t>
  </si>
  <si>
    <t>1899</t>
  </si>
  <si>
    <t>i.aboserie@gmail.com</t>
  </si>
  <si>
    <t>01226531038</t>
  </si>
  <si>
    <t>1944</t>
  </si>
  <si>
    <t>aly121981@gmail.com</t>
  </si>
  <si>
    <t>01026870040</t>
  </si>
  <si>
    <t>1957</t>
  </si>
  <si>
    <t>morsykhaledmorsy@outlook.com</t>
  </si>
  <si>
    <t>01555050003</t>
  </si>
  <si>
    <t>1966</t>
  </si>
  <si>
    <t>emanfayezkhalil@gmail.com</t>
  </si>
  <si>
    <t>01220761144</t>
  </si>
  <si>
    <t>1998</t>
  </si>
  <si>
    <t>maigamalhassan@gmail.com</t>
  </si>
  <si>
    <t>01095502036</t>
  </si>
  <si>
    <t>2039</t>
  </si>
  <si>
    <t>remonseha009@gmail.com</t>
  </si>
  <si>
    <t>01010341068</t>
  </si>
  <si>
    <t>2261</t>
  </si>
  <si>
    <t>jo4391170@gmail.com</t>
  </si>
  <si>
    <t>EG10-EG11-EG12</t>
  </si>
  <si>
    <t>mr.mostafayousef77@gmail.com</t>
  </si>
  <si>
    <t>01007377906</t>
  </si>
  <si>
    <t>shawky.m1749501@gmail.com</t>
  </si>
  <si>
    <t>01228870591</t>
  </si>
  <si>
    <t>ibrahimmorgan24@gmail.com</t>
  </si>
  <si>
    <t>01062805362</t>
  </si>
  <si>
    <t>mohmednbih2019@gmail.com</t>
  </si>
  <si>
    <t>01003911095</t>
  </si>
  <si>
    <t>saedmansut@gmail.com</t>
  </si>
  <si>
    <t>01018846462</t>
  </si>
  <si>
    <t>jihadgag@gmail.com</t>
  </si>
  <si>
    <t>weyso2030@gmail.com</t>
  </si>
  <si>
    <t>1243</t>
  </si>
  <si>
    <t>EG04-EG05-EG06-G7-جيولوجيا EG12</t>
  </si>
  <si>
    <t>mahmoud.aboelmagd@nagwa.com</t>
  </si>
  <si>
    <t>1898</t>
  </si>
  <si>
    <t>saraabualm2121@gmail.com</t>
  </si>
  <si>
    <t>1916</t>
  </si>
  <si>
    <t>ahmedabdelrazakmail@gmail.com</t>
  </si>
  <si>
    <t>01144483106</t>
  </si>
  <si>
    <t>1982</t>
  </si>
  <si>
    <t>shereenhelmy710@gmail.com</t>
  </si>
  <si>
    <t>2001</t>
  </si>
  <si>
    <t>kamelreda7815@gmail.com</t>
  </si>
  <si>
    <t>01009142422</t>
  </si>
  <si>
    <t>2012</t>
  </si>
  <si>
    <t>sorormerona@gmail.com</t>
  </si>
  <si>
    <t>01222986055</t>
  </si>
  <si>
    <t>2029</t>
  </si>
  <si>
    <t>cristinagerges44@gmail.com</t>
  </si>
  <si>
    <t>01229505808</t>
  </si>
  <si>
    <t>2173</t>
  </si>
  <si>
    <t>daliaaraby810@gmail.com</t>
  </si>
  <si>
    <t>01027661151</t>
  </si>
  <si>
    <t>2234</t>
  </si>
  <si>
    <t>mostafa.hero0001@gmail.com</t>
  </si>
  <si>
    <t>2249</t>
  </si>
  <si>
    <t>tamermfadel@gmail.com</t>
  </si>
  <si>
    <t>01220629701</t>
  </si>
  <si>
    <t>doaasawaby4@gmail.com</t>
  </si>
  <si>
    <t>01092504801</t>
  </si>
  <si>
    <t>llnaglaall@gmail.com</t>
  </si>
  <si>
    <t>01140851516</t>
  </si>
  <si>
    <t>dinaadel9623@gmail.com</t>
  </si>
  <si>
    <t>nourasultan97@gmail.com</t>
  </si>
  <si>
    <t>01025577259</t>
  </si>
  <si>
    <t>ayman3li077@gmail.com</t>
  </si>
  <si>
    <t>am4100@fayoum.edu.eg</t>
  </si>
  <si>
    <t>01098477286</t>
  </si>
  <si>
    <t>abdullahelkahlawy@gmail.com</t>
  </si>
  <si>
    <t>01227491678</t>
  </si>
  <si>
    <t>anazoma201088@gmail.com</t>
  </si>
  <si>
    <t>dr.asemalaraby@gmail.com</t>
  </si>
  <si>
    <t>01551479788</t>
  </si>
  <si>
    <t>ghadasalah990@gmail.com</t>
  </si>
  <si>
    <t>mrsdinaadel@gmail.com</t>
  </si>
  <si>
    <t>nahedelgebaly12345@gmail.com</t>
  </si>
  <si>
    <t>nourabdelrahman335@gmail.com</t>
  </si>
  <si>
    <t>01140943384</t>
  </si>
  <si>
    <t>tenderrose148@gmail.com</t>
  </si>
  <si>
    <t>marwa.mohammed2016@gmail.com</t>
  </si>
  <si>
    <t>totareda172@gmail.com</t>
  </si>
  <si>
    <t>110</t>
  </si>
  <si>
    <t>rabeeelshaer1@gmail.com</t>
  </si>
  <si>
    <t>1127</t>
  </si>
  <si>
    <t>hussein.mostafa@nagwa.com</t>
  </si>
  <si>
    <t>1277</t>
  </si>
  <si>
    <t>modares2525@gmail.com</t>
  </si>
  <si>
    <t>2035</t>
  </si>
  <si>
    <t>shirefagor166@gmail.com</t>
  </si>
  <si>
    <t>01223742383</t>
  </si>
  <si>
    <t>2082</t>
  </si>
  <si>
    <t>mosadalmakhrat@gmail.com</t>
  </si>
  <si>
    <t>01226434618</t>
  </si>
  <si>
    <t>2136</t>
  </si>
  <si>
    <t>islamzayan2333@gmail.com</t>
  </si>
  <si>
    <t>01012793634</t>
  </si>
  <si>
    <t>2176</t>
  </si>
  <si>
    <t>kdarwish436@gmail.com</t>
  </si>
  <si>
    <t>01148072407</t>
  </si>
  <si>
    <t>2175</t>
  </si>
  <si>
    <t>salem.oikaa@gmail.com</t>
  </si>
  <si>
    <t>01127797061 - 01000550304</t>
  </si>
  <si>
    <t>2320</t>
  </si>
  <si>
    <t>mabrookelbanna4@gmail.com</t>
  </si>
  <si>
    <t>01096212675</t>
  </si>
  <si>
    <t>elmeligybassam@gmail.com</t>
  </si>
  <si>
    <t>01090961459</t>
  </si>
  <si>
    <t>muhamed.2866893@gmail.com</t>
  </si>
  <si>
    <t>01009253528</t>
  </si>
  <si>
    <t>afthy6959@gmail.com</t>
  </si>
  <si>
    <t>01010649710</t>
  </si>
  <si>
    <t>asmaaelabsawy2@gmail.com</t>
  </si>
  <si>
    <t>01004001141</t>
  </si>
  <si>
    <t>EG06-EG07-EG08-EG09</t>
  </si>
  <si>
    <t>ahmedsayed171730@gmail.com</t>
  </si>
  <si>
    <t>01017173087</t>
  </si>
  <si>
    <t>mh7350093@gmail.com</t>
  </si>
  <si>
    <t>01226341167</t>
  </si>
  <si>
    <t>hossam.assaf80@gmail.com</t>
  </si>
  <si>
    <t>01000415486</t>
  </si>
  <si>
    <t>mohamedbasis4@gmail.com</t>
  </si>
  <si>
    <t>01227115532 - 01555325577</t>
  </si>
  <si>
    <t>ashrf.d20011@yahoo.com</t>
  </si>
  <si>
    <t>01140350043</t>
  </si>
  <si>
    <t>ahmedolwy1973@gmail.com</t>
  </si>
  <si>
    <t>01099194027</t>
  </si>
  <si>
    <t>EG09-EG10-EG11</t>
  </si>
  <si>
    <t>memomaksoood@gmail.com</t>
  </si>
  <si>
    <t>01272280157</t>
  </si>
  <si>
    <t>safogo73@gmail.com</t>
  </si>
  <si>
    <t>01006339089</t>
  </si>
  <si>
    <t>abdelhadyghzz@yahoo.com</t>
  </si>
  <si>
    <t>medoarabichotmail@gmail.com</t>
  </si>
  <si>
    <t>01061778524</t>
  </si>
  <si>
    <t>mragab2@gmail.com</t>
  </si>
  <si>
    <t>01111180258</t>
  </si>
  <si>
    <t>akhiry443@gmail.com</t>
  </si>
  <si>
    <t>mr.gamal.salama@gmail.com</t>
  </si>
  <si>
    <t>01119103599</t>
  </si>
  <si>
    <t>moazkhalid37@gmail.com</t>
  </si>
  <si>
    <t>01030350227</t>
  </si>
  <si>
    <t>doa.ly0852@gmail.com</t>
  </si>
  <si>
    <t>0021066128934/0021556107320</t>
  </si>
  <si>
    <t>ammar.osama0127@gmail.com</t>
  </si>
  <si>
    <t>ashrafsabry310@gmail.com</t>
  </si>
  <si>
    <t>tarekolaimi@gmail.com</t>
  </si>
  <si>
    <t>01229982012</t>
  </si>
  <si>
    <t>mabdelghany503@gmail.com</t>
  </si>
  <si>
    <t>1087</t>
  </si>
  <si>
    <t>shady.donia@nagwa.com</t>
  </si>
  <si>
    <t>1490</t>
  </si>
  <si>
    <t>EG10-EG11</t>
  </si>
  <si>
    <t>malak.maliwy@gmail.com</t>
  </si>
  <si>
    <t>1867</t>
  </si>
  <si>
    <t>bishoywadea.7@gmail.com</t>
  </si>
  <si>
    <t>01220405245</t>
  </si>
  <si>
    <t>2023</t>
  </si>
  <si>
    <t>hosamabdelhay90@gmail.com</t>
  </si>
  <si>
    <t>01003137129</t>
  </si>
  <si>
    <t>2236</t>
  </si>
  <si>
    <t>ahmedsmry12@gmail.com</t>
  </si>
  <si>
    <t>01118803888</t>
  </si>
  <si>
    <t>2243</t>
  </si>
  <si>
    <t>amalhegazy1628@gmail.com</t>
  </si>
  <si>
    <t>01142006904</t>
  </si>
  <si>
    <t>dr.samar.youseff@gmail.com</t>
  </si>
  <si>
    <t>01227193179</t>
  </si>
  <si>
    <t>arsanyaziz@gmail.com</t>
  </si>
  <si>
    <t>01282842074</t>
  </si>
  <si>
    <t>ahmed98zaky@gmail.com</t>
  </si>
  <si>
    <t>01100707485</t>
  </si>
  <si>
    <t>2054</t>
  </si>
  <si>
    <t>mhd.elgharabawi@gmail.com</t>
  </si>
  <si>
    <t>01030556439 - 01146640967</t>
  </si>
  <si>
    <t>2014</t>
  </si>
  <si>
    <t>safaa68gamal@gmail.com</t>
  </si>
  <si>
    <t>2200</t>
  </si>
  <si>
    <t>G11-G12</t>
  </si>
  <si>
    <t>abdelrhman.elsayed96@gmail.com</t>
  </si>
  <si>
    <t>01009944752</t>
  </si>
  <si>
    <t>EG11-EG12</t>
  </si>
  <si>
    <t>romanyscience00@gmail.com</t>
  </si>
  <si>
    <t>01282802415</t>
  </si>
  <si>
    <t>khaled.ghaly.acd@gmail.com</t>
  </si>
  <si>
    <t>1794</t>
  </si>
  <si>
    <t>hebaadel19952@gmail.com</t>
  </si>
  <si>
    <t>1827</t>
  </si>
  <si>
    <t>nohabasuni@yahoo.com</t>
  </si>
  <si>
    <t>01016605503</t>
  </si>
  <si>
    <t>georgemagdi.vis@gmail.com</t>
  </si>
  <si>
    <t>01030904466</t>
  </si>
  <si>
    <t>amrhussien14@gmail.com</t>
  </si>
  <si>
    <t>01095433048</t>
  </si>
  <si>
    <t>sherif_khair45@hotmail.com</t>
  </si>
  <si>
    <t>01018483822</t>
  </si>
  <si>
    <t>hajoorhatem10@gmail.com</t>
  </si>
  <si>
    <t>01126234932</t>
  </si>
  <si>
    <t>hekmat.shabayekesl@gmail.com</t>
  </si>
  <si>
    <t>G10</t>
  </si>
  <si>
    <t>israahassansh97@gmail.com</t>
  </si>
  <si>
    <t>01228144187</t>
  </si>
  <si>
    <t>EG07-EG08-EG10</t>
  </si>
  <si>
    <t>ahmed.elbana91@gmail.com</t>
  </si>
  <si>
    <t>1779</t>
  </si>
  <si>
    <t>eng.amrkhalil2014@gmail.com</t>
  </si>
  <si>
    <t>1870</t>
  </si>
  <si>
    <t>dr.nashar1x@gmail.com</t>
  </si>
  <si>
    <t>1955</t>
  </si>
  <si>
    <t>mr.sayedsabry.ss10@gmail.com</t>
  </si>
  <si>
    <t>1954</t>
  </si>
  <si>
    <t>elhussein_mohamed@outlook.com</t>
  </si>
  <si>
    <t>+201096252126</t>
  </si>
  <si>
    <t>ahmedsakr1975@gmail.com</t>
  </si>
  <si>
    <t>01118411148</t>
  </si>
  <si>
    <t>1868</t>
  </si>
  <si>
    <t>ahmedsayed121292@gmail.com</t>
  </si>
  <si>
    <t>1864</t>
  </si>
  <si>
    <t>josephemil.jojo@gmail.com</t>
  </si>
  <si>
    <t>+201228157318</t>
  </si>
  <si>
    <t>1887</t>
  </si>
  <si>
    <t>mr.eslammamdohphysics@gmail.com</t>
  </si>
  <si>
    <t>01220501541 / 01006878086</t>
  </si>
  <si>
    <t>1969</t>
  </si>
  <si>
    <t>rehab.a.alsaidi@gmail.com</t>
  </si>
  <si>
    <t>01062441609</t>
  </si>
  <si>
    <t>2017</t>
  </si>
  <si>
    <t>wailpoet76@gmail.com</t>
  </si>
  <si>
    <t>+201004104024</t>
  </si>
  <si>
    <t>2195</t>
  </si>
  <si>
    <t>alhassan.physics@gmail.com</t>
  </si>
  <si>
    <t>01275338309</t>
  </si>
  <si>
    <t>sitroful350@gmail.com</t>
  </si>
  <si>
    <t>01204178960</t>
  </si>
  <si>
    <t>geo.georgeedris@gmail.com</t>
  </si>
  <si>
    <t>01289730426</t>
  </si>
  <si>
    <t>1777</t>
  </si>
  <si>
    <t>sama.elberashy@gmail.com</t>
  </si>
  <si>
    <t>1918</t>
  </si>
  <si>
    <t>ahmedhamada07@gmail.com</t>
  </si>
  <si>
    <t>1927</t>
  </si>
  <si>
    <t>ragab313@gmail.com</t>
  </si>
  <si>
    <t>01550767106</t>
  </si>
  <si>
    <t>1970</t>
  </si>
  <si>
    <t>abeerabdelhalim153@gmail.com</t>
  </si>
  <si>
    <t>2152</t>
  </si>
  <si>
    <t>muhmdhanii@gmail.com</t>
  </si>
  <si>
    <t>01555776125</t>
  </si>
  <si>
    <t>mahmouedalsayh5@gmail.com</t>
  </si>
  <si>
    <t>01003104577</t>
  </si>
  <si>
    <t>Science: EG04-EG05-EG06
العلوم: EG07-EG08-EG09-
الأحياء: G11-G12</t>
  </si>
  <si>
    <t>doddaheart2003@gmail.com</t>
  </si>
  <si>
    <t>0111105994</t>
  </si>
  <si>
    <t>1763</t>
  </si>
  <si>
    <t>ismailm1989@gmail.com</t>
  </si>
  <si>
    <t>1265</t>
  </si>
  <si>
    <t>ahmed.abdellatif@nagwa.com</t>
  </si>
  <si>
    <t>1762</t>
  </si>
  <si>
    <t>ahmedhassan99967@gmail.com</t>
  </si>
  <si>
    <t>1786</t>
  </si>
  <si>
    <t>gehadbadr89@gmail.com</t>
  </si>
  <si>
    <t>01090297182</t>
  </si>
  <si>
    <t>ahmedhym99.ah@gmail.com</t>
  </si>
  <si>
    <t>01286412331</t>
  </si>
  <si>
    <t>2060</t>
  </si>
  <si>
    <t>hatem01144465866@gmail.com</t>
  </si>
  <si>
    <t>01005244058/01144465866</t>
  </si>
  <si>
    <t>2209</t>
  </si>
  <si>
    <t>tahaabdalrazek97@gmail.com</t>
  </si>
  <si>
    <t>01150011597</t>
  </si>
  <si>
    <t>2201</t>
  </si>
  <si>
    <t>jockey.jojo87@gmail.com</t>
  </si>
  <si>
    <t>01225423098</t>
  </si>
  <si>
    <t>2087</t>
  </si>
  <si>
    <t>bassemibrahim8899@gmail.com</t>
  </si>
  <si>
    <t>01004916918</t>
  </si>
  <si>
    <t>1778</t>
  </si>
  <si>
    <t>tareksleem606@gmail.com</t>
  </si>
  <si>
    <t>1787</t>
  </si>
  <si>
    <t>abomahmoudsoultan@gmail.com</t>
  </si>
  <si>
    <t>00201153335900</t>
  </si>
  <si>
    <t>1853</t>
  </si>
  <si>
    <t>elzehiry96@gmail.com</t>
  </si>
  <si>
    <t>1860</t>
  </si>
  <si>
    <t>sarahelfeqy757@gmail.com</t>
  </si>
  <si>
    <t>01025935755</t>
  </si>
  <si>
    <t>1904</t>
  </si>
  <si>
    <t>hadyelshaer8@gmail.com</t>
  </si>
  <si>
    <t>01067571417</t>
  </si>
  <si>
    <t>1905</t>
  </si>
  <si>
    <t>ahmedawad695@gmail.com</t>
  </si>
  <si>
    <t>01012040409</t>
  </si>
  <si>
    <t>2068</t>
  </si>
  <si>
    <t>mogeograpgic@gmail.com</t>
  </si>
  <si>
    <t>2193</t>
  </si>
  <si>
    <t>ramadanelkader@gmail.com</t>
  </si>
  <si>
    <t>01005716822</t>
  </si>
  <si>
    <t>paologeorge369@gmail.com</t>
  </si>
  <si>
    <t>01225258456</t>
  </si>
  <si>
    <t>888</t>
  </si>
  <si>
    <t>ahmed.hatem@nagwa.com</t>
  </si>
  <si>
    <t>575</t>
  </si>
  <si>
    <t>mohammed.elsayed.ramadan@nagwa.com</t>
  </si>
  <si>
    <t>1775</t>
  </si>
  <si>
    <t>ahmedatef386@gmail.com</t>
  </si>
  <si>
    <t>1845</t>
  </si>
  <si>
    <t>yostos.mina@gmail.com</t>
  </si>
  <si>
    <t>01220683047</t>
  </si>
  <si>
    <t>1890</t>
  </si>
  <si>
    <t>mrghies85@gmail.com</t>
  </si>
  <si>
    <t>01007657654</t>
  </si>
  <si>
    <t>1967</t>
  </si>
  <si>
    <t>ibrahimsaid1741977@gmail.com</t>
  </si>
  <si>
    <t>2085</t>
  </si>
  <si>
    <t>t.ahmedseif@yahoo.com</t>
  </si>
  <si>
    <t>01006792787</t>
  </si>
  <si>
    <t>tonyalbert433@gmail.com</t>
  </si>
  <si>
    <t>01220525771</t>
  </si>
  <si>
    <t>mr.amro.elukby@gmail.com</t>
  </si>
  <si>
    <t>01004106537</t>
  </si>
  <si>
    <t>1647</t>
  </si>
  <si>
    <t>eslam.mohamed@nagwa.com</t>
  </si>
  <si>
    <t>01097158020</t>
  </si>
  <si>
    <t>1766</t>
  </si>
  <si>
    <t>ramyfarouk9333@gmail.com</t>
  </si>
  <si>
    <t>01224288238</t>
  </si>
  <si>
    <t>1765</t>
  </si>
  <si>
    <t>aassllyyaa68@gmail.com</t>
  </si>
  <si>
    <t>1919</t>
  </si>
  <si>
    <t>sabermedhat9@gmail.com</t>
  </si>
  <si>
    <t>01006463329</t>
  </si>
  <si>
    <t>1965</t>
  </si>
  <si>
    <t>delbahay@gmail.com</t>
  </si>
  <si>
    <t>01099696140</t>
  </si>
  <si>
    <t>1987</t>
  </si>
  <si>
    <t>alkiser.ashraf@gmail.com</t>
  </si>
  <si>
    <t>01144603025</t>
  </si>
  <si>
    <t>2086</t>
  </si>
  <si>
    <t>bassiouny3311@gmail.com</t>
  </si>
  <si>
    <t>+201147654033</t>
  </si>
  <si>
    <t>2206</t>
  </si>
  <si>
    <t>mr.romany82@gmail.com</t>
  </si>
  <si>
    <t>01225653656</t>
  </si>
  <si>
    <t>2194</t>
  </si>
  <si>
    <t>amanybasuni160184@gmail.com</t>
  </si>
  <si>
    <t>01116571264</t>
  </si>
  <si>
    <t>1760</t>
  </si>
  <si>
    <t>mansourphy@gmail.com</t>
  </si>
  <si>
    <t>1892</t>
  </si>
  <si>
    <t>elshahaly.ahmed.2.96@gmail.com</t>
  </si>
  <si>
    <t>01275541280</t>
  </si>
  <si>
    <t>2002</t>
  </si>
  <si>
    <t>mosa0122428710970@gmail.com</t>
  </si>
  <si>
    <t>01224287109</t>
  </si>
  <si>
    <t>2170</t>
  </si>
  <si>
    <t>eslamemad1311383@gmail.com</t>
  </si>
  <si>
    <t>01124845066</t>
  </si>
  <si>
    <t>ma404017@gmail.com</t>
  </si>
  <si>
    <t>01003233810</t>
  </si>
  <si>
    <t>984255@sharkia1.moe.edu.eg</t>
  </si>
  <si>
    <t>01283142438</t>
  </si>
  <si>
    <t>2024</t>
  </si>
  <si>
    <t>wesamalshenawy36@gmail.com</t>
  </si>
  <si>
    <t>2015</t>
  </si>
  <si>
    <t>nezarseliem@gmail.com</t>
  </si>
  <si>
    <t>01281280294</t>
  </si>
  <si>
    <t>2059</t>
  </si>
  <si>
    <t>doaasaber.chem@gmail.com</t>
  </si>
  <si>
    <t>01211523112</t>
  </si>
  <si>
    <t>1812</t>
  </si>
  <si>
    <t>alamir62@yahoo.com</t>
  </si>
  <si>
    <t>20 1001082530</t>
  </si>
  <si>
    <t>2019</t>
  </si>
  <si>
    <t>mhmmd55501@gmail.com</t>
  </si>
  <si>
    <t>01093988834</t>
  </si>
  <si>
    <t>2063</t>
  </si>
  <si>
    <t>yasour2007@yahoo.com</t>
  </si>
  <si>
    <t>01553440630</t>
  </si>
  <si>
    <t>2080</t>
  </si>
  <si>
    <t>ahmedsoliman200040@yahoo.com</t>
  </si>
  <si>
    <t>01007569392</t>
  </si>
  <si>
    <t>EG09-EG10-EG11-EG12</t>
  </si>
  <si>
    <t>samakamudy@gmail.com</t>
  </si>
  <si>
    <t>01289058758</t>
  </si>
  <si>
    <t>ayman.khatab@stemsharkya.moe.edu.eg</t>
  </si>
  <si>
    <t>01096610286</t>
  </si>
  <si>
    <t>ahmedelshemy100@gmail.com</t>
  </si>
  <si>
    <t>01097153806</t>
  </si>
  <si>
    <t>has.alrefaey@gmail.com</t>
  </si>
  <si>
    <t>01007303558</t>
  </si>
  <si>
    <t>youssef.ibrahem20@gmail.com</t>
  </si>
  <si>
    <t>01110454612</t>
  </si>
  <si>
    <t>ahmedarafa294@gmail.com</t>
  </si>
  <si>
    <t>mrahmedragab057@gmail.com</t>
  </si>
  <si>
    <t>1816</t>
  </si>
  <si>
    <t>rsalama4569@gmail.com</t>
  </si>
  <si>
    <t>mrahmedsamer30@gmail.com</t>
  </si>
  <si>
    <t>01060665053</t>
  </si>
  <si>
    <t>dr.sallyibrahem70@gmail.com</t>
  </si>
  <si>
    <t>01009604394</t>
  </si>
  <si>
    <t>2034</t>
  </si>
  <si>
    <t>viplol85@gmail.com</t>
  </si>
  <si>
    <t>2071</t>
  </si>
  <si>
    <t>dream201037@gmail.com</t>
  </si>
  <si>
    <t>01550085874</t>
  </si>
  <si>
    <t>korashy.1411@gmail.com</t>
  </si>
  <si>
    <t>01126633295</t>
  </si>
  <si>
    <t>2199</t>
  </si>
  <si>
    <t>ebrahim2721976@gmail.com</t>
  </si>
  <si>
    <t>1975</t>
  </si>
  <si>
    <t>rnosier.72@gmail.com</t>
  </si>
  <si>
    <t>01004540715</t>
  </si>
  <si>
    <t>1330</t>
  </si>
  <si>
    <t>s-mazenhafez@zewailcity.edu.eg</t>
  </si>
  <si>
    <t>2135</t>
  </si>
  <si>
    <t>zakisaeedfrs@gmail.com</t>
  </si>
  <si>
    <t>01202812574</t>
  </si>
  <si>
    <t>1846</t>
  </si>
  <si>
    <t>1993</t>
  </si>
  <si>
    <t>amany.nicola6@gmail.com</t>
  </si>
  <si>
    <t>01222711176</t>
  </si>
  <si>
    <t>1909</t>
  </si>
  <si>
    <t>fady.gobrail@gmail.com</t>
  </si>
  <si>
    <t>035400651</t>
  </si>
  <si>
    <t>1083</t>
  </si>
  <si>
    <t>2062</t>
  </si>
  <si>
    <t>marwa_mostafa_@hotmail.com</t>
  </si>
  <si>
    <t>01003732776</t>
  </si>
  <si>
    <t>1841</t>
  </si>
  <si>
    <t>2006</t>
  </si>
  <si>
    <t>bichoiadel@gmail.com</t>
  </si>
  <si>
    <t>01283973691</t>
  </si>
  <si>
    <t>1798</t>
  </si>
  <si>
    <t>magdaharidy96@gmail.com</t>
  </si>
  <si>
    <t>01011902047</t>
  </si>
  <si>
    <t>2120</t>
  </si>
  <si>
    <t>2134</t>
  </si>
  <si>
    <t>abdo.gemy5@gmail.com</t>
  </si>
  <si>
    <t>01126147349</t>
  </si>
  <si>
    <t>1962</t>
  </si>
  <si>
    <t>nojayehia2009@gmail.com</t>
  </si>
  <si>
    <t>2137</t>
  </si>
  <si>
    <t>nouragadou2022@gmail.com</t>
  </si>
  <si>
    <t>1924</t>
  </si>
  <si>
    <t>mohamed.b.dahab@hotmail.com</t>
  </si>
  <si>
    <t>01285237127</t>
  </si>
  <si>
    <t>1922</t>
  </si>
  <si>
    <t>1865</t>
  </si>
  <si>
    <t>daliahussein999@gmail.com</t>
  </si>
  <si>
    <t>2145</t>
  </si>
  <si>
    <t>laprofe1307@gmail.com</t>
  </si>
  <si>
    <t>01066912056</t>
  </si>
  <si>
    <t>1979</t>
  </si>
  <si>
    <t>2156</t>
  </si>
  <si>
    <t>radwa1511@gmail.com</t>
  </si>
  <si>
    <t>01118060999</t>
  </si>
  <si>
    <t>1858</t>
  </si>
  <si>
    <t>bosyt40@gmail.com</t>
  </si>
  <si>
    <t>01142417157</t>
  </si>
  <si>
    <t>1534</t>
  </si>
  <si>
    <t>essam.omar@nagwa.com</t>
  </si>
  <si>
    <t>2025</t>
  </si>
  <si>
    <t>rouby_zico@yahoo.com</t>
  </si>
  <si>
    <t>01100909748</t>
  </si>
  <si>
    <t>1994</t>
  </si>
  <si>
    <t>jakleenattalla99@gmail.com</t>
  </si>
  <si>
    <t>+201275832257</t>
  </si>
  <si>
    <t>1839</t>
  </si>
  <si>
    <t>amany.allam7@gmail.com</t>
  </si>
  <si>
    <t>1758</t>
  </si>
  <si>
    <t>mero.mro9@gmail.com</t>
  </si>
  <si>
    <t>2297</t>
  </si>
  <si>
    <t>khaldfareed@gmail.com</t>
  </si>
  <si>
    <t>01026383650</t>
  </si>
  <si>
    <t>2020</t>
  </si>
  <si>
    <t>sarakamalrezk@gmail.com</t>
  </si>
  <si>
    <t xml:space="preserve">0122 695 8654 </t>
  </si>
  <si>
    <t>2211</t>
  </si>
  <si>
    <t>2069</t>
  </si>
  <si>
    <t>tokahassan5@gmail.com</t>
  </si>
  <si>
    <t>01012286588</t>
  </si>
  <si>
    <t>1862</t>
  </si>
  <si>
    <t>gamal.amer86@hotmail.com</t>
  </si>
  <si>
    <t>1817</t>
  </si>
  <si>
    <t>melbasel101@gmail.com</t>
  </si>
  <si>
    <t>1759</t>
  </si>
  <si>
    <t>2160</t>
  </si>
  <si>
    <t>ranaantar33@gmail.com</t>
  </si>
  <si>
    <t>01128544922</t>
  </si>
  <si>
    <t>2018</t>
  </si>
  <si>
    <t>anna.maria.261997@gmail.com</t>
  </si>
  <si>
    <t>01202381996</t>
  </si>
  <si>
    <t>2185</t>
  </si>
  <si>
    <t>1789</t>
  </si>
  <si>
    <t>1245</t>
  </si>
  <si>
    <t>abeer.fouad@nagwa.com</t>
  </si>
  <si>
    <t>2041</t>
  </si>
  <si>
    <t>G11</t>
  </si>
  <si>
    <t>omarkhaled7772016@gmail.com</t>
  </si>
  <si>
    <t>01119231204</t>
  </si>
  <si>
    <t>2164</t>
  </si>
  <si>
    <t>maromina1986@gmail.com</t>
  </si>
  <si>
    <t>01282662428</t>
  </si>
  <si>
    <t>2196</t>
  </si>
  <si>
    <t>samehmaged304@gmail.com</t>
  </si>
  <si>
    <t>01281097754</t>
  </si>
  <si>
    <t>2067</t>
  </si>
  <si>
    <t>1913</t>
  </si>
  <si>
    <t>1888</t>
  </si>
  <si>
    <t>G12</t>
  </si>
  <si>
    <t>2314</t>
  </si>
  <si>
    <t>ahmedmansourmansour761@gmail.com</t>
  </si>
  <si>
    <t>01025906312</t>
  </si>
  <si>
    <t>1910</t>
  </si>
  <si>
    <t>ayman.m.selim@gmail.com</t>
  </si>
  <si>
    <t>01025907492</t>
  </si>
  <si>
    <t>1974</t>
  </si>
  <si>
    <t>salma.essam.saad@gmail.com</t>
  </si>
  <si>
    <t>01141184357</t>
  </si>
  <si>
    <t>1757</t>
  </si>
  <si>
    <t>2007</t>
  </si>
  <si>
    <t>1857</t>
  </si>
  <si>
    <t>443</t>
  </si>
  <si>
    <t>amr.khattab@nagwa.com</t>
  </si>
  <si>
    <t>nourhan.hashad@nagwa.com</t>
  </si>
  <si>
    <t>smah46158@gmail.com</t>
  </si>
  <si>
    <t>nancy_88312@hotmail.com</t>
  </si>
  <si>
    <t>01004166127</t>
  </si>
  <si>
    <t>yousramohamed1984@gmail.com</t>
  </si>
  <si>
    <t>01007474664</t>
  </si>
  <si>
    <t>Philosophy EG10-EG11-EG12
 Psychology EG11-EG12</t>
  </si>
  <si>
    <t>hosni_edu@msn.com</t>
  </si>
  <si>
    <t>01143344200</t>
  </si>
  <si>
    <t>2279</t>
  </si>
  <si>
    <t>samanor2010@gmail.com</t>
  </si>
  <si>
    <t>2033</t>
  </si>
  <si>
    <t>ayadaod2017@gmail.com</t>
  </si>
  <si>
    <t>1471</t>
  </si>
  <si>
    <t>aliaa.makkawy@nagwa.com</t>
  </si>
  <si>
    <t>amiraaliphy@gmail.com</t>
  </si>
  <si>
    <t>01016171473</t>
  </si>
  <si>
    <t>moelsawy251@gmail.com</t>
  </si>
  <si>
    <t>toka.shokran@gmail.com</t>
  </si>
  <si>
    <t>01111163114</t>
  </si>
  <si>
    <t>mohamedr7713253@gmail.com</t>
  </si>
  <si>
    <t>01007713253</t>
  </si>
  <si>
    <t>mirna_tareksalah97@yahoo.com</t>
  </si>
  <si>
    <t>01225300158</t>
  </si>
  <si>
    <t>remonamoon@gmail.com</t>
  </si>
  <si>
    <t>01003647713</t>
  </si>
  <si>
    <t>islam.m.darweesh@gmail.com</t>
  </si>
  <si>
    <t>01153839716</t>
  </si>
  <si>
    <t>No ID</t>
  </si>
  <si>
    <t>nrmeensaeed28191@gmail.com</t>
  </si>
  <si>
    <t>01065167912</t>
  </si>
  <si>
    <t>rabdo6492@gmail.com</t>
  </si>
  <si>
    <t>nehalzaher@gmail.com</t>
  </si>
  <si>
    <t>rehamsultan718@gmail.com</t>
  </si>
  <si>
    <t>01099408611</t>
  </si>
  <si>
    <t>saleh8015@gmail.com</t>
  </si>
  <si>
    <t>01122606455</t>
  </si>
  <si>
    <t>EG04</t>
  </si>
  <si>
    <t>EG04-EG05-EG06-G7</t>
  </si>
  <si>
    <t>maighalia54@gmail.com</t>
  </si>
  <si>
    <t>01122888386</t>
  </si>
  <si>
    <t>mohamed.ahmed.kamal@nagwa.com</t>
  </si>
  <si>
    <t>01001120294</t>
  </si>
  <si>
    <t>shemsad94@gmail.com</t>
  </si>
  <si>
    <t>01000478016</t>
  </si>
  <si>
    <t>shaimaa.shawshaw@gmail.com</t>
  </si>
  <si>
    <t>01061516190</t>
  </si>
  <si>
    <t>manarnabil88@gmail.com</t>
  </si>
  <si>
    <t>rihameltawil91@gmail.com</t>
  </si>
  <si>
    <t>amira.galal60@yahoo.com</t>
  </si>
  <si>
    <t>01013983718</t>
  </si>
  <si>
    <t>zidanhanan106@gmail.com</t>
  </si>
  <si>
    <t>01000832547</t>
  </si>
  <si>
    <t>ranaelbadry753@gmail.com</t>
  </si>
  <si>
    <t>01090632568</t>
  </si>
  <si>
    <t>abdo11ashraf99@gmail.com</t>
  </si>
  <si>
    <t>01025827201</t>
  </si>
  <si>
    <t>yasmiensaied90@gmail.com</t>
  </si>
  <si>
    <t>hany.hawas175@gmail.com</t>
  </si>
  <si>
    <t>jasminaahmed60@gmail.com</t>
  </si>
  <si>
    <t>nsanad90@gmail.com</t>
  </si>
  <si>
    <t>hakem2006@gmail.com</t>
  </si>
  <si>
    <t>dodo.lougy2014@gmail.com</t>
  </si>
  <si>
    <t>okhalim2022@gmail.com</t>
  </si>
  <si>
    <t>01024105035</t>
  </si>
  <si>
    <t>egymath2020@gmail.com</t>
  </si>
  <si>
    <t>01550007664</t>
  </si>
  <si>
    <t>dalianabil145@gmail.com</t>
  </si>
  <si>
    <t>poissons29.2@gmail.com</t>
  </si>
  <si>
    <t>gamerahmedg@gmail.com</t>
  </si>
  <si>
    <t>mwnyalghzaly@gmail.com</t>
  </si>
  <si>
    <t>01121870666</t>
  </si>
  <si>
    <t>mrfthsyn962@gmail.com</t>
  </si>
  <si>
    <t>abeervet81@gmail.com</t>
  </si>
  <si>
    <t>nayeramahmoed@gmail.com</t>
  </si>
  <si>
    <t>hebakamal1991@gmail.com</t>
  </si>
  <si>
    <t>01129502289</t>
  </si>
  <si>
    <t>nadawaleed1155@gmail.com</t>
  </si>
  <si>
    <t>01024516454</t>
  </si>
  <si>
    <t>EG02-EG03-EG04-EG05-EG06</t>
  </si>
  <si>
    <t>nourhan866@yahoo.com</t>
  </si>
  <si>
    <t>01208185748</t>
  </si>
  <si>
    <t>mbdalbast990@gmail.com</t>
  </si>
  <si>
    <t>01025284144</t>
  </si>
  <si>
    <t>aya.alaa85@yahoo.com</t>
  </si>
  <si>
    <t>01159348705</t>
  </si>
  <si>
    <t>kristeensamir361@gmail.com</t>
  </si>
  <si>
    <t>gorgy7martina@gmail.com</t>
  </si>
  <si>
    <t>hadeermuhamad3@gmail.com</t>
  </si>
  <si>
    <t>01270016684.    -     03 3563898</t>
  </si>
  <si>
    <t>marwacambridge66@gmail.com</t>
  </si>
  <si>
    <t>nourananwar47@gmail.com</t>
  </si>
  <si>
    <t>basyouni.3d@gmail.com</t>
  </si>
  <si>
    <t>+201008786722</t>
  </si>
  <si>
    <t>loreesnashaat@gmail.com</t>
  </si>
  <si>
    <t>01223512495</t>
  </si>
  <si>
    <t>gadallahyasmine@gmail.com</t>
  </si>
  <si>
    <t>sarahamdy.hamza2015@gmail.com</t>
  </si>
  <si>
    <t>maihassan1234567@gmail.com</t>
  </si>
  <si>
    <t>wafaaryan348@gmail.com</t>
  </si>
  <si>
    <t>nayeraismailm@gmail.com</t>
  </si>
  <si>
    <t>01022608292</t>
  </si>
  <si>
    <t>mohsenqandel03@gmail.com</t>
  </si>
  <si>
    <t>mohammed.eid.gad@gmail.com</t>
  </si>
  <si>
    <t>01027610533</t>
  </si>
  <si>
    <t>israaibrahim182@gmail.com</t>
  </si>
  <si>
    <t>mahmoud.abdo@nagwa.com</t>
  </si>
  <si>
    <t>2289</t>
  </si>
  <si>
    <t>aabdalgamal@gmail.com</t>
  </si>
  <si>
    <t>01033208400</t>
  </si>
  <si>
    <t>esraamorsy78@gmail.com</t>
  </si>
  <si>
    <t>marianmaher01094762364@gmail.com</t>
  </si>
  <si>
    <t>1212</t>
  </si>
  <si>
    <t>1863</t>
  </si>
  <si>
    <t>1943</t>
  </si>
  <si>
    <t>ahmedsaladin10@gmail.com</t>
  </si>
  <si>
    <t>01141745377</t>
  </si>
  <si>
    <t>1971</t>
  </si>
  <si>
    <t>mrbadrawy333@gmail.com</t>
  </si>
  <si>
    <t>01152735223</t>
  </si>
  <si>
    <t>mg306@hotmail.com</t>
  </si>
  <si>
    <t>1972</t>
  </si>
  <si>
    <t>2037</t>
  </si>
  <si>
    <t>2259</t>
  </si>
  <si>
    <t>2208</t>
  </si>
  <si>
    <t>2214</t>
  </si>
  <si>
    <t>2239</t>
  </si>
  <si>
    <t>mohammedtawfik1974@gmail.com</t>
  </si>
  <si>
    <t>nesmasultan933@gmail.com</t>
  </si>
  <si>
    <t>safaazidan44@gmail.com</t>
  </si>
  <si>
    <t>mostafahamad00000@gmail.com</t>
  </si>
  <si>
    <t>mariawahib600@gmail.com</t>
  </si>
  <si>
    <t>khairykamal63@gmail.com</t>
  </si>
  <si>
    <t>mohamedhussain5078@gmail.com</t>
  </si>
  <si>
    <t>01095569461</t>
  </si>
  <si>
    <t>miss.shirengamal@yahoo.com</t>
  </si>
  <si>
    <t>01276234136</t>
  </si>
  <si>
    <t>haidyessam90@gmail.com</t>
  </si>
  <si>
    <t>ghada.shaaban365@gmail.com</t>
  </si>
  <si>
    <t>01281384364</t>
  </si>
  <si>
    <t>EG10</t>
  </si>
  <si>
    <t>faragreezk123@gmail.com</t>
  </si>
  <si>
    <t>01064174270</t>
  </si>
  <si>
    <t>mohamed1996shaban23@gmail.com</t>
  </si>
  <si>
    <t>sabitalbatal@gmail.com</t>
  </si>
  <si>
    <t>bishoymagdy82@gmail.com</t>
  </si>
  <si>
    <t>01226557050</t>
  </si>
  <si>
    <t>wegawega1989@gmail.com</t>
  </si>
  <si>
    <t>esraaboraai@gmail.com</t>
  </si>
  <si>
    <t>01128223826</t>
  </si>
  <si>
    <t>sara2h.elhamshry@gmail.com</t>
  </si>
  <si>
    <t>hebakasem371988@gmail.com</t>
  </si>
  <si>
    <t>01013304685</t>
  </si>
  <si>
    <t>abdallah20111995@gmail.com</t>
  </si>
  <si>
    <t>mostafaradwa190@gmail.com</t>
  </si>
  <si>
    <t>01280110379</t>
  </si>
  <si>
    <t>dadel7052@gmail.com</t>
  </si>
  <si>
    <t>01095076094</t>
  </si>
  <si>
    <t>gad17197@gmail.com</t>
  </si>
  <si>
    <t>01005619745</t>
  </si>
  <si>
    <t>novasameh1@gmail.com</t>
  </si>
  <si>
    <t>01122260857</t>
  </si>
  <si>
    <t>dodym0883@gmail.com</t>
  </si>
  <si>
    <t>01207771809</t>
  </si>
  <si>
    <t>nana.sasa253@gmail.com</t>
  </si>
  <si>
    <t>01210143366</t>
  </si>
  <si>
    <t>hadeers.muhammad@gmail.com</t>
  </si>
  <si>
    <t>ibrahemahmedd22@gmail.com</t>
  </si>
  <si>
    <t>fatma80002525@gmail.com</t>
  </si>
  <si>
    <t>mohamedhady1851997@gmail.com</t>
  </si>
  <si>
    <t>kokozanaty99@gmail.com</t>
  </si>
  <si>
    <t>01065706675</t>
  </si>
  <si>
    <t>delzeiry2000@gmail.com</t>
  </si>
  <si>
    <t>enjytalat@gmail.com</t>
  </si>
  <si>
    <t xml:space="preserve">0128 528 5779 </t>
  </si>
  <si>
    <t>halabdelaziz95@gmail.com</t>
  </si>
  <si>
    <t>01151535885</t>
  </si>
  <si>
    <t>amrr4313@gmail.com</t>
  </si>
  <si>
    <t>yasserkaood75@gmail.com</t>
  </si>
  <si>
    <t>mhmd.hassan4483@gmail.com</t>
  </si>
  <si>
    <t>01021950377</t>
  </si>
  <si>
    <t>shimaaelssyed8@gmail.com</t>
  </si>
  <si>
    <t>mustafa.oth.ahmed@gmail.com</t>
  </si>
  <si>
    <t>fatma.ashraf2344@gmail.com</t>
  </si>
  <si>
    <t>01017852729</t>
  </si>
  <si>
    <t>dodo.adel62@gmail.com</t>
  </si>
  <si>
    <t>nourhanyoussef264@gmail.com</t>
  </si>
  <si>
    <t>mm2014242@gmail.com</t>
  </si>
  <si>
    <t>01229167919- 01061306312</t>
  </si>
  <si>
    <t>islam.elhusseinyy@gmail.com</t>
  </si>
  <si>
    <t>salehsamir865@gmail.com</t>
  </si>
  <si>
    <t>mostafa.mo.ashour@gmail.com</t>
  </si>
  <si>
    <t>rannahesham123@gmail.com</t>
  </si>
  <si>
    <t>01092389912</t>
  </si>
  <si>
    <t>merna.maher24@yahoo.com</t>
  </si>
  <si>
    <t>m.muhamma13190@gmail.com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</si>
</sst>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Tajawal"/>
    </font>
    <font>
      <color theme="1"/>
      <name val="Trebuchet MS"/>
    </font>
    <font>
      <color theme="1"/>
      <name val="Arial"/>
    </font>
    <font>
      <b/>
      <sz val="12.0"/>
      <color rgb="FFFFFFFF"/>
      <name val="Tajawal"/>
    </font>
    <font>
      <color theme="1"/>
      <name val="Arial"/>
      <scheme val="minor"/>
    </font>
    <font>
      <b/>
      <sz val="11.0"/>
      <color theme="1"/>
      <name val="Tajawal"/>
    </font>
    <font>
      <sz val="11.0"/>
      <color theme="1"/>
      <name val="Tajawal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4" fontId="1" numFmtId="49" xfId="0" applyAlignment="1" applyFont="1" applyNumberForma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4" fontId="3" numFmtId="0" xfId="0" applyAlignment="1" applyFont="1">
      <alignment vertic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4" fontId="3" numFmtId="0" xfId="0" applyAlignment="1" applyFont="1">
      <alignment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1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7" max="7" width="38.25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>
        <f>VLOOKUP(A2,Tutors!A:B,2,0)</f>
        <v>137198142829</v>
      </c>
      <c r="C2" s="6" t="s">
        <v>11</v>
      </c>
      <c r="D2" s="6" t="s">
        <v>12</v>
      </c>
      <c r="E2" s="6" t="s">
        <v>13</v>
      </c>
      <c r="F2" s="8">
        <f>VLOOKUP(A2,Tutors!C:D,2,0)</f>
        <v>1840</v>
      </c>
      <c r="G2" s="8" t="str">
        <f>VLOOKUP(A2,Tutors!C:E,3,0)</f>
        <v>EG04-EG05-EG06</v>
      </c>
      <c r="H2" s="8" t="str">
        <f>VLOOKUP(A2,Tutors!A:F,6,0)</f>
        <v>imaneabada@gmail.com</v>
      </c>
      <c r="I2" s="8" t="str">
        <f>VLOOKUP(A2,Tutors!C:G,5,0)</f>
        <v>01005729272</v>
      </c>
      <c r="J2" s="8">
        <f>COUNTIFS(Active!C:C,A2)</f>
        <v>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14</v>
      </c>
      <c r="B3" s="7">
        <f>VLOOKUP(A3,Tutors!A:B,2,0)</f>
        <v>193156013197</v>
      </c>
      <c r="C3" s="6" t="s">
        <v>11</v>
      </c>
      <c r="D3" s="6" t="s">
        <v>12</v>
      </c>
      <c r="E3" s="6" t="s">
        <v>9</v>
      </c>
      <c r="F3" s="9" t="str">
        <f>VLOOKUP(A3,Tutors!C:D,2,0)</f>
        <v>2172</v>
      </c>
      <c r="G3" s="8" t="str">
        <f>VLOOKUP(A3,Tutors!C:E,3,0)</f>
        <v>EG01-EG02-EG03</v>
      </c>
      <c r="H3" s="8" t="str">
        <f>VLOOKUP(A3,Tutors!A:F,6,0)</f>
        <v>the.peace20006@gmail.com</v>
      </c>
      <c r="I3" s="8" t="str">
        <f>VLOOKUP(A3,Tutors!C:G,5,0)</f>
        <v>01067579926</v>
      </c>
      <c r="J3" s="8">
        <f>COUNTIFS(Active!C:C,A3)</f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15</v>
      </c>
      <c r="B4" s="7">
        <f>VLOOKUP(A4,Tutors!A:B,2,0)</f>
        <v>838198456425</v>
      </c>
      <c r="C4" s="6" t="s">
        <v>11</v>
      </c>
      <c r="D4" s="6" t="s">
        <v>12</v>
      </c>
      <c r="E4" s="6" t="s">
        <v>9</v>
      </c>
      <c r="F4" s="9" t="str">
        <f>VLOOKUP(A4,Tutors!C:D,2,0)</f>
        <v>2171</v>
      </c>
      <c r="G4" s="8" t="str">
        <f>VLOOKUP(A4,Tutors!C:E,3,0)</f>
        <v>EG01-EG02-EG03</v>
      </c>
      <c r="H4" s="8" t="str">
        <f>VLOOKUP(A4,Tutors!A:F,6,0)</f>
        <v>rehab533@gmail.com</v>
      </c>
      <c r="I4" s="8" t="str">
        <f>VLOOKUP(A4,Tutors!C:G,5,0)</f>
        <v>01019577994</v>
      </c>
      <c r="J4" s="8">
        <f>COUNTIFS(Active!C:C,A4)</f>
        <v>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16</v>
      </c>
      <c r="B5" s="7">
        <f>VLOOKUP(A5,Tutors!A:B,2,0)</f>
        <v>209148542918</v>
      </c>
      <c r="C5" s="6" t="s">
        <v>11</v>
      </c>
      <c r="D5" s="6" t="s">
        <v>12</v>
      </c>
      <c r="E5" s="6" t="s">
        <v>9</v>
      </c>
      <c r="F5" s="9" t="str">
        <f>VLOOKUP(A5,Tutors!C:D,2,0)</f>
        <v>2191</v>
      </c>
      <c r="G5" s="8" t="str">
        <f>VLOOKUP(A5,Tutors!C:E,3,0)</f>
        <v>EG01-EG02-EG03-EG04-EG05</v>
      </c>
      <c r="H5" s="8" t="str">
        <f>VLOOKUP(A5,Tutors!A:F,6,0)</f>
        <v>norenosman11@yahoo.com</v>
      </c>
      <c r="I5" s="8" t="str">
        <f>VLOOKUP(A5,Tutors!C:G,5,0)</f>
        <v>01285292060</v>
      </c>
      <c r="J5" s="8">
        <f>COUNTIFS(Active!C:C,A5)</f>
        <v>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17</v>
      </c>
      <c r="B6" s="7">
        <f>VLOOKUP(A6,Tutors!A:B,2,0)</f>
        <v>105150134960</v>
      </c>
      <c r="C6" s="6" t="s">
        <v>11</v>
      </c>
      <c r="D6" s="6" t="s">
        <v>12</v>
      </c>
      <c r="E6" s="6" t="s">
        <v>9</v>
      </c>
      <c r="F6" s="9">
        <f>VLOOKUP(A6,Tutors!C:D,2,0)</f>
        <v>2212</v>
      </c>
      <c r="G6" s="8" t="str">
        <f>VLOOKUP(A6,Tutors!C:E,3,0)</f>
        <v>EG01-EG02-EG03</v>
      </c>
      <c r="H6" s="8" t="str">
        <f>VLOOKUP(A6,Tutors!A:F,6,0)</f>
        <v>nadalisaid46@gmail.com</v>
      </c>
      <c r="I6" s="8" t="str">
        <f>VLOOKUP(A6,Tutors!C:G,5,0)</f>
        <v>01273190435</v>
      </c>
      <c r="J6" s="8">
        <f>COUNTIFS(Active!C:C,A6)</f>
        <v>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18</v>
      </c>
      <c r="B7" s="7">
        <f>VLOOKUP(A7,Tutors!A:B,2,0)</f>
        <v>189108478931</v>
      </c>
      <c r="C7" s="6" t="s">
        <v>11</v>
      </c>
      <c r="D7" s="6" t="s">
        <v>12</v>
      </c>
      <c r="E7" s="6" t="s">
        <v>9</v>
      </c>
      <c r="F7" s="8">
        <f>VLOOKUP(A7,Tutors!C:D,2,0)</f>
        <v>2443</v>
      </c>
      <c r="G7" s="8" t="str">
        <f>VLOOKUP(A7,Tutors!C:E,3,0)</f>
        <v>EG01-EG02-EG03</v>
      </c>
      <c r="H7" s="8" t="str">
        <f>VLOOKUP(A7,Tutors!A:F,6,0)</f>
        <v>jodyy2007@gmail.com</v>
      </c>
      <c r="I7" s="8" t="str">
        <f>VLOOKUP(A7,Tutors!C:G,5,0)</f>
        <v>01091927577</v>
      </c>
      <c r="J7" s="8">
        <f>COUNTIFS(Active!C:C,A7)</f>
        <v>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19</v>
      </c>
      <c r="B8" s="7">
        <f>VLOOKUP(A8,Tutors!A:B,2,0)</f>
        <v>919170561064</v>
      </c>
      <c r="C8" s="6" t="s">
        <v>11</v>
      </c>
      <c r="D8" s="6" t="s">
        <v>12</v>
      </c>
      <c r="E8" s="6" t="s">
        <v>9</v>
      </c>
      <c r="F8" s="8">
        <f>VLOOKUP(A8,Tutors!C:D,2,0)</f>
        <v>2561</v>
      </c>
      <c r="G8" s="8" t="str">
        <f>VLOOKUP(A8,Tutors!C:E,3,0)</f>
        <v>EG01-EG02-EG03</v>
      </c>
      <c r="H8" s="8" t="str">
        <f>VLOOKUP(A8,Tutors!A:F,6,0)</f>
        <v>ywael044@gmail.com</v>
      </c>
      <c r="I8" s="8" t="str">
        <f>VLOOKUP(A8,Tutors!C:G,5,0)</f>
        <v>01271833101</v>
      </c>
      <c r="J8" s="8">
        <f>COUNTIFS(Active!C:C,A8)</f>
        <v>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20</v>
      </c>
      <c r="B9" s="7">
        <f>VLOOKUP(A9,Tutors!A:B,2,0)</f>
        <v>623157516497</v>
      </c>
      <c r="C9" s="6" t="s">
        <v>11</v>
      </c>
      <c r="D9" s="6" t="s">
        <v>12</v>
      </c>
      <c r="E9" s="6" t="s">
        <v>9</v>
      </c>
      <c r="F9" s="8">
        <f>VLOOKUP(A9,Tutors!C:D,2,0)</f>
        <v>2580</v>
      </c>
      <c r="G9" s="8" t="str">
        <f>VLOOKUP(A9,Tutors!C:E,3,0)</f>
        <v>EG01-EG02-EG03</v>
      </c>
      <c r="H9" s="8" t="str">
        <f>VLOOKUP(A9,Tutors!A:F,6,0)</f>
        <v>elhosseinyasmaa@gmail.com</v>
      </c>
      <c r="I9" s="8" t="str">
        <f>VLOOKUP(A9,Tutors!C:G,5,0)</f>
        <v>01006995563</v>
      </c>
      <c r="J9" s="8">
        <f>COUNTIFS(Active!C:C,A9)</f>
        <v>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21</v>
      </c>
      <c r="B10" s="7">
        <f>VLOOKUP(A10,Tutors!A:B,2,0)</f>
        <v>634163474745</v>
      </c>
      <c r="C10" s="6" t="s">
        <v>11</v>
      </c>
      <c r="D10" s="6" t="s">
        <v>12</v>
      </c>
      <c r="E10" s="6" t="s">
        <v>9</v>
      </c>
      <c r="F10" s="8">
        <f>VLOOKUP(A10,Tutors!C:D,2,0)</f>
        <v>2722</v>
      </c>
      <c r="G10" s="8" t="str">
        <f>VLOOKUP(A10,Tutors!C:E,3,0)</f>
        <v>EG01-EG02-EG03-EG04-EG05-EG06</v>
      </c>
      <c r="H10" s="8" t="str">
        <f>VLOOKUP(A10,Tutors!A:F,6,0)</f>
        <v>doaamostafaalis@gmail.com</v>
      </c>
      <c r="I10" s="8" t="str">
        <f>VLOOKUP(A10,Tutors!C:G,5,0)</f>
        <v>01012291825</v>
      </c>
      <c r="J10" s="8">
        <f>COUNTIFS(Active!C:C,A10)</f>
        <v>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22</v>
      </c>
      <c r="B11" s="7">
        <f>VLOOKUP(A11,Tutors!A:B,2,0)</f>
        <v>194190610534</v>
      </c>
      <c r="C11" s="6" t="s">
        <v>11</v>
      </c>
      <c r="D11" s="6" t="s">
        <v>12</v>
      </c>
      <c r="E11" s="6" t="s">
        <v>13</v>
      </c>
      <c r="F11" s="8">
        <f>VLOOKUP(A11,Tutors!C:D,2,0)</f>
        <v>2757</v>
      </c>
      <c r="G11" s="8" t="str">
        <f>VLOOKUP(A11,Tutors!C:E,3,0)</f>
        <v>EG01-EG02-EG03-EG04</v>
      </c>
      <c r="H11" s="8" t="str">
        <f>VLOOKUP(A11,Tutors!A:F,6,0)</f>
        <v>moneyedward37@gmail.com</v>
      </c>
      <c r="I11" s="8" t="str">
        <f>VLOOKUP(A11,Tutors!C:G,5,0)</f>
        <v>01277626560</v>
      </c>
      <c r="J11" s="8">
        <f>COUNTIFS(Active!C:C,A11)</f>
        <v>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 t="s">
        <v>23</v>
      </c>
      <c r="B12" s="7">
        <f>VLOOKUP(A12,Tutors!A:B,2,0)</f>
        <v>148126371346</v>
      </c>
      <c r="C12" s="6" t="s">
        <v>11</v>
      </c>
      <c r="D12" s="6" t="s">
        <v>12</v>
      </c>
      <c r="E12" s="6" t="s">
        <v>13</v>
      </c>
      <c r="F12" s="8">
        <f>VLOOKUP(A12,Tutors!C:D,2,0)</f>
        <v>2745</v>
      </c>
      <c r="G12" s="8" t="str">
        <f>VLOOKUP(A12,Tutors!C:E,3,0)</f>
        <v>EG01-EG02-EG03</v>
      </c>
      <c r="H12" s="8" t="str">
        <f>VLOOKUP(A12,Tutors!A:F,6,0)</f>
        <v>doniafarouk2811@gmail.com</v>
      </c>
      <c r="I12" s="8" t="str">
        <f>VLOOKUP(A12,Tutors!C:G,5,0)</f>
        <v>01201302647</v>
      </c>
      <c r="J12" s="8">
        <f>COUNTIFS(Active!C:C,A12)</f>
        <v>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24</v>
      </c>
      <c r="B13" s="7">
        <f>VLOOKUP(A13,Tutors!A:B,2,0)</f>
        <v>530189784630</v>
      </c>
      <c r="C13" s="6" t="s">
        <v>11</v>
      </c>
      <c r="D13" s="6" t="s">
        <v>25</v>
      </c>
      <c r="E13" s="6" t="s">
        <v>9</v>
      </c>
      <c r="F13" s="9" t="str">
        <f>VLOOKUP(A13,Tutors!C:D,2,0)</f>
        <v>2003</v>
      </c>
      <c r="G13" s="8" t="str">
        <f>VLOOKUP(A13,Tutors!C:E,3,0)</f>
        <v>EG01-EG02-EG03-EG04-EG05</v>
      </c>
      <c r="H13" s="8" t="str">
        <f>VLOOKUP(A13,Tutors!A:F,6,0)</f>
        <v>erineyatef@gmail.com</v>
      </c>
      <c r="I13" s="8" t="str">
        <f>VLOOKUP(A13,Tutors!C:G,5,0)</f>
        <v>01211816220</v>
      </c>
      <c r="J13" s="8">
        <f>COUNTIFS(Active!C:C,A13)</f>
        <v>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26</v>
      </c>
      <c r="B14" s="7">
        <f>VLOOKUP(A14,Tutors!A:B,2,0)</f>
        <v>603187625747</v>
      </c>
      <c r="C14" s="6" t="s">
        <v>11</v>
      </c>
      <c r="D14" s="6" t="s">
        <v>25</v>
      </c>
      <c r="E14" s="6" t="s">
        <v>9</v>
      </c>
      <c r="F14" s="9" t="str">
        <f>VLOOKUP(A14,Tutors!C:D,2,0)</f>
        <v>2103</v>
      </c>
      <c r="G14" s="8" t="str">
        <f>VLOOKUP(A14,Tutors!C:E,3,0)</f>
        <v/>
      </c>
      <c r="H14" s="8" t="str">
        <f>VLOOKUP(A14,Tutors!A:F,6,0)</f>
        <v>heba.abdelhameed99@gmail.com</v>
      </c>
      <c r="I14" s="8" t="str">
        <f>VLOOKUP(A14,Tutors!C:G,5,0)</f>
        <v>01126571109</v>
      </c>
      <c r="J14" s="8">
        <f>COUNTIFS(Active!C:C,A14)</f>
        <v>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27</v>
      </c>
      <c r="B15" s="7">
        <f>VLOOKUP(A15,Tutors!A:B,2,0)</f>
        <v>865121843486</v>
      </c>
      <c r="C15" s="6" t="s">
        <v>11</v>
      </c>
      <c r="D15" s="6" t="s">
        <v>25</v>
      </c>
      <c r="E15" s="6" t="s">
        <v>9</v>
      </c>
      <c r="F15" s="7">
        <v>2244.0</v>
      </c>
      <c r="G15" s="8" t="str">
        <f>VLOOKUP(A15,Tutors!C:E,3,0)</f>
        <v/>
      </c>
      <c r="H15" s="8" t="str">
        <f>VLOOKUP(A15,Tutors!A:F,6,0)</f>
        <v>mahahimony@gmail.com</v>
      </c>
      <c r="I15" s="8" t="str">
        <f>VLOOKUP(A15,Tutors!C:G,5,0)</f>
        <v>01156615561</v>
      </c>
      <c r="J15" s="8">
        <f>COUNTIFS(Active!C:C,A15)</f>
        <v>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28</v>
      </c>
      <c r="B16" s="7">
        <f>VLOOKUP(A16,Tutors!A:B,2,0)</f>
        <v>758108752769</v>
      </c>
      <c r="C16" s="6" t="s">
        <v>11</v>
      </c>
      <c r="D16" s="6" t="s">
        <v>25</v>
      </c>
      <c r="E16" s="6" t="s">
        <v>9</v>
      </c>
      <c r="F16" s="8">
        <f>VLOOKUP(A16,Tutors!C:D,2,0)</f>
        <v>2337</v>
      </c>
      <c r="G16" s="8" t="str">
        <f>VLOOKUP(A16,Tutors!C:E,3,0)</f>
        <v/>
      </c>
      <c r="H16" s="8" t="str">
        <f>VLOOKUP(A16,Tutors!A:F,6,0)</f>
        <v>merahesham2000@gmail.com</v>
      </c>
      <c r="I16" s="8" t="str">
        <f>VLOOKUP(A16,Tutors!C:G,5,0)</f>
        <v>01027391210</v>
      </c>
      <c r="J16" s="8">
        <f>COUNTIFS(Active!C:C,A16)</f>
        <v>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29</v>
      </c>
      <c r="B17" s="7">
        <f>VLOOKUP(A17,Tutors!A:B,2,0)</f>
        <v>426167021594</v>
      </c>
      <c r="C17" s="6" t="s">
        <v>11</v>
      </c>
      <c r="D17" s="6" t="s">
        <v>25</v>
      </c>
      <c r="E17" s="6" t="s">
        <v>9</v>
      </c>
      <c r="F17" s="8">
        <f>VLOOKUP(A17,Tutors!C:D,2,0)</f>
        <v>2519</v>
      </c>
      <c r="G17" s="8" t="str">
        <f>VLOOKUP(A17,Tutors!C:E,3,0)</f>
        <v>EG01-EG02-EG03-EG04 </v>
      </c>
      <c r="H17" s="8" t="str">
        <f>VLOOKUP(A17,Tutors!A:F,6,0)</f>
        <v>nouranyl64@gmail.com</v>
      </c>
      <c r="I17" s="8" t="str">
        <f>VLOOKUP(A17,Tutors!C:G,5,0)</f>
        <v>01010594459</v>
      </c>
      <c r="J17" s="8">
        <f>COUNTIFS(Active!C:C,A17)</f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30</v>
      </c>
      <c r="B18" s="7">
        <f>VLOOKUP(A18,Tutors!A:B,2,0)</f>
        <v>915139613231</v>
      </c>
      <c r="C18" s="6" t="s">
        <v>11</v>
      </c>
      <c r="D18" s="6" t="s">
        <v>25</v>
      </c>
      <c r="E18" s="6" t="s">
        <v>13</v>
      </c>
      <c r="F18" s="8">
        <f>VLOOKUP(A18,Tutors!C:D,2,0)</f>
        <v>2422</v>
      </c>
      <c r="G18" s="8" t="str">
        <f>VLOOKUP(A18,Tutors!C:E,3,0)</f>
        <v>EG01-EG02-EG03-EG04-EG05-EG06-EG07</v>
      </c>
      <c r="H18" s="8" t="str">
        <f>VLOOKUP(A18,Tutors!A:F,6,0)</f>
        <v>esraalaa25@gmail.com</v>
      </c>
      <c r="I18" s="8" t="str">
        <f>VLOOKUP(A18,Tutors!C:G,5,0)</f>
        <v>01091311114</v>
      </c>
      <c r="J18" s="8">
        <f>COUNTIFS(Active!C:C,A18)</f>
        <v>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 t="s">
        <v>31</v>
      </c>
      <c r="B19" s="7">
        <f>VLOOKUP(A19,Tutors!A:B,2,0)</f>
        <v>598135839671</v>
      </c>
      <c r="C19" s="6" t="s">
        <v>11</v>
      </c>
      <c r="D19" s="6" t="s">
        <v>25</v>
      </c>
      <c r="E19" s="6" t="s">
        <v>9</v>
      </c>
      <c r="F19" s="8">
        <f>VLOOKUP(A19,Tutors!C:D,2,0)</f>
        <v>2493</v>
      </c>
      <c r="G19" s="8" t="str">
        <f>VLOOKUP(A19,Tutors!C:E,3,0)</f>
        <v>EG01-EG02-EG03-EG04-EG05</v>
      </c>
      <c r="H19" s="8" t="str">
        <f>VLOOKUP(A19,Tutors!A:F,6,0)</f>
        <v>aueed.eteachers@gmail.com</v>
      </c>
      <c r="I19" s="8" t="str">
        <f>VLOOKUP(A19,Tutors!C:G,5,0)</f>
        <v>01270819064</v>
      </c>
      <c r="J19" s="8">
        <f>COUNTIFS(Active!C:C,A19)</f>
        <v>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 t="s">
        <v>32</v>
      </c>
      <c r="B20" s="7">
        <f>VLOOKUP(A20,Tutors!A:B,2,0)</f>
        <v>695139708380</v>
      </c>
      <c r="C20" s="6" t="s">
        <v>11</v>
      </c>
      <c r="D20" s="6" t="s">
        <v>25</v>
      </c>
      <c r="E20" s="6" t="s">
        <v>9</v>
      </c>
      <c r="F20" s="8">
        <f>VLOOKUP(A20,Tutors!C:D,2,0)</f>
        <v>2614</v>
      </c>
      <c r="G20" s="8" t="str">
        <f>VLOOKUP(A20,Tutors!C:E,3,0)</f>
        <v>EG01-EG02-EG03-EG04-EG05</v>
      </c>
      <c r="H20" s="8" t="str">
        <f>VLOOKUP(A20,Tutors!A:F,6,0)</f>
        <v>nadasherif1007@gmail.com</v>
      </c>
      <c r="I20" s="8" t="str">
        <f>VLOOKUP(A20,Tutors!C:G,5,0)</f>
        <v/>
      </c>
      <c r="J20" s="8">
        <f>COUNTIFS(Active!C:C,A20)</f>
        <v>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 t="s">
        <v>33</v>
      </c>
      <c r="B21" s="7">
        <f>VLOOKUP(A21,Tutors!A:B,2,0)</f>
        <v>967160462696</v>
      </c>
      <c r="C21" s="6" t="s">
        <v>11</v>
      </c>
      <c r="D21" s="6" t="s">
        <v>25</v>
      </c>
      <c r="E21" s="6" t="s">
        <v>9</v>
      </c>
      <c r="F21" s="8">
        <f>VLOOKUP(A21,Tutors!C:D,2,0)</f>
        <v>2643</v>
      </c>
      <c r="G21" s="8" t="str">
        <f>VLOOKUP(A21,Tutors!C:E,3,0)</f>
        <v>EG01-EG02</v>
      </c>
      <c r="H21" s="8" t="str">
        <f>VLOOKUP(A21,Tutors!A:F,6,0)</f>
        <v>somahamza27@gmail.com</v>
      </c>
      <c r="I21" s="8" t="str">
        <f>VLOOKUP(A21,Tutors!C:G,5,0)</f>
        <v/>
      </c>
      <c r="J21" s="8">
        <f>COUNTIFS(Active!C:C,A21)</f>
        <v>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 t="s">
        <v>34</v>
      </c>
      <c r="B22" s="7">
        <f>VLOOKUP(A22,Tutors!A:B,2,0)</f>
        <v>135178965350</v>
      </c>
      <c r="C22" s="6" t="s">
        <v>11</v>
      </c>
      <c r="D22" s="6" t="s">
        <v>25</v>
      </c>
      <c r="E22" s="6" t="s">
        <v>35</v>
      </c>
      <c r="F22" s="8">
        <f>VLOOKUP(A22,Tutors!C:D,2,0)</f>
        <v>2642</v>
      </c>
      <c r="G22" s="8" t="str">
        <f>VLOOKUP(A22,Tutors!C:E,3,0)</f>
        <v>EG01-EG02</v>
      </c>
      <c r="H22" s="8" t="str">
        <f>VLOOKUP(A22,Tutors!A:F,6,0)</f>
        <v>shahendaabdulaziz98@gmail.com</v>
      </c>
      <c r="I22" s="8" t="str">
        <f>VLOOKUP(A22,Tutors!C:G,5,0)</f>
        <v>01004298923</v>
      </c>
      <c r="J22" s="8">
        <f>COUNTIFS(Active!C:C,A22)</f>
        <v>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 t="s">
        <v>36</v>
      </c>
      <c r="B23" s="7">
        <f>VLOOKUP(A23,Tutors!A:B,2,0)</f>
        <v>930131871381</v>
      </c>
      <c r="C23" s="6" t="s">
        <v>11</v>
      </c>
      <c r="D23" s="6" t="s">
        <v>25</v>
      </c>
      <c r="E23" s="6" t="s">
        <v>9</v>
      </c>
      <c r="F23" s="8">
        <f>VLOOKUP(A23,Tutors!C:D,2,0)</f>
        <v>2715</v>
      </c>
      <c r="G23" s="8" t="str">
        <f>VLOOKUP(A23,Tutors!C:E,3,0)</f>
        <v>EG01-EG02-EG03-EG04-5</v>
      </c>
      <c r="H23" s="8" t="str">
        <f>VLOOKUP(A23,Tutors!A:F,6,0)</f>
        <v>mrsgehan94@gmail.com</v>
      </c>
      <c r="I23" s="8">
        <f>VLOOKUP(A23,Tutors!C:G,5,0)</f>
        <v>1013586544</v>
      </c>
      <c r="J23" s="8">
        <f>COUNTIFS(Active!C:C,A23)</f>
        <v>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 t="s">
        <v>37</v>
      </c>
      <c r="B24" s="7">
        <f>VLOOKUP(A24,Tutors!A:B,2,0)</f>
        <v>208148393089</v>
      </c>
      <c r="C24" s="6" t="s">
        <v>11</v>
      </c>
      <c r="D24" s="6" t="s">
        <v>25</v>
      </c>
      <c r="E24" s="6" t="s">
        <v>9</v>
      </c>
      <c r="F24" s="8">
        <f>VLOOKUP(A24,Tutors!C:D,2,0)</f>
        <v>2695</v>
      </c>
      <c r="G24" s="8" t="str">
        <f>VLOOKUP(A24,Tutors!C:E,3,0)</f>
        <v>EG01-EG02</v>
      </c>
      <c r="H24" s="8" t="str">
        <f>VLOOKUP(A24,Tutors!A:F,6,0)</f>
        <v>reham.haridy17@gmail.com</v>
      </c>
      <c r="I24" s="8" t="str">
        <f>VLOOKUP(A24,Tutors!C:G,5,0)</f>
        <v>01126620688</v>
      </c>
      <c r="J24" s="8">
        <f>COUNTIFS(Active!C:C,A24)</f>
        <v>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 t="s">
        <v>38</v>
      </c>
      <c r="B25" s="7">
        <f>VLOOKUP(A25,Tutors!A:B,2,0)</f>
        <v>406159296081</v>
      </c>
      <c r="C25" s="6" t="s">
        <v>11</v>
      </c>
      <c r="D25" s="6" t="s">
        <v>25</v>
      </c>
      <c r="E25" s="6" t="s">
        <v>9</v>
      </c>
      <c r="F25" s="8">
        <f>VLOOKUP(A25,Tutors!C:D,2,0)</f>
        <v>2730</v>
      </c>
      <c r="G25" s="8" t="str">
        <f>VLOOKUP(A25,Tutors!C:E,3,0)</f>
        <v>EG01-EG02-EG03-EG04</v>
      </c>
      <c r="H25" s="8" t="str">
        <f>VLOOKUP(A25,Tutors!A:F,6,0)</f>
        <v>nadaaly58@gmail.com</v>
      </c>
      <c r="I25" s="8" t="str">
        <f>VLOOKUP(A25,Tutors!C:G,5,0)</f>
        <v>01275735695</v>
      </c>
      <c r="J25" s="8">
        <f>COUNTIFS(Active!C:C,A25)</f>
        <v>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39</v>
      </c>
      <c r="B26" s="7">
        <f>VLOOKUP(A26,Tutors!A:B,2,0)</f>
        <v>586170564150</v>
      </c>
      <c r="C26" s="6" t="s">
        <v>11</v>
      </c>
      <c r="D26" s="6" t="s">
        <v>25</v>
      </c>
      <c r="E26" s="6" t="s">
        <v>9</v>
      </c>
      <c r="F26" s="8">
        <f>VLOOKUP(A26,Tutors!C:D,2,0)</f>
        <v>2629</v>
      </c>
      <c r="G26" s="8" t="str">
        <f>VLOOKUP(A26,Tutors!C:E,3,0)</f>
        <v>EG01-EG02-EG03-EG04</v>
      </c>
      <c r="H26" s="8" t="str">
        <f>VLOOKUP(A26,Tutors!A:F,6,0)</f>
        <v>marinaemad4922@gmail.com</v>
      </c>
      <c r="I26" s="8" t="str">
        <f>VLOOKUP(A26,Tutors!C:G,5,0)</f>
        <v>01210882072</v>
      </c>
      <c r="J26" s="8">
        <f>COUNTIFS(Active!C:C,A26)</f>
        <v>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 t="s">
        <v>40</v>
      </c>
      <c r="B27" s="7">
        <f>VLOOKUP(A27,Tutors!A:B,2,0)</f>
        <v>450190591429</v>
      </c>
      <c r="C27" s="6" t="s">
        <v>11</v>
      </c>
      <c r="D27" s="6" t="s">
        <v>25</v>
      </c>
      <c r="E27" s="6" t="s">
        <v>9</v>
      </c>
      <c r="F27" s="8">
        <f>VLOOKUP(A27,Tutors!C:D,2,0)</f>
        <v>2781</v>
      </c>
      <c r="G27" s="8" t="str">
        <f>VLOOKUP(A27,Tutors!C:E,3,0)</f>
        <v>EG01-EG02-EG03-EG04</v>
      </c>
      <c r="H27" s="8" t="str">
        <f>VLOOKUP(A27,Tutors!A:F,6,0)</f>
        <v>ashrfmaryam557@gmail.com</v>
      </c>
      <c r="I27" s="8" t="str">
        <f>VLOOKUP(A27,Tutors!C:G,5,0)</f>
        <v/>
      </c>
      <c r="J27" s="8">
        <f>COUNTIFS(Active!C:C,A27)</f>
        <v>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 t="s">
        <v>41</v>
      </c>
      <c r="B28" s="7">
        <f>VLOOKUP(A28,Tutors!A:B,2,0)</f>
        <v>618168909236</v>
      </c>
      <c r="C28" s="6" t="s">
        <v>11</v>
      </c>
      <c r="D28" s="6" t="s">
        <v>25</v>
      </c>
      <c r="E28" s="6" t="s">
        <v>9</v>
      </c>
      <c r="F28" s="8">
        <f>VLOOKUP(A28,Tutors!C:D,2,0)</f>
        <v>2784</v>
      </c>
      <c r="G28" s="8" t="str">
        <f>VLOOKUP(A28,Tutors!C:E,3,0)</f>
        <v>EG01-EG02-EG03-EG04-EG05-EG06</v>
      </c>
      <c r="H28" s="8" t="str">
        <f>VLOOKUP(A28,Tutors!A:F,6,0)</f>
        <v>galaleman21@yahoo.com</v>
      </c>
      <c r="I28" s="8" t="str">
        <f>VLOOKUP(A28,Tutors!C:G,5,0)</f>
        <v>01276133970</v>
      </c>
      <c r="J28" s="8">
        <f>COUNTIFS(Active!C:C,A28)</f>
        <v>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42</v>
      </c>
      <c r="B29" s="7">
        <f>VLOOKUP(A29,Tutors!A:B,2,0)</f>
        <v>729171317072</v>
      </c>
      <c r="C29" s="6" t="s">
        <v>11</v>
      </c>
      <c r="D29" s="6" t="s">
        <v>25</v>
      </c>
      <c r="E29" s="6" t="s">
        <v>9</v>
      </c>
      <c r="F29" s="8">
        <f>VLOOKUP(A29,Tutors!C:D,2,0)</f>
        <v>2771</v>
      </c>
      <c r="G29" s="8" t="str">
        <f>VLOOKUP(A29,Tutors!C:E,3,0)</f>
        <v>EG01-EG02-EG03-EG04-EG05-EG06</v>
      </c>
      <c r="H29" s="8" t="str">
        <f>VLOOKUP(A29,Tutors!A:F,6,0)</f>
        <v>nohalotfy33@gmail.com</v>
      </c>
      <c r="I29" s="8" t="str">
        <f>VLOOKUP(A29,Tutors!C:G,5,0)</f>
        <v>01271850094</v>
      </c>
      <c r="J29" s="8">
        <f>COUNTIFS(Active!C:C,A29)</f>
        <v>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 t="s">
        <v>43</v>
      </c>
      <c r="B30" s="7">
        <f>VLOOKUP(A30,Tutors!A:B,2,0)</f>
        <v>898178084762</v>
      </c>
      <c r="C30" s="6" t="s">
        <v>11</v>
      </c>
      <c r="D30" s="6" t="s">
        <v>25</v>
      </c>
      <c r="E30" s="10" t="s">
        <v>9</v>
      </c>
      <c r="F30" s="8">
        <f>VLOOKUP(A30,Tutors!C:D,2,0)</f>
        <v>2783</v>
      </c>
      <c r="G30" s="8" t="str">
        <f>VLOOKUP(A30,Tutors!C:E,3,0)</f>
        <v>EG01-EG02-EG03-EG04-EG05-EG06</v>
      </c>
      <c r="H30" s="8" t="str">
        <f>VLOOKUP(A30,Tutors!A:F,6,0)</f>
        <v>safaadel499@gmail.com</v>
      </c>
      <c r="I30" s="8" t="str">
        <f>VLOOKUP(A30,Tutors!C:G,5,0)</f>
        <v/>
      </c>
      <c r="J30" s="8">
        <f>COUNTIFS(Active!C:C,A30)</f>
        <v>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 t="s">
        <v>44</v>
      </c>
      <c r="B31" s="7">
        <f>VLOOKUP(A31,Tutors!A:B,2,0)</f>
        <v>193161234392</v>
      </c>
      <c r="C31" s="6" t="s">
        <v>11</v>
      </c>
      <c r="D31" s="6" t="s">
        <v>25</v>
      </c>
      <c r="E31" s="6" t="s">
        <v>35</v>
      </c>
      <c r="F31" s="8">
        <f>VLOOKUP(A31,Tutors!C:D,2,0)</f>
        <v>2779</v>
      </c>
      <c r="G31" s="8" t="str">
        <f>VLOOKUP(A31,Tutors!C:E,3,0)</f>
        <v>EG01-EG02-EG03</v>
      </c>
      <c r="H31" s="8" t="str">
        <f>VLOOKUP(A31,Tutors!A:F,6,0)</f>
        <v>nosamohamed000@gmail.com</v>
      </c>
      <c r="I31" s="8" t="str">
        <f>VLOOKUP(A31,Tutors!C:G,5,0)</f>
        <v/>
      </c>
      <c r="J31" s="8">
        <f>COUNTIFS(Active!C:C,A31)</f>
        <v>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 t="s">
        <v>45</v>
      </c>
      <c r="B32" s="7">
        <f>VLOOKUP(A32,Tutors!A:B,2,0)</f>
        <v>439182479634</v>
      </c>
      <c r="C32" s="6" t="s">
        <v>11</v>
      </c>
      <c r="D32" s="6" t="s">
        <v>25</v>
      </c>
      <c r="E32" s="6" t="s">
        <v>9</v>
      </c>
      <c r="F32" s="8">
        <f>VLOOKUP(A32,Tutors!C:D,2,0)</f>
        <v>2807</v>
      </c>
      <c r="G32" s="8" t="str">
        <f>VLOOKUP(A32,Tutors!C:E,3,0)</f>
        <v>EG01-EG02-EG03-EG04</v>
      </c>
      <c r="H32" s="8" t="str">
        <f>VLOOKUP(A32,Tutors!A:F,6,0)</f>
        <v>shahendamohammad3@gmail.com</v>
      </c>
      <c r="I32" s="8" t="str">
        <f>VLOOKUP(A32,Tutors!C:G,5,0)</f>
        <v>01223315390</v>
      </c>
      <c r="J32" s="8">
        <f>COUNTIFS(Active!C:C,A32)</f>
        <v>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 t="s">
        <v>46</v>
      </c>
      <c r="B33" s="7">
        <f>VLOOKUP(A33,Tutors!A:B,2,0)</f>
        <v>363152838573</v>
      </c>
      <c r="C33" s="6" t="s">
        <v>11</v>
      </c>
      <c r="D33" s="6" t="s">
        <v>47</v>
      </c>
      <c r="E33" s="6" t="s">
        <v>9</v>
      </c>
      <c r="F33" s="9" t="str">
        <f>VLOOKUP(A33,Tutors!C:D,2,0)</f>
        <v>2310</v>
      </c>
      <c r="G33" s="8" t="str">
        <f>VLOOKUP(A33,Tutors!C:E,3,0)</f>
        <v/>
      </c>
      <c r="H33" s="8" t="str">
        <f>VLOOKUP(A33,Tutors!A:F,6,0)</f>
        <v>asmaaashraf.aa@gmail.com</v>
      </c>
      <c r="I33" s="8" t="str">
        <f>VLOOKUP(A33,Tutors!C:G,5,0)</f>
        <v>01015511375</v>
      </c>
      <c r="J33" s="8">
        <f>COUNTIFS(Active!C:C,A33)</f>
        <v>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 t="s">
        <v>48</v>
      </c>
      <c r="B34" s="7">
        <f>VLOOKUP(A34,Tutors!A:B,2,0)</f>
        <v>628128564178</v>
      </c>
      <c r="C34" s="6" t="s">
        <v>11</v>
      </c>
      <c r="D34" s="6" t="s">
        <v>47</v>
      </c>
      <c r="E34" s="6" t="s">
        <v>9</v>
      </c>
      <c r="F34" s="9" t="str">
        <f>VLOOKUP(A34,Tutors!C:D,2,0)</f>
        <v>2290</v>
      </c>
      <c r="G34" s="8" t="str">
        <f>VLOOKUP(A34,Tutors!C:E,3,0)</f>
        <v/>
      </c>
      <c r="H34" s="8" t="str">
        <f>VLOOKUP(A34,Tutors!A:F,6,0)</f>
        <v>ayasobhy2014@gmail.com</v>
      </c>
      <c r="I34" s="8" t="str">
        <f>VLOOKUP(A34,Tutors!C:G,5,0)</f>
        <v>01096896433</v>
      </c>
      <c r="J34" s="8">
        <f>COUNTIFS(Active!C:C,A34)</f>
        <v>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 t="s">
        <v>49</v>
      </c>
      <c r="B35" s="7">
        <f>VLOOKUP(A35,Tutors!A:B,2,0)</f>
        <v>832181306187</v>
      </c>
      <c r="C35" s="6" t="s">
        <v>11</v>
      </c>
      <c r="D35" s="6" t="s">
        <v>47</v>
      </c>
      <c r="E35" s="10" t="s">
        <v>9</v>
      </c>
      <c r="F35" s="8">
        <f>VLOOKUP(A35,Tutors!C:D,2,0)</f>
        <v>2436</v>
      </c>
      <c r="G35" s="8" t="str">
        <f>VLOOKUP(A35,Tutors!C:E,3,0)</f>
        <v>EG01-EG02-EG03-EG04-EG05-EG06</v>
      </c>
      <c r="H35" s="8" t="str">
        <f>VLOOKUP(A35,Tutors!A:F,6,0)</f>
        <v>nourhan.hany.amer.1992@gmail.com</v>
      </c>
      <c r="I35" s="8" t="str">
        <f>VLOOKUP(A35,Tutors!C:G,5,0)</f>
        <v>01023766623</v>
      </c>
      <c r="J35" s="8">
        <f>COUNTIFS(Active!C:C,A35)</f>
        <v>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 t="s">
        <v>50</v>
      </c>
      <c r="B36" s="7">
        <f>VLOOKUP(A36,Tutors!A:B,2,0)</f>
        <v>617181867475</v>
      </c>
      <c r="C36" s="6" t="s">
        <v>11</v>
      </c>
      <c r="D36" s="6" t="s">
        <v>47</v>
      </c>
      <c r="E36" s="6" t="s">
        <v>9</v>
      </c>
      <c r="F36" s="8">
        <f>VLOOKUP(A36,Tutors!C:D,2,0)</f>
        <v>2428</v>
      </c>
      <c r="G36" s="8" t="str">
        <f>VLOOKUP(A36,Tutors!C:E,3,0)</f>
        <v>EG01-EG02-EG03-EG04-EG05-EG06</v>
      </c>
      <c r="H36" s="8" t="str">
        <f>VLOOKUP(A36,Tutors!A:F,6,0)</f>
        <v>ayafathy1020@gmail.com</v>
      </c>
      <c r="I36" s="8" t="str">
        <f>VLOOKUP(A36,Tutors!C:G,5,0)</f>
        <v>01025755518//01507075518</v>
      </c>
      <c r="J36" s="8">
        <f>COUNTIFS(Active!C:C,A36)</f>
        <v>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 t="s">
        <v>51</v>
      </c>
      <c r="B37" s="7">
        <f>VLOOKUP(A37,Tutors!A:B,2,0)</f>
        <v>957197456092</v>
      </c>
      <c r="C37" s="6" t="s">
        <v>11</v>
      </c>
      <c r="D37" s="6" t="s">
        <v>47</v>
      </c>
      <c r="E37" s="6" t="s">
        <v>9</v>
      </c>
      <c r="F37" s="8">
        <f>VLOOKUP(A37,Tutors!C:D,2,0)</f>
        <v>2427</v>
      </c>
      <c r="G37" s="8" t="str">
        <f>VLOOKUP(A37,Tutors!C:E,3,0)</f>
        <v>EG01-EG02-EG03</v>
      </c>
      <c r="H37" s="8" t="str">
        <f>VLOOKUP(A37,Tutors!A:F,6,0)</f>
        <v>nourhanyasser1999184@gmail.com</v>
      </c>
      <c r="I37" s="8" t="str">
        <f>VLOOKUP(A37,Tutors!C:G,5,0)</f>
        <v>01110620513</v>
      </c>
      <c r="J37" s="8">
        <f>COUNTIFS(Active!C:C,A37)</f>
        <v>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 t="s">
        <v>52</v>
      </c>
      <c r="B38" s="7">
        <f>VLOOKUP(A38,Tutors!A:B,2,0)</f>
        <v>896191427156</v>
      </c>
      <c r="C38" s="6" t="s">
        <v>11</v>
      </c>
      <c r="D38" s="6" t="s">
        <v>47</v>
      </c>
      <c r="E38" s="6" t="s">
        <v>9</v>
      </c>
      <c r="F38" s="8">
        <f>VLOOKUP(A38,Tutors!C:D,2,0)</f>
        <v>2440</v>
      </c>
      <c r="G38" s="8" t="str">
        <f>VLOOKUP(A38,Tutors!C:E,3,0)</f>
        <v>EG01-EG02-EG03</v>
      </c>
      <c r="H38" s="8" t="str">
        <f>VLOOKUP(A38,Tutors!A:F,6,0)</f>
        <v>emanali8134@gmail.com</v>
      </c>
      <c r="I38" s="8" t="str">
        <f>VLOOKUP(A38,Tutors!C:G,5,0)</f>
        <v>01282166883</v>
      </c>
      <c r="J38" s="8">
        <f>COUNTIFS(Active!C:C,A38)</f>
        <v>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 t="s">
        <v>53</v>
      </c>
      <c r="B39" s="7">
        <f>VLOOKUP(A39,Tutors!A:B,2,0)</f>
        <v>304149687570</v>
      </c>
      <c r="C39" s="6" t="s">
        <v>11</v>
      </c>
      <c r="D39" s="6" t="s">
        <v>47</v>
      </c>
      <c r="E39" s="6" t="s">
        <v>9</v>
      </c>
      <c r="F39" s="8">
        <f>VLOOKUP(A39,Tutors!C:D,2,0)</f>
        <v>2454</v>
      </c>
      <c r="G39" s="8" t="str">
        <f>VLOOKUP(A39,Tutors!C:E,3,0)</f>
        <v>EG01-EG02-EG03</v>
      </c>
      <c r="H39" s="8" t="str">
        <f>VLOOKUP(A39,Tutors!A:F,6,0)</f>
        <v>aya963539@gmail.com</v>
      </c>
      <c r="I39" s="8" t="str">
        <f>VLOOKUP(A39,Tutors!C:G,5,0)</f>
        <v>01064460758</v>
      </c>
      <c r="J39" s="8">
        <f>COUNTIFS(Active!C:C,A39)</f>
        <v>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 t="s">
        <v>54</v>
      </c>
      <c r="B40" s="7">
        <f>VLOOKUP(A40,Tutors!A:B,2,0)</f>
        <v>590135797239</v>
      </c>
      <c r="C40" s="6" t="s">
        <v>11</v>
      </c>
      <c r="D40" s="6" t="s">
        <v>47</v>
      </c>
      <c r="E40" s="6" t="s">
        <v>9</v>
      </c>
      <c r="F40" s="8">
        <f>VLOOKUP(A40,Tutors!C:D,2,0)</f>
        <v>2447</v>
      </c>
      <c r="G40" s="8" t="str">
        <f>VLOOKUP(A40,Tutors!C:E,3,0)</f>
        <v>EG01-EG02-EG03-EG04-EG05</v>
      </c>
      <c r="H40" s="8" t="str">
        <f>VLOOKUP(A40,Tutors!A:F,6,0)</f>
        <v>dinaradwan109@gmail.com</v>
      </c>
      <c r="I40" s="8" t="str">
        <f>VLOOKUP(A40,Tutors!C:G,5,0)</f>
        <v>01144211463</v>
      </c>
      <c r="J40" s="8">
        <f>COUNTIFS(Active!C:C,A40)</f>
        <v>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 t="s">
        <v>55</v>
      </c>
      <c r="B41" s="7">
        <f>VLOOKUP(A41,Tutors!A:B,2,0)</f>
        <v>142195036319</v>
      </c>
      <c r="C41" s="6" t="s">
        <v>11</v>
      </c>
      <c r="D41" s="6" t="s">
        <v>47</v>
      </c>
      <c r="E41" s="6" t="s">
        <v>9</v>
      </c>
      <c r="F41" s="8">
        <f>VLOOKUP(A41,Tutors!C:D,2,0)</f>
        <v>2445</v>
      </c>
      <c r="G41" s="8" t="str">
        <f>VLOOKUP(A41,Tutors!C:E,3,0)</f>
        <v>EG01-EG02-EG03-EG04-EG05-EG06</v>
      </c>
      <c r="H41" s="8" t="str">
        <f>VLOOKUP(A41,Tutors!A:F,6,0)</f>
        <v>somaiamohmed2050@gmail.com</v>
      </c>
      <c r="I41" s="8" t="str">
        <f>VLOOKUP(A41,Tutors!C:G,5,0)</f>
        <v>01096034557</v>
      </c>
      <c r="J41" s="8">
        <f>COUNTIFS(Active!C:C,A41)</f>
        <v>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 t="s">
        <v>56</v>
      </c>
      <c r="B42" s="7">
        <f>VLOOKUP(A42,Tutors!A:B,2,0)</f>
        <v>927186502806</v>
      </c>
      <c r="C42" s="6" t="s">
        <v>11</v>
      </c>
      <c r="D42" s="6" t="s">
        <v>47</v>
      </c>
      <c r="E42" s="6" t="s">
        <v>9</v>
      </c>
      <c r="F42" s="8">
        <f>VLOOKUP(A42,Tutors!C:D,2,0)</f>
        <v>2596</v>
      </c>
      <c r="G42" s="8" t="str">
        <f>VLOOKUP(A42,Tutors!C:E,3,0)</f>
        <v>EG01-EG02-EG03-EG04-EG05</v>
      </c>
      <c r="H42" s="8" t="str">
        <f>VLOOKUP(A42,Tutors!A:F,6,0)</f>
        <v>nourhan.fdel5@gmail.com</v>
      </c>
      <c r="I42" s="8" t="str">
        <f>VLOOKUP(A42,Tutors!C:G,5,0)</f>
        <v>01091234112</v>
      </c>
      <c r="J42" s="8">
        <f>COUNTIFS(Active!C:C,A42)</f>
        <v>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 t="s">
        <v>57</v>
      </c>
      <c r="B43" s="7">
        <f>VLOOKUP(A43,Tutors!A:B,2,0)</f>
        <v>498123203923</v>
      </c>
      <c r="C43" s="6" t="s">
        <v>11</v>
      </c>
      <c r="D43" s="6" t="s">
        <v>47</v>
      </c>
      <c r="E43" s="6" t="s">
        <v>9</v>
      </c>
      <c r="F43" s="8">
        <f>VLOOKUP(A43,Tutors!C:D,2,0)</f>
        <v>2055</v>
      </c>
      <c r="G43" s="8" t="str">
        <f>VLOOKUP(A43,Tutors!C:E,3,0)</f>
        <v>EG01-EG02-EG03</v>
      </c>
      <c r="H43" s="8" t="str">
        <f>VLOOKUP(A43,Tutors!A:F,6,0)</f>
        <v>mariamelgohary8@gmail.com</v>
      </c>
      <c r="I43" s="8" t="str">
        <f>VLOOKUP(A43,Tutors!C:G,5,0)</f>
        <v/>
      </c>
      <c r="J43" s="8">
        <f>COUNTIFS(Active!C:C,A43)</f>
        <v>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" t="s">
        <v>58</v>
      </c>
      <c r="B44" s="7">
        <f>VLOOKUP(A44,Tutors!A:B,2,0)</f>
        <v>206164640790</v>
      </c>
      <c r="C44" s="6" t="s">
        <v>11</v>
      </c>
      <c r="D44" s="6" t="s">
        <v>47</v>
      </c>
      <c r="E44" s="6" t="s">
        <v>9</v>
      </c>
      <c r="F44" s="8">
        <f>VLOOKUP(A44,Tutors!C:D,2,0)</f>
        <v>2623</v>
      </c>
      <c r="G44" s="8" t="str">
        <f>VLOOKUP(A44,Tutors!C:E,3,0)</f>
        <v>EG01-EG02-EG03-EG04-EG05-EG06</v>
      </c>
      <c r="H44" s="8" t="str">
        <f>VLOOKUP(A44,Tutors!A:F,6,0)</f>
        <v>yasmin.ihab.abdelwahed@hotmail.com</v>
      </c>
      <c r="I44" s="8" t="str">
        <f>VLOOKUP(A44,Tutors!C:G,5,0)</f>
        <v/>
      </c>
      <c r="J44" s="8">
        <f>COUNTIFS(Active!C:C,A44)</f>
        <v>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" t="s">
        <v>59</v>
      </c>
      <c r="B45" s="7">
        <f>VLOOKUP(A45,Tutors!A:B,2,0)</f>
        <v>852141603272</v>
      </c>
      <c r="C45" s="6" t="s">
        <v>11</v>
      </c>
      <c r="D45" s="6" t="s">
        <v>60</v>
      </c>
      <c r="E45" s="6" t="s">
        <v>9</v>
      </c>
      <c r="F45" s="9" t="str">
        <f>VLOOKUP(A45,Tutors!C:D,2,0)</f>
        <v>2179</v>
      </c>
      <c r="G45" s="8" t="str">
        <f>VLOOKUP(A45,Tutors!C:E,3,0)</f>
        <v>EG01-EG02</v>
      </c>
      <c r="H45" s="8" t="str">
        <f>VLOOKUP(A45,Tutors!A:F,6,0)</f>
        <v>shaimaa.nabil2410@gmail.com</v>
      </c>
      <c r="I45" s="8" t="str">
        <f>VLOOKUP(A45,Tutors!C:G,5,0)</f>
        <v>01013159595</v>
      </c>
      <c r="J45" s="8">
        <f>COUNTIFS(Active!C:C,A45)</f>
        <v>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 t="s">
        <v>61</v>
      </c>
      <c r="B46" s="7">
        <f>VLOOKUP(A46,Tutors!A:B,2,0)</f>
        <v>387193739376</v>
      </c>
      <c r="C46" s="6" t="s">
        <v>11</v>
      </c>
      <c r="D46" s="6" t="s">
        <v>60</v>
      </c>
      <c r="E46" s="6" t="s">
        <v>9</v>
      </c>
      <c r="F46" s="9" t="str">
        <f>VLOOKUP(A46,Tutors!C:D,2,0)</f>
        <v>2246</v>
      </c>
      <c r="G46" s="8" t="str">
        <f>VLOOKUP(A46,Tutors!C:E,3,0)</f>
        <v>EG01-EG02-EG03-EG04-EG05-EG06-</v>
      </c>
      <c r="H46" s="8" t="str">
        <f>VLOOKUP(A46,Tutors!A:F,6,0)</f>
        <v>yoyotamer2345@gmail.com</v>
      </c>
      <c r="I46" s="8" t="str">
        <f>VLOOKUP(A46,Tutors!C:G,5,0)</f>
        <v>01114556924</v>
      </c>
      <c r="J46" s="8">
        <f>COUNTIFS(Active!C:C,A46)</f>
        <v>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" t="s">
        <v>62</v>
      </c>
      <c r="B47" s="7">
        <f>VLOOKUP(A47,Tutors!A:B,2,0)</f>
        <v>162170576960</v>
      </c>
      <c r="C47" s="6" t="s">
        <v>11</v>
      </c>
      <c r="D47" s="6" t="s">
        <v>63</v>
      </c>
      <c r="E47" s="6" t="s">
        <v>9</v>
      </c>
      <c r="F47" s="9" t="str">
        <f>VLOOKUP(A47,Tutors!C:D,2,0)</f>
        <v>2215</v>
      </c>
      <c r="G47" s="8" t="str">
        <f>VLOOKUP(A47,Tutors!C:E,3,0)</f>
        <v/>
      </c>
      <c r="H47" s="8" t="str">
        <f>VLOOKUP(A47,Tutors!A:F,6,0)</f>
        <v>nermeensabry992@gmail.com</v>
      </c>
      <c r="I47" s="8" t="str">
        <f>VLOOKUP(A47,Tutors!C:G,5,0)</f>
        <v>01284529778</v>
      </c>
      <c r="J47" s="8">
        <f>COUNTIFS(Active!C:C,A47)</f>
        <v>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" t="s">
        <v>64</v>
      </c>
      <c r="B48" s="7">
        <f>VLOOKUP(A48,Tutors!A:B,2,0)</f>
        <v>797175802139</v>
      </c>
      <c r="C48" s="6" t="s">
        <v>11</v>
      </c>
      <c r="D48" s="6" t="s">
        <v>63</v>
      </c>
      <c r="E48" s="6" t="s">
        <v>9</v>
      </c>
      <c r="F48" s="9" t="str">
        <f>VLOOKUP(A48,Tutors!C:D,2,0)</f>
        <v>2266</v>
      </c>
      <c r="G48" s="8" t="str">
        <f>VLOOKUP(A48,Tutors!C:E,3,0)</f>
        <v/>
      </c>
      <c r="H48" s="8" t="str">
        <f>VLOOKUP(A48,Tutors!A:F,6,0)</f>
        <v>marmar.elmahdy@gmail.com</v>
      </c>
      <c r="I48" s="8" t="str">
        <f>VLOOKUP(A48,Tutors!C:G,5,0)</f>
        <v>01061732805-01289867044</v>
      </c>
      <c r="J48" s="8">
        <f>COUNTIFS(Active!C:C,A48)</f>
        <v>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" t="s">
        <v>65</v>
      </c>
      <c r="B49" s="7">
        <f>VLOOKUP(A49,Tutors!A:B,2,0)</f>
        <v>374143640395</v>
      </c>
      <c r="C49" s="6" t="s">
        <v>11</v>
      </c>
      <c r="D49" s="6" t="s">
        <v>63</v>
      </c>
      <c r="E49" s="6" t="s">
        <v>9</v>
      </c>
      <c r="F49" s="8">
        <f>VLOOKUP(A49,Tutors!C:D,2,0)</f>
        <v>2473</v>
      </c>
      <c r="G49" s="8" t="str">
        <f>VLOOKUP(A49,Tutors!C:E,3,0)</f>
        <v>EG01-EG02-EG03-EG04-EG05-EG06</v>
      </c>
      <c r="H49" s="8" t="str">
        <f>VLOOKUP(A49,Tutors!A:F,6,0)</f>
        <v>fatmalabib041@gmail.com</v>
      </c>
      <c r="I49" s="8" t="str">
        <f>VLOOKUP(A49,Tutors!C:G,5,0)</f>
        <v>01019758284</v>
      </c>
      <c r="J49" s="8">
        <f>COUNTIFS(Active!C:C,A49)</f>
        <v>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" t="s">
        <v>66</v>
      </c>
      <c r="B50" s="7">
        <f>VLOOKUP(A50,Tutors!A:B,2,0)</f>
        <v>318195473726</v>
      </c>
      <c r="C50" s="6" t="s">
        <v>11</v>
      </c>
      <c r="D50" s="6" t="s">
        <v>63</v>
      </c>
      <c r="E50" s="10" t="s">
        <v>9</v>
      </c>
      <c r="F50" s="8">
        <f>VLOOKUP(A50,Tutors!C:D,2,0)</f>
        <v>2072</v>
      </c>
      <c r="G50" s="8" t="str">
        <f>VLOOKUP(A50,Tutors!C:E,3,0)</f>
        <v>EG01-EG02-EG03</v>
      </c>
      <c r="H50" s="8" t="str">
        <f>VLOOKUP(A50,Tutors!A:F,6,0)</f>
        <v>hussienhelmy54@gmail.com</v>
      </c>
      <c r="I50" s="8" t="str">
        <f>VLOOKUP(A50,Tutors!C:G,5,0)</f>
        <v>01222364937</v>
      </c>
      <c r="J50" s="8">
        <f>COUNTIFS(Active!C:C,A50)</f>
        <v>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" t="s">
        <v>67</v>
      </c>
      <c r="B51" s="7">
        <f>VLOOKUP(A51,Tutors!A:B,2,0)</f>
        <v>310146136271</v>
      </c>
      <c r="C51" s="6" t="s">
        <v>11</v>
      </c>
      <c r="D51" s="6" t="s">
        <v>63</v>
      </c>
      <c r="E51" s="6" t="s">
        <v>13</v>
      </c>
      <c r="F51" s="8">
        <f>VLOOKUP(A51,Tutors!C:D,2,0)</f>
        <v>2702</v>
      </c>
      <c r="G51" s="8" t="str">
        <f>VLOOKUP(A51,Tutors!C:E,3,0)</f>
        <v>EG01-EG02-EG03-EG04-EG05-EG06</v>
      </c>
      <c r="H51" s="8" t="str">
        <f>VLOOKUP(A51,Tutors!A:F,6,0)</f>
        <v>nahlayousry6@gmail.com</v>
      </c>
      <c r="I51" s="8" t="str">
        <f>VLOOKUP(A51,Tutors!C:G,5,0)</f>
        <v/>
      </c>
      <c r="J51" s="8">
        <f>COUNTIFS(Active!C:C,A51)</f>
        <v>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" t="s">
        <v>68</v>
      </c>
      <c r="B52" s="7">
        <f>VLOOKUP(A52,Tutors!A:B,2,0)</f>
        <v>376107598539</v>
      </c>
      <c r="C52" s="6" t="s">
        <v>11</v>
      </c>
      <c r="D52" s="6" t="s">
        <v>69</v>
      </c>
      <c r="E52" s="6" t="s">
        <v>9</v>
      </c>
      <c r="F52" s="9" t="str">
        <f>VLOOKUP(A52,Tutors!C:D,2,0)</f>
        <v>2092</v>
      </c>
      <c r="G52" s="8" t="str">
        <f>VLOOKUP(A52,Tutors!C:E,3,0)</f>
        <v>EG01-EG02-EG03-EG04-EG05-EG06</v>
      </c>
      <c r="H52" s="8" t="str">
        <f>VLOOKUP(A52,Tutors!A:F,6,0)</f>
        <v>ibrahimtarek1412@gmail.com</v>
      </c>
      <c r="I52" s="8" t="str">
        <f>VLOOKUP(A52,Tutors!C:G,5,0)</f>
        <v/>
      </c>
      <c r="J52" s="8">
        <f>COUNTIFS(Active!C:C,A52)</f>
        <v>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" t="s">
        <v>70</v>
      </c>
      <c r="B53" s="7">
        <f>VLOOKUP(A53,Tutors!A:B,2,0)</f>
        <v>538160861310</v>
      </c>
      <c r="C53" s="6" t="s">
        <v>11</v>
      </c>
      <c r="D53" s="6" t="s">
        <v>69</v>
      </c>
      <c r="E53" s="6" t="s">
        <v>9</v>
      </c>
      <c r="F53" s="9" t="str">
        <f>VLOOKUP(A53,Tutors!C:D,2,0)</f>
        <v>2178</v>
      </c>
      <c r="G53" s="8" t="str">
        <f>VLOOKUP(A53,Tutors!C:E,3,0)</f>
        <v>EG01-EG02-EG03</v>
      </c>
      <c r="H53" s="8" t="str">
        <f>VLOOKUP(A53,Tutors!A:F,6,0)</f>
        <v>sara.mohmed409@gmail.com</v>
      </c>
      <c r="I53" s="8" t="str">
        <f>VLOOKUP(A53,Tutors!C:G,5,0)</f>
        <v>01155026319</v>
      </c>
      <c r="J53" s="8">
        <f>COUNTIFS(Active!C:C,A53)</f>
        <v>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" t="s">
        <v>71</v>
      </c>
      <c r="B54" s="7">
        <f>VLOOKUP(A54,Tutors!A:B,2,0)</f>
        <v>486125208283</v>
      </c>
      <c r="C54" s="6" t="s">
        <v>11</v>
      </c>
      <c r="D54" s="6" t="s">
        <v>69</v>
      </c>
      <c r="E54" s="6" t="s">
        <v>9</v>
      </c>
      <c r="F54" s="9" t="str">
        <f>VLOOKUP(A54,Tutors!C:D,2,0)</f>
        <v>2273</v>
      </c>
      <c r="G54" s="8" t="str">
        <f>VLOOKUP(A54,Tutors!C:E,3,0)</f>
        <v>EG01-EG02-EG03-EG04-EG05-EG06</v>
      </c>
      <c r="H54" s="8" t="str">
        <f>VLOOKUP(A54,Tutors!A:F,6,0)</f>
        <v>emanshaker81@gmail.com</v>
      </c>
      <c r="I54" s="8" t="str">
        <f>VLOOKUP(A54,Tutors!C:G,5,0)</f>
        <v>0201114924955</v>
      </c>
      <c r="J54" s="8">
        <f>COUNTIFS(Active!C:C,A54)</f>
        <v>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" t="s">
        <v>72</v>
      </c>
      <c r="B55" s="7">
        <f>VLOOKUP(A55,Tutors!A:B,2,0)</f>
        <v>689140818514</v>
      </c>
      <c r="C55" s="6" t="s">
        <v>11</v>
      </c>
      <c r="D55" s="6" t="s">
        <v>69</v>
      </c>
      <c r="E55" s="6" t="s">
        <v>9</v>
      </c>
      <c r="F55" s="9" t="str">
        <f>VLOOKUP(A55,Tutors!C:D,2,0)</f>
        <v>2278</v>
      </c>
      <c r="G55" s="8" t="str">
        <f>VLOOKUP(A55,Tutors!C:E,3,0)</f>
        <v>EG01-EG02-EG03-EG04-EG05-EG06</v>
      </c>
      <c r="H55" s="8" t="str">
        <f>VLOOKUP(A55,Tutors!A:F,6,0)</f>
        <v>douaazika@gmail.com</v>
      </c>
      <c r="I55" s="8" t="str">
        <f>VLOOKUP(A55,Tutors!C:G,5,0)</f>
        <v/>
      </c>
      <c r="J55" s="8">
        <f>COUNTIFS(Active!C:C,A55)</f>
        <v>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" t="s">
        <v>73</v>
      </c>
      <c r="B56" s="7">
        <f>VLOOKUP(A56,Tutors!A:B,2,0)</f>
        <v>948108182631</v>
      </c>
      <c r="C56" s="6" t="s">
        <v>11</v>
      </c>
      <c r="D56" s="6" t="s">
        <v>69</v>
      </c>
      <c r="E56" s="6" t="s">
        <v>9</v>
      </c>
      <c r="F56" s="9" t="str">
        <f>VLOOKUP(A56,Tutors!C:D,2,0)</f>
        <v>2321</v>
      </c>
      <c r="G56" s="7" t="s">
        <v>74</v>
      </c>
      <c r="H56" s="8" t="str">
        <f>VLOOKUP(A56,Tutors!A:F,6,0)</f>
        <v>myasmine116@gmail.com</v>
      </c>
      <c r="I56" s="8" t="str">
        <f>VLOOKUP(A56,Tutors!C:G,5,0)</f>
        <v>01015633019</v>
      </c>
      <c r="J56" s="8">
        <f>COUNTIFS(Active!C:C,A56)</f>
        <v>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" t="s">
        <v>75</v>
      </c>
      <c r="B57" s="7">
        <f>VLOOKUP(A57,Tutors!A:B,2,0)</f>
        <v>215195154738</v>
      </c>
      <c r="C57" s="6" t="s">
        <v>11</v>
      </c>
      <c r="D57" s="6" t="s">
        <v>69</v>
      </c>
      <c r="E57" s="6" t="s">
        <v>9</v>
      </c>
      <c r="F57" s="8">
        <f>VLOOKUP(A57,Tutors!C:D,2,0)</f>
        <v>2441</v>
      </c>
      <c r="G57" s="8" t="str">
        <f>VLOOKUP(A57,Tutors!C:E,3,0)</f>
        <v>EG01-EG02-EG03</v>
      </c>
      <c r="H57" s="8" t="str">
        <f>VLOOKUP(A57,Tutors!A:F,6,0)</f>
        <v>enjymokhtar.219@gmail.com</v>
      </c>
      <c r="I57" s="8" t="str">
        <f>VLOOKUP(A57,Tutors!C:G,5,0)</f>
        <v>01201521125</v>
      </c>
      <c r="J57" s="8">
        <f>COUNTIFS(Active!C:C,A57)</f>
        <v>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" t="s">
        <v>76</v>
      </c>
      <c r="B58" s="7">
        <f>VLOOKUP(A58,Tutors!A:B,2,0)</f>
        <v>257176871480</v>
      </c>
      <c r="C58" s="6" t="s">
        <v>11</v>
      </c>
      <c r="D58" s="6" t="s">
        <v>69</v>
      </c>
      <c r="E58" s="6" t="s">
        <v>9</v>
      </c>
      <c r="F58" s="8">
        <f>VLOOKUP(A58,Tutors!C:D,2,0)</f>
        <v>2461</v>
      </c>
      <c r="G58" s="8" t="str">
        <f>VLOOKUP(A58,Tutors!C:E,3,0)</f>
        <v>EG01-EG02-EG03</v>
      </c>
      <c r="H58" s="8" t="str">
        <f>VLOOKUP(A58,Tutors!A:F,6,0)</f>
        <v>shimaakamal553@gmail.com</v>
      </c>
      <c r="I58" s="8" t="str">
        <f>VLOOKUP(A58,Tutors!C:G,5,0)</f>
        <v>01157711782</v>
      </c>
      <c r="J58" s="8">
        <f>COUNTIFS(Active!C:C,A58)</f>
        <v>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" t="s">
        <v>77</v>
      </c>
      <c r="B59" s="7">
        <f>VLOOKUP(A59,Tutors!A:B,2,0)</f>
        <v>183129070275</v>
      </c>
      <c r="C59" s="6" t="s">
        <v>11</v>
      </c>
      <c r="D59" s="6" t="s">
        <v>69</v>
      </c>
      <c r="E59" s="6" t="s">
        <v>9</v>
      </c>
      <c r="F59" s="8">
        <f>VLOOKUP(A59,Tutors!C:D,2,0)</f>
        <v>2458</v>
      </c>
      <c r="G59" s="8" t="str">
        <f>VLOOKUP(A59,Tutors!C:E,3,0)</f>
        <v>EG01-EG02-EG03</v>
      </c>
      <c r="H59" s="8" t="str">
        <f>VLOOKUP(A59,Tutors!A:F,6,0)</f>
        <v>asmaakasem25@hotmail.com</v>
      </c>
      <c r="I59" s="8" t="str">
        <f>VLOOKUP(A59,Tutors!C:G,5,0)</f>
        <v>01100109067</v>
      </c>
      <c r="J59" s="8">
        <f>COUNTIFS(Active!C:C,A59)</f>
        <v>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" t="s">
        <v>78</v>
      </c>
      <c r="B60" s="7">
        <f>VLOOKUP(A60,Tutors!A:B,2,0)</f>
        <v>573149872824</v>
      </c>
      <c r="C60" s="6" t="s">
        <v>11</v>
      </c>
      <c r="D60" s="6" t="s">
        <v>69</v>
      </c>
      <c r="E60" s="6" t="s">
        <v>9</v>
      </c>
      <c r="F60" s="8">
        <f>VLOOKUP(A60,Tutors!C:D,2,0)</f>
        <v>2491</v>
      </c>
      <c r="G60" s="8" t="str">
        <f>VLOOKUP(A60,Tutors!C:E,3,0)</f>
        <v>EG01-EG02-EG03</v>
      </c>
      <c r="H60" s="8" t="str">
        <f>VLOOKUP(A60,Tutors!A:F,6,0)</f>
        <v>shimaahussain2@gmail.com</v>
      </c>
      <c r="I60" s="8" t="str">
        <f>VLOOKUP(A60,Tutors!C:G,5,0)</f>
        <v>01016634509</v>
      </c>
      <c r="J60" s="8">
        <f>COUNTIFS(Active!C:C,A60)</f>
        <v>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" t="s">
        <v>79</v>
      </c>
      <c r="B61" s="7">
        <f>VLOOKUP(A61,Tutors!A:B,2,0)</f>
        <v>974169434219</v>
      </c>
      <c r="C61" s="6" t="s">
        <v>11</v>
      </c>
      <c r="D61" s="6" t="s">
        <v>69</v>
      </c>
      <c r="E61" s="10" t="s">
        <v>9</v>
      </c>
      <c r="F61" s="8">
        <f>VLOOKUP(A61,Tutors!C:D,2,0)</f>
        <v>2448</v>
      </c>
      <c r="G61" s="8" t="str">
        <f>VLOOKUP(A61,Tutors!C:E,3,0)</f>
        <v>EG01-EG02-EG03</v>
      </c>
      <c r="H61" s="8" t="str">
        <f>VLOOKUP(A61,Tutors!A:F,6,0)</f>
        <v>manalabdelnaby10@gmail.com</v>
      </c>
      <c r="I61" s="8" t="str">
        <f>VLOOKUP(A61,Tutors!C:G,5,0)</f>
        <v/>
      </c>
      <c r="J61" s="8">
        <f>COUNTIFS(Active!C:C,A61)</f>
        <v>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" t="s">
        <v>80</v>
      </c>
      <c r="B62" s="7">
        <f>VLOOKUP(A62,Tutors!A:B,2,0)</f>
        <v>574161321575</v>
      </c>
      <c r="C62" s="6" t="s">
        <v>11</v>
      </c>
      <c r="D62" s="6" t="s">
        <v>69</v>
      </c>
      <c r="E62" s="6" t="s">
        <v>9</v>
      </c>
      <c r="F62" s="8">
        <f>VLOOKUP(A62,Tutors!C:D,2,0)</f>
        <v>2581</v>
      </c>
      <c r="G62" s="8" t="str">
        <f>VLOOKUP(A62,Tutors!C:E,3,0)</f>
        <v>EG01-EG02-EG03</v>
      </c>
      <c r="H62" s="8" t="str">
        <f>VLOOKUP(A62,Tutors!A:F,6,0)</f>
        <v>shimosoliman4016@gmail.com</v>
      </c>
      <c r="I62" s="8" t="str">
        <f>VLOOKUP(A62,Tutors!C:G,5,0)</f>
        <v/>
      </c>
      <c r="J62" s="8">
        <f>COUNTIFS(Active!C:C,A62)</f>
        <v>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" t="s">
        <v>81</v>
      </c>
      <c r="B63" s="7">
        <f>VLOOKUP(A63,Tutors!A:B,2,0)</f>
        <v>879135754897</v>
      </c>
      <c r="C63" s="6" t="s">
        <v>11</v>
      </c>
      <c r="D63" s="6" t="s">
        <v>69</v>
      </c>
      <c r="E63" s="6" t="s">
        <v>9</v>
      </c>
      <c r="F63" s="8">
        <f>VLOOKUP(A63,Tutors!C:D,2,0)</f>
        <v>2619</v>
      </c>
      <c r="G63" s="8" t="str">
        <f>VLOOKUP(A63,Tutors!C:E,3,0)</f>
        <v>EG01-EG02-EG03</v>
      </c>
      <c r="H63" s="8" t="str">
        <f>VLOOKUP(A63,Tutors!A:F,6,0)</f>
        <v>amanianas217@gmail.com</v>
      </c>
      <c r="I63" s="8" t="str">
        <f>VLOOKUP(A63,Tutors!C:G,5,0)</f>
        <v>01001014795</v>
      </c>
      <c r="J63" s="8">
        <f>COUNTIFS(Active!C:C,A63)</f>
        <v>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" t="s">
        <v>82</v>
      </c>
      <c r="B64" s="7">
        <f>VLOOKUP(A64,Tutors!A:B,2,0)</f>
        <v>865163793520</v>
      </c>
      <c r="C64" s="6" t="s">
        <v>11</v>
      </c>
      <c r="D64" s="6" t="s">
        <v>69</v>
      </c>
      <c r="E64" s="6" t="s">
        <v>9</v>
      </c>
      <c r="F64" s="8">
        <f>VLOOKUP(A64,Tutors!C:D,2,0)</f>
        <v>2703</v>
      </c>
      <c r="G64" s="8" t="str">
        <f>VLOOKUP(A64,Tutors!C:E,3,0)</f>
        <v>EG01-EG02-EG03-EG04</v>
      </c>
      <c r="H64" s="8" t="str">
        <f>VLOOKUP(A64,Tutors!A:F,6,0)</f>
        <v>alaa.work91@gmail.com</v>
      </c>
      <c r="I64" s="8">
        <f>VLOOKUP(A64,Tutors!C:G,5,0)</f>
        <v>1006108593</v>
      </c>
      <c r="J64" s="8">
        <f>COUNTIFS(Active!C:C,A64)</f>
        <v>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" t="s">
        <v>83</v>
      </c>
      <c r="B65" s="7">
        <f>VLOOKUP(A65,Tutors!A:B,2,0)</f>
        <v>923168406232</v>
      </c>
      <c r="C65" s="6" t="s">
        <v>11</v>
      </c>
      <c r="D65" s="6" t="s">
        <v>69</v>
      </c>
      <c r="E65" s="6" t="s">
        <v>9</v>
      </c>
      <c r="F65" s="8">
        <f>VLOOKUP(A65,Tutors!C:D,2,0)</f>
        <v>2735</v>
      </c>
      <c r="G65" s="8" t="str">
        <f>VLOOKUP(A65,Tutors!C:E,3,0)</f>
        <v>EG01-EG02-EG03-EG04-EG05-EG06</v>
      </c>
      <c r="H65" s="8" t="str">
        <f>VLOOKUP(A65,Tutors!A:F,6,0)</f>
        <v>sosajojo29@gmail.com</v>
      </c>
      <c r="I65" s="8" t="str">
        <f>VLOOKUP(A65,Tutors!C:G,5,0)</f>
        <v>01211339318</v>
      </c>
      <c r="J65" s="8">
        <f>COUNTIFS(Active!C:C,A65)</f>
        <v>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" t="s">
        <v>84</v>
      </c>
      <c r="B66" s="7">
        <f>VLOOKUP(A66,Tutors!A:B,2,0)</f>
        <v>762178172726</v>
      </c>
      <c r="C66" s="6" t="s">
        <v>11</v>
      </c>
      <c r="D66" s="6" t="s">
        <v>69</v>
      </c>
      <c r="E66" s="6" t="s">
        <v>9</v>
      </c>
      <c r="F66" s="8">
        <f>VLOOKUP(A66,Tutors!C:D,2,0)</f>
        <v>2720</v>
      </c>
      <c r="G66" s="8" t="str">
        <f>VLOOKUP(A66,Tutors!C:E,3,0)</f>
        <v>EG01-EG02-EG03-EG04-EG05-EG06</v>
      </c>
      <c r="H66" s="8" t="str">
        <f>VLOOKUP(A66,Tutors!A:F,6,0)</f>
        <v>zeinabsamirsamir@gmail.com</v>
      </c>
      <c r="I66" s="8" t="str">
        <f>VLOOKUP(A66,Tutors!C:G,5,0)</f>
        <v/>
      </c>
      <c r="J66" s="8">
        <f>COUNTIFS(Active!C:C,A66)</f>
        <v>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" t="s">
        <v>85</v>
      </c>
      <c r="B67" s="7">
        <f>VLOOKUP(A67,Tutors!A:B,2,0)</f>
        <v>962134062378</v>
      </c>
      <c r="C67" s="6" t="s">
        <v>86</v>
      </c>
      <c r="D67" s="6" t="s">
        <v>25</v>
      </c>
      <c r="E67" s="6" t="s">
        <v>9</v>
      </c>
      <c r="F67" s="9" t="str">
        <f>VLOOKUP(A67,Tutors!C:D,2,0)</f>
        <v>1963</v>
      </c>
      <c r="G67" s="8" t="str">
        <f>VLOOKUP(A67,Tutors!C:E,3,0)</f>
        <v/>
      </c>
      <c r="H67" s="8" t="str">
        <f>VLOOKUP(A67,Tutors!A:F,6,0)</f>
        <v>amiraghth@gmail.com</v>
      </c>
      <c r="I67" s="8" t="str">
        <f>VLOOKUP(A67,Tutors!C:G,5,0)</f>
        <v>01119682313</v>
      </c>
      <c r="J67" s="8">
        <f>COUNTIFS(Active!C:C,A67)</f>
        <v>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" t="s">
        <v>87</v>
      </c>
      <c r="B68" s="7">
        <f>VLOOKUP(A68,Tutors!A:B,2,0)</f>
        <v>403165323978</v>
      </c>
      <c r="C68" s="6" t="s">
        <v>86</v>
      </c>
      <c r="D68" s="6" t="s">
        <v>25</v>
      </c>
      <c r="E68" s="6" t="s">
        <v>9</v>
      </c>
      <c r="F68" s="9" t="str">
        <f>VLOOKUP(A68,Tutors!C:D,2,0)</f>
        <v>1990</v>
      </c>
      <c r="G68" s="8" t="str">
        <f>VLOOKUP(A68,Tutors!C:E,3,0)</f>
        <v/>
      </c>
      <c r="H68" s="8" t="str">
        <f>VLOOKUP(A68,Tutors!A:F,6,0)</f>
        <v>tahaeldaowdy@gmail.com</v>
      </c>
      <c r="I68" s="8" t="str">
        <f>VLOOKUP(A68,Tutors!C:G,5,0)</f>
        <v>+201119688644</v>
      </c>
      <c r="J68" s="8">
        <f>COUNTIFS(Active!C:C,A68)</f>
        <v>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" t="s">
        <v>88</v>
      </c>
      <c r="B69" s="7">
        <f>VLOOKUP(A69,Tutors!A:B,2,0)</f>
        <v>162140810204</v>
      </c>
      <c r="C69" s="6" t="s">
        <v>86</v>
      </c>
      <c r="D69" s="6" t="s">
        <v>25</v>
      </c>
      <c r="E69" s="6" t="s">
        <v>9</v>
      </c>
      <c r="F69" s="9" t="str">
        <f>VLOOKUP(A69,Tutors!C:D,2,0)</f>
        <v>2153</v>
      </c>
      <c r="G69" s="8" t="str">
        <f>VLOOKUP(A69,Tutors!C:E,3,0)</f>
        <v/>
      </c>
      <c r="H69" s="8" t="str">
        <f>VLOOKUP(A69,Tutors!A:F,6,0)</f>
        <v>der7afer@gmail.com</v>
      </c>
      <c r="I69" s="8" t="str">
        <f>VLOOKUP(A69,Tutors!C:G,5,0)</f>
        <v>01145433963</v>
      </c>
      <c r="J69" s="8">
        <f>COUNTIFS(Active!C:C,A69)</f>
        <v>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" t="s">
        <v>89</v>
      </c>
      <c r="B70" s="7">
        <f>VLOOKUP(A70,Tutors!A:B,2,0)</f>
        <v>457195859749</v>
      </c>
      <c r="C70" s="6" t="s">
        <v>86</v>
      </c>
      <c r="D70" s="6" t="s">
        <v>25</v>
      </c>
      <c r="E70" s="6" t="s">
        <v>13</v>
      </c>
      <c r="F70" s="9">
        <f>VLOOKUP(A70,Tutors!C:D,2,0)</f>
        <v>2311</v>
      </c>
      <c r="G70" s="8" t="str">
        <f>VLOOKUP(A70,Tutors!C:E,3,0)</f>
        <v/>
      </c>
      <c r="H70" s="8" t="str">
        <f>VLOOKUP(A70,Tutors!A:F,6,0)</f>
        <v>eman.ismail89@gmail.com</v>
      </c>
      <c r="I70" s="8" t="str">
        <f>VLOOKUP(A70,Tutors!C:G,5,0)</f>
        <v>01098433794</v>
      </c>
      <c r="J70" s="8">
        <f>COUNTIFS(Active!C:C,A70)</f>
        <v>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" t="s">
        <v>90</v>
      </c>
      <c r="B71" s="7">
        <f>VLOOKUP(A71,Tutors!A:B,2,0)</f>
        <v>285101463697</v>
      </c>
      <c r="C71" s="6" t="s">
        <v>86</v>
      </c>
      <c r="D71" s="6" t="s">
        <v>25</v>
      </c>
      <c r="E71" s="6" t="s">
        <v>9</v>
      </c>
      <c r="F71" s="8">
        <f>VLOOKUP(A71,Tutors!C:D,2,0)</f>
        <v>2357</v>
      </c>
      <c r="G71" s="8" t="str">
        <f>VLOOKUP(A71,Tutors!C:E,3,0)</f>
        <v>EG04-EG05-EG06-EG07-EG08-EG09</v>
      </c>
      <c r="H71" s="8" t="str">
        <f>VLOOKUP(A71,Tutors!A:F,6,0)</f>
        <v>elsayeddina@hotmail.com</v>
      </c>
      <c r="I71" s="8" t="str">
        <f>VLOOKUP(A71,Tutors!C:G,5,0)</f>
        <v>01114432985</v>
      </c>
      <c r="J71" s="8">
        <f>COUNTIFS(Active!C:C,A71)</f>
        <v>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" t="s">
        <v>91</v>
      </c>
      <c r="B72" s="7">
        <f>VLOOKUP(A72,Tutors!A:B,2,0)</f>
        <v>958105146807</v>
      </c>
      <c r="C72" s="6" t="s">
        <v>86</v>
      </c>
      <c r="D72" s="6" t="s">
        <v>25</v>
      </c>
      <c r="E72" s="6" t="s">
        <v>9</v>
      </c>
      <c r="F72" s="8">
        <f>VLOOKUP(A72,Tutors!C:D,2,0)</f>
        <v>2401</v>
      </c>
      <c r="G72" s="8" t="str">
        <f>VLOOKUP(A72,Tutors!C:E,3,0)</f>
        <v>EG04-EG05-EG06-EG07-EG08-EG09</v>
      </c>
      <c r="H72" s="8" t="str">
        <f>VLOOKUP(A72,Tutors!A:F,6,0)</f>
        <v>raldeeb.hesham@gmail.com</v>
      </c>
      <c r="I72" s="8" t="str">
        <f>VLOOKUP(A72,Tutors!C:G,5,0)</f>
        <v>01010014454</v>
      </c>
      <c r="J72" s="8">
        <f>COUNTIFS(Active!C:C,A72)</f>
        <v>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" t="s">
        <v>92</v>
      </c>
      <c r="B73" s="7">
        <f>VLOOKUP(A73,Tutors!A:B,2,0)</f>
        <v>315145768378</v>
      </c>
      <c r="C73" s="6" t="s">
        <v>86</v>
      </c>
      <c r="D73" s="6" t="s">
        <v>25</v>
      </c>
      <c r="E73" s="6" t="s">
        <v>9</v>
      </c>
      <c r="F73" s="8">
        <f>VLOOKUP(A73,Tutors!C:D,2,0)</f>
        <v>2421</v>
      </c>
      <c r="G73" s="8" t="str">
        <f>VLOOKUP(A73,Tutors!C:E,3,0)</f>
        <v>EG04-EG05-EG06-EG07-EG08-EG09</v>
      </c>
      <c r="H73" s="8" t="str">
        <f>VLOOKUP(A73,Tutors!A:F,6,0)</f>
        <v>maram.tareq1988@gmail.com</v>
      </c>
      <c r="I73" s="8" t="str">
        <f>VLOOKUP(A73,Tutors!C:G,5,0)</f>
        <v>01550116087</v>
      </c>
      <c r="J73" s="8">
        <f>COUNTIFS(Active!C:C,A73)</f>
        <v>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" t="s">
        <v>93</v>
      </c>
      <c r="B74" s="7">
        <f>VLOOKUP(A74,Tutors!A:B,2,0)</f>
        <v>234189763426</v>
      </c>
      <c r="C74" s="6" t="s">
        <v>86</v>
      </c>
      <c r="D74" s="6" t="s">
        <v>25</v>
      </c>
      <c r="E74" s="6" t="s">
        <v>9</v>
      </c>
      <c r="F74" s="8">
        <f>VLOOKUP(A74,Tutors!C:D,2,0)</f>
        <v>2426</v>
      </c>
      <c r="G74" s="8" t="str">
        <f>VLOOKUP(A74,Tutors!C:E,3,0)</f>
        <v>EG04-EG05-EG06-EG07-EG08-EG09</v>
      </c>
      <c r="H74" s="8" t="str">
        <f>VLOOKUP(A74,Tutors!A:F,6,0)</f>
        <v>efouad774@gmail.com</v>
      </c>
      <c r="I74" s="8" t="str">
        <f>VLOOKUP(A74,Tutors!C:G,5,0)</f>
        <v>01203102091</v>
      </c>
      <c r="J74" s="8">
        <f>COUNTIFS(Active!C:C,A74)</f>
        <v>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" t="s">
        <v>94</v>
      </c>
      <c r="B75" s="7">
        <f>VLOOKUP(A75,Tutors!A:B,2,0)</f>
        <v>284156708018</v>
      </c>
      <c r="C75" s="6" t="s">
        <v>86</v>
      </c>
      <c r="D75" s="6" t="s">
        <v>25</v>
      </c>
      <c r="E75" s="6" t="s">
        <v>9</v>
      </c>
      <c r="F75" s="8">
        <f>VLOOKUP(A75,Tutors!C:D,2,0)</f>
        <v>2439</v>
      </c>
      <c r="G75" s="8" t="str">
        <f>VLOOKUP(A75,Tutors!C:E,3,0)</f>
        <v>EG04-EG05-EG06-EG07</v>
      </c>
      <c r="H75" s="8" t="str">
        <f>VLOOKUP(A75,Tutors!A:F,6,0)</f>
        <v>doaa.aboelhadid@gmail.com</v>
      </c>
      <c r="I75" s="8" t="str">
        <f>VLOOKUP(A75,Tutors!C:G,5,0)</f>
        <v>01090759683</v>
      </c>
      <c r="J75" s="8">
        <f>COUNTIFS(Active!C:C,A75)</f>
        <v>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" t="s">
        <v>95</v>
      </c>
      <c r="B76" s="7">
        <f>VLOOKUP(A76,Tutors!A:B,2,0)</f>
        <v>574109525960</v>
      </c>
      <c r="C76" s="6" t="s">
        <v>86</v>
      </c>
      <c r="D76" s="6" t="s">
        <v>25</v>
      </c>
      <c r="E76" s="6" t="s">
        <v>13</v>
      </c>
      <c r="F76" s="8">
        <f>VLOOKUP(A76,Tutors!C:D,2,0)</f>
        <v>2471</v>
      </c>
      <c r="G76" s="8" t="str">
        <f>VLOOKUP(A76,Tutors!C:E,3,0)</f>
        <v>EG04-EG05-EG06-EG07-EG08-EG09</v>
      </c>
      <c r="H76" s="8" t="str">
        <f>VLOOKUP(A76,Tutors!A:F,6,0)</f>
        <v>sherin.mohamed.hafez@gmail.com</v>
      </c>
      <c r="I76" s="8" t="str">
        <f>VLOOKUP(A76,Tutors!C:G,5,0)</f>
        <v>01017179234</v>
      </c>
      <c r="J76" s="8">
        <f>COUNTIFS(Active!C:C,A76)</f>
        <v>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" t="s">
        <v>96</v>
      </c>
      <c r="B77" s="7">
        <f>VLOOKUP(A77,Tutors!A:B,2,0)</f>
        <v>204103586289</v>
      </c>
      <c r="C77" s="6" t="s">
        <v>86</v>
      </c>
      <c r="D77" s="6" t="s">
        <v>25</v>
      </c>
      <c r="E77" s="6" t="s">
        <v>9</v>
      </c>
      <c r="F77" s="8">
        <f>VLOOKUP(A77,Tutors!C:D,2,0)</f>
        <v>2550</v>
      </c>
      <c r="G77" s="8" t="str">
        <f>VLOOKUP(A77,Tutors!C:E,3,0)</f>
        <v>EG03-EG04-EG05-EG06</v>
      </c>
      <c r="H77" s="8" t="str">
        <f>VLOOKUP(A77,Tutors!A:F,6,0)</f>
        <v>eh718010@gmail.com</v>
      </c>
      <c r="I77" s="8" t="str">
        <f>VLOOKUP(A77,Tutors!C:G,5,0)</f>
        <v>01011118294</v>
      </c>
      <c r="J77" s="8">
        <f>COUNTIFS(Active!C:C,A77)</f>
        <v>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" t="s">
        <v>97</v>
      </c>
      <c r="B78" s="7">
        <f>VLOOKUP(A78,Tutors!A:B,2,0)</f>
        <v>203175727593</v>
      </c>
      <c r="C78" s="6" t="s">
        <v>86</v>
      </c>
      <c r="D78" s="6" t="s">
        <v>25</v>
      </c>
      <c r="E78" s="6" t="s">
        <v>9</v>
      </c>
      <c r="F78" s="8">
        <f>VLOOKUP(A78,Tutors!C:D,2,0)</f>
        <v>2626</v>
      </c>
      <c r="G78" s="8" t="str">
        <f>VLOOKUP(A78,Tutors!C:E,3,0)</f>
        <v>EG04-EG05-EG06</v>
      </c>
      <c r="H78" s="8" t="str">
        <f>VLOOKUP(A78,Tutors!A:F,6,0)</f>
        <v>ms3455672@gmail.com</v>
      </c>
      <c r="I78" s="8" t="str">
        <f>VLOOKUP(A78,Tutors!C:G,5,0)</f>
        <v>01068974535</v>
      </c>
      <c r="J78" s="8">
        <f>COUNTIFS(Active!C:C,A78)</f>
        <v>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" t="s">
        <v>98</v>
      </c>
      <c r="B79" s="7">
        <f>VLOOKUP(A79,Tutors!A:B,2,0)</f>
        <v>276184302392</v>
      </c>
      <c r="C79" s="6" t="s">
        <v>86</v>
      </c>
      <c r="D79" s="6" t="s">
        <v>25</v>
      </c>
      <c r="E79" s="6" t="s">
        <v>9</v>
      </c>
      <c r="F79" s="8">
        <f>VLOOKUP(A79,Tutors!C:D,2,0)</f>
        <v>2557</v>
      </c>
      <c r="G79" s="8" t="str">
        <f>VLOOKUP(A79,Tutors!C:E,3,0)</f>
        <v>EG04-EG05-EG06</v>
      </c>
      <c r="H79" s="8" t="str">
        <f>VLOOKUP(A79,Tutors!A:F,6,0)</f>
        <v>nourhanemad92@gmail.com</v>
      </c>
      <c r="I79" s="8" t="str">
        <f>VLOOKUP(A79,Tutors!C:G,5,0)</f>
        <v>01007704272</v>
      </c>
      <c r="J79" s="8">
        <f>COUNTIFS(Active!C:C,A79)</f>
        <v>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" t="s">
        <v>99</v>
      </c>
      <c r="B80" s="7">
        <f>VLOOKUP(A80,Tutors!A:B,2,0)</f>
        <v>165185273620</v>
      </c>
      <c r="C80" s="6" t="s">
        <v>86</v>
      </c>
      <c r="D80" s="6" t="s">
        <v>25</v>
      </c>
      <c r="E80" s="6" t="s">
        <v>9</v>
      </c>
      <c r="F80" s="8">
        <f>VLOOKUP(A80,Tutors!C:D,2,0)</f>
        <v>2617</v>
      </c>
      <c r="G80" s="8" t="str">
        <f>VLOOKUP(A80,Tutors!C:E,3,0)</f>
        <v>EG04-EG05-EG06-EG07-EG08-EG09</v>
      </c>
      <c r="H80" s="8" t="str">
        <f>VLOOKUP(A80,Tutors!A:F,6,0)</f>
        <v>rihamaql@gmail.com</v>
      </c>
      <c r="I80" s="8" t="str">
        <f>VLOOKUP(A80,Tutors!C:G,5,0)</f>
        <v/>
      </c>
      <c r="J80" s="8">
        <f>COUNTIFS(Active!C:C,A80)</f>
        <v>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" t="s">
        <v>100</v>
      </c>
      <c r="B81" s="7">
        <f>VLOOKUP(A81,Tutors!A:B,2,0)</f>
        <v>494132147854</v>
      </c>
      <c r="C81" s="6" t="s">
        <v>86</v>
      </c>
      <c r="D81" s="6" t="s">
        <v>25</v>
      </c>
      <c r="E81" s="6" t="s">
        <v>9</v>
      </c>
      <c r="F81" s="8">
        <f>VLOOKUP(A81,Tutors!C:D,2,0)</f>
        <v>2644</v>
      </c>
      <c r="G81" s="8" t="str">
        <f>VLOOKUP(A81,Tutors!C:E,3,0)</f>
        <v>EG04-EG05-EG06-EG07-EG08-EG09</v>
      </c>
      <c r="H81" s="8" t="str">
        <f>VLOOKUP(A81,Tutors!A:F,6,0)</f>
        <v>sarahadel25@gmail.com</v>
      </c>
      <c r="I81" s="8" t="str">
        <f>VLOOKUP(A81,Tutors!C:G,5,0)</f>
        <v>01221284747</v>
      </c>
      <c r="J81" s="8">
        <f>COUNTIFS(Active!C:C,A81)</f>
        <v>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" t="s">
        <v>101</v>
      </c>
      <c r="B82" s="7">
        <f>VLOOKUP(A82,Tutors!A:B,2,0)</f>
        <v>179182107469</v>
      </c>
      <c r="C82" s="6" t="s">
        <v>86</v>
      </c>
      <c r="D82" s="6" t="s">
        <v>25</v>
      </c>
      <c r="E82" s="6" t="s">
        <v>9</v>
      </c>
      <c r="F82" s="8">
        <f>VLOOKUP(A82,Tutors!C:D,2,0)</f>
        <v>2676</v>
      </c>
      <c r="G82" s="8" t="str">
        <f>VLOOKUP(A82,Tutors!C:E,3,0)</f>
        <v>EG04-EG05-EG06</v>
      </c>
      <c r="H82" s="8" t="str">
        <f>VLOOKUP(A82,Tutors!A:F,6,0)</f>
        <v>ettmanmostafa@gmail.com</v>
      </c>
      <c r="I82" s="8" t="str">
        <f>VLOOKUP(A82,Tutors!C:G,5,0)</f>
        <v>01002002430</v>
      </c>
      <c r="J82" s="8">
        <f>COUNTIFS(Active!C:C,A82)</f>
        <v>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" t="s">
        <v>102</v>
      </c>
      <c r="B83" s="7">
        <f>VLOOKUP(A83,Tutors!A:B,2,0)</f>
        <v>390140483239</v>
      </c>
      <c r="C83" s="6" t="s">
        <v>86</v>
      </c>
      <c r="D83" s="6" t="s">
        <v>25</v>
      </c>
      <c r="E83" s="6" t="s">
        <v>9</v>
      </c>
      <c r="F83" s="8">
        <f>VLOOKUP(A83,Tutors!C:D,2,0)</f>
        <v>2671</v>
      </c>
      <c r="G83" s="8" t="str">
        <f>VLOOKUP(A83,Tutors!C:E,3,0)</f>
        <v>EG04-EG05-EG06</v>
      </c>
      <c r="H83" s="8" t="str">
        <f>VLOOKUP(A83,Tutors!A:F,6,0)</f>
        <v>narimanelshaer29@gmail.com</v>
      </c>
      <c r="I83" s="8" t="str">
        <f>VLOOKUP(A83,Tutors!C:G,5,0)</f>
        <v>01068481234</v>
      </c>
      <c r="J83" s="8">
        <f>COUNTIFS(Active!C:C,A83)</f>
        <v>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" t="s">
        <v>103</v>
      </c>
      <c r="B84" s="7">
        <f>VLOOKUP(A84,Tutors!A:B,2,0)</f>
        <v>302164164286</v>
      </c>
      <c r="C84" s="6" t="s">
        <v>86</v>
      </c>
      <c r="D84" s="6" t="s">
        <v>25</v>
      </c>
      <c r="E84" s="10" t="s">
        <v>9</v>
      </c>
      <c r="F84" s="8">
        <f>VLOOKUP(A84,Tutors!C:D,2,0)</f>
        <v>2685</v>
      </c>
      <c r="G84" s="8" t="str">
        <f>VLOOKUP(A84,Tutors!C:E,3,0)</f>
        <v>EG04-EG05</v>
      </c>
      <c r="H84" s="8" t="str">
        <f>VLOOKUP(A84,Tutors!A:F,6,0)</f>
        <v>yasmin.t.zaki@gmail.com</v>
      </c>
      <c r="I84" s="8" t="str">
        <f>VLOOKUP(A84,Tutors!C:G,5,0)</f>
        <v/>
      </c>
      <c r="J84" s="8">
        <f>COUNTIFS(Active!C:C,A84)</f>
        <v>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" t="s">
        <v>104</v>
      </c>
      <c r="B85" s="7">
        <f>VLOOKUP(A85,Tutors!A:B,2,0)</f>
        <v>102186959703</v>
      </c>
      <c r="C85" s="6" t="s">
        <v>86</v>
      </c>
      <c r="D85" s="6" t="s">
        <v>25</v>
      </c>
      <c r="E85" s="10" t="s">
        <v>9</v>
      </c>
      <c r="F85" s="8">
        <f>VLOOKUP(A85,Tutors!C:D,2,0)</f>
        <v>2684</v>
      </c>
      <c r="G85" s="8" t="str">
        <f>VLOOKUP(A85,Tutors!C:E,3,0)</f>
        <v>EG04-EG05-EG06-7-8</v>
      </c>
      <c r="H85" s="8" t="str">
        <f>VLOOKUP(A85,Tutors!A:F,6,0)</f>
        <v>amrmowafy2025@gmail.com</v>
      </c>
      <c r="I85" s="8" t="str">
        <f>VLOOKUP(A85,Tutors!C:G,5,0)</f>
        <v>01004917420</v>
      </c>
      <c r="J85" s="8">
        <f>COUNTIFS(Active!C:C,A85)</f>
        <v>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" t="s">
        <v>105</v>
      </c>
      <c r="B86" s="7">
        <f>VLOOKUP(A86,Tutors!A:B,2,0)</f>
        <v>435167307015</v>
      </c>
      <c r="C86" s="6" t="s">
        <v>86</v>
      </c>
      <c r="D86" s="6" t="s">
        <v>25</v>
      </c>
      <c r="E86" s="6" t="s">
        <v>35</v>
      </c>
      <c r="F86" s="8">
        <f>VLOOKUP(A86,Tutors!C:D,2,0)</f>
        <v>2723</v>
      </c>
      <c r="G86" s="8" t="str">
        <f>VLOOKUP(A86,Tutors!C:E,3,0)</f>
        <v>EG04-EG05-EG06</v>
      </c>
      <c r="H86" s="8" t="str">
        <f>VLOOKUP(A86,Tutors!A:F,6,0)</f>
        <v>nadasiam055@gmail.com</v>
      </c>
      <c r="I86" s="8" t="str">
        <f>VLOOKUP(A86,Tutors!C:G,5,0)</f>
        <v>01025277618</v>
      </c>
      <c r="J86" s="8">
        <f>COUNTIFS(Active!C:C,A86)</f>
        <v>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" t="s">
        <v>106</v>
      </c>
      <c r="B87" s="7">
        <f>VLOOKUP(A87,Tutors!A:B,2,0)</f>
        <v>219178041630</v>
      </c>
      <c r="C87" s="6" t="s">
        <v>86</v>
      </c>
      <c r="D87" s="6" t="s">
        <v>25</v>
      </c>
      <c r="E87" s="10" t="s">
        <v>9</v>
      </c>
      <c r="F87" s="8">
        <f>VLOOKUP(A87,Tutors!C:D,2,0)</f>
        <v>2686</v>
      </c>
      <c r="G87" s="8" t="str">
        <f>VLOOKUP(A87,Tutors!C:E,3,0)</f>
        <v>EG04-EG05-EG06 </v>
      </c>
      <c r="H87" s="8" t="str">
        <f>VLOOKUP(A87,Tutors!A:F,6,0)</f>
        <v>nagwaneweir@gmail.com</v>
      </c>
      <c r="I87" s="8" t="str">
        <f>VLOOKUP(A87,Tutors!C:G,5,0)</f>
        <v>01000321191</v>
      </c>
      <c r="J87" s="8">
        <f>COUNTIFS(Active!C:C,A87)</f>
        <v>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" t="s">
        <v>107</v>
      </c>
      <c r="B88" s="7">
        <f>VLOOKUP(A88,Tutors!A:B,2,0)</f>
        <v>643120708265</v>
      </c>
      <c r="C88" s="6" t="s">
        <v>86</v>
      </c>
      <c r="D88" s="6" t="s">
        <v>25</v>
      </c>
      <c r="E88" s="6" t="s">
        <v>9</v>
      </c>
      <c r="F88" s="8">
        <f>VLOOKUP(A88,Tutors!C:D,2,0)</f>
        <v>2698</v>
      </c>
      <c r="G88" s="8" t="str">
        <f>VLOOKUP(A88,Tutors!C:E,3,0)</f>
        <v>EG04-EG05-EG06-EG07-EG08-EG09</v>
      </c>
      <c r="H88" s="8" t="str">
        <f>VLOOKUP(A88,Tutors!A:F,6,0)</f>
        <v>peter.hanna.said@gmail.com</v>
      </c>
      <c r="I88" s="8" t="str">
        <f>VLOOKUP(A88,Tutors!C:G,5,0)</f>
        <v>01023587845</v>
      </c>
      <c r="J88" s="8">
        <f>COUNTIFS(Active!C:C,A88)</f>
        <v>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" t="s">
        <v>108</v>
      </c>
      <c r="B89" s="7">
        <f>VLOOKUP(A89,Tutors!A:B,2,0)</f>
        <v>424185416756</v>
      </c>
      <c r="C89" s="6" t="s">
        <v>86</v>
      </c>
      <c r="D89" s="6" t="s">
        <v>25</v>
      </c>
      <c r="E89" s="6" t="s">
        <v>13</v>
      </c>
      <c r="F89" s="8">
        <f>VLOOKUP(A89,Tutors!C:D,2,0)</f>
        <v>2693</v>
      </c>
      <c r="G89" s="8" t="str">
        <f>VLOOKUP(A89,Tutors!C:E,3,0)</f>
        <v>EG04-EG05-EG06</v>
      </c>
      <c r="H89" s="8" t="str">
        <f>VLOOKUP(A89,Tutors!A:F,6,0)</f>
        <v>eyadsayed2016@gmail.com</v>
      </c>
      <c r="I89" s="8" t="str">
        <f>VLOOKUP(A89,Tutors!C:G,5,0)</f>
        <v>01225926326</v>
      </c>
      <c r="J89" s="8">
        <f>COUNTIFS(Active!C:C,A89)</f>
        <v>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" t="s">
        <v>109</v>
      </c>
      <c r="B90" s="7">
        <f>VLOOKUP(A90,Tutors!A:B,2,0)</f>
        <v>953168381683</v>
      </c>
      <c r="C90" s="6" t="s">
        <v>86</v>
      </c>
      <c r="D90" s="6" t="s">
        <v>25</v>
      </c>
      <c r="E90" s="6" t="s">
        <v>9</v>
      </c>
      <c r="F90" s="8">
        <f>VLOOKUP(A90,Tutors!C:D,2,0)</f>
        <v>2667</v>
      </c>
      <c r="G90" s="8" t="str">
        <f>VLOOKUP(A90,Tutors!C:E,3,0)</f>
        <v>EG04-EG05-EG06</v>
      </c>
      <c r="H90" s="8" t="str">
        <f>VLOOKUP(A90,Tutors!A:F,6,0)</f>
        <v>samarhtt88@gmail.com</v>
      </c>
      <c r="I90" s="8" t="str">
        <f>VLOOKUP(A90,Tutors!C:G,5,0)</f>
        <v/>
      </c>
      <c r="J90" s="8">
        <f>COUNTIFS(Active!C:C,A90)</f>
        <v>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" t="s">
        <v>110</v>
      </c>
      <c r="B91" s="7">
        <f>VLOOKUP(A91,Tutors!A:B,2,0)</f>
        <v>548159074528</v>
      </c>
      <c r="C91" s="6" t="s">
        <v>86</v>
      </c>
      <c r="D91" s="6" t="s">
        <v>25</v>
      </c>
      <c r="E91" s="6" t="s">
        <v>9</v>
      </c>
      <c r="F91" s="8">
        <f>VLOOKUP(A91,Tutors!C:D,2,0)</f>
        <v>2725</v>
      </c>
      <c r="G91" s="8" t="str">
        <f>VLOOKUP(A91,Tutors!C:E,3,0)</f>
        <v>EG04-EG05-EG06-7</v>
      </c>
      <c r="H91" s="8" t="str">
        <f>VLOOKUP(A91,Tutors!A:F,6,0)</f>
        <v>basma.fouad@yahoo.com</v>
      </c>
      <c r="I91" s="8" t="str">
        <f>VLOOKUP(A91,Tutors!C:G,5,0)</f>
        <v>01099743661</v>
      </c>
      <c r="J91" s="8">
        <f>COUNTIFS(Active!C:C,A91)</f>
        <v>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" t="s">
        <v>111</v>
      </c>
      <c r="B92" s="7">
        <f>VLOOKUP(A92,Tutors!A:B,2,0)</f>
        <v>759196045212</v>
      </c>
      <c r="C92" s="6" t="s">
        <v>86</v>
      </c>
      <c r="D92" s="6" t="s">
        <v>25</v>
      </c>
      <c r="E92" s="6" t="s">
        <v>9</v>
      </c>
      <c r="F92" s="8">
        <f>VLOOKUP(A92,Tutors!C:D,2,0)</f>
        <v>2751</v>
      </c>
      <c r="G92" s="8" t="str">
        <f>VLOOKUP(A92,Tutors!C:E,3,0)</f>
        <v>EG04-EG05-EG06</v>
      </c>
      <c r="H92" s="8" t="str">
        <f>VLOOKUP(A92,Tutors!A:F,6,0)</f>
        <v>monakoka010@gmail.com</v>
      </c>
      <c r="I92" s="8" t="str">
        <f>VLOOKUP(A92,Tutors!C:G,5,0)</f>
        <v>01141513173</v>
      </c>
      <c r="J92" s="8">
        <f>COUNTIFS(Active!C:C,A92)</f>
        <v>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" t="s">
        <v>112</v>
      </c>
      <c r="B93" s="7">
        <f>VLOOKUP(A93,Tutors!A:B,2,0)</f>
        <v>680125089292</v>
      </c>
      <c r="C93" s="6" t="s">
        <v>86</v>
      </c>
      <c r="D93" s="6" t="s">
        <v>25</v>
      </c>
      <c r="E93" s="6" t="s">
        <v>9</v>
      </c>
      <c r="F93" s="8">
        <f>VLOOKUP(A93,Tutors!C:D,2,0)</f>
        <v>2597</v>
      </c>
      <c r="G93" s="8" t="str">
        <f>VLOOKUP(A93,Tutors!C:E,3,0)</f>
        <v>EG04-EG05-EG06-EG07-EG08-EG09</v>
      </c>
      <c r="H93" s="8" t="str">
        <f>VLOOKUP(A93,Tutors!A:F,6,0)</f>
        <v>mr.samiribrahim@yahoo.com</v>
      </c>
      <c r="I93" s="8" t="str">
        <f>VLOOKUP(A93,Tutors!C:G,5,0)</f>
        <v>01200100441</v>
      </c>
      <c r="J93" s="8">
        <f>COUNTIFS(Active!C:C,A93)</f>
        <v>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" t="s">
        <v>113</v>
      </c>
      <c r="B94" s="7">
        <f>VLOOKUP(A94,Tutors!A:B,2,0)</f>
        <v>713154590107</v>
      </c>
      <c r="C94" s="6" t="s">
        <v>86</v>
      </c>
      <c r="D94" s="6" t="s">
        <v>25</v>
      </c>
      <c r="E94" s="6" t="s">
        <v>9</v>
      </c>
      <c r="F94" s="8">
        <f>VLOOKUP(A94,Tutors!C:D,2,0)</f>
        <v>2691</v>
      </c>
      <c r="G94" s="8" t="str">
        <f>VLOOKUP(A94,Tutors!C:E,3,0)</f>
        <v>EG04-EG05-EG06</v>
      </c>
      <c r="H94" s="8" t="str">
        <f>VLOOKUP(A94,Tutors!A:F,6,0)</f>
        <v>nohaibrahim1310@gmail.com</v>
      </c>
      <c r="I94" s="8">
        <f>VLOOKUP(A94,Tutors!C:G,5,0)</f>
        <v>1013522250</v>
      </c>
      <c r="J94" s="8">
        <f>COUNTIFS(Active!C:C,A94)</f>
        <v>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" t="s">
        <v>114</v>
      </c>
      <c r="B95" s="7">
        <f>VLOOKUP(A95,Tutors!A:B,2,0)</f>
        <v>364193795818</v>
      </c>
      <c r="C95" s="6" t="s">
        <v>86</v>
      </c>
      <c r="D95" s="6" t="s">
        <v>25</v>
      </c>
      <c r="E95" s="10" t="s">
        <v>9</v>
      </c>
      <c r="F95" s="8">
        <f>VLOOKUP(A95,Tutors!C:D,2,0)</f>
        <v>2717</v>
      </c>
      <c r="G95" s="8" t="str">
        <f>VLOOKUP(A95,Tutors!C:E,3,0)</f>
        <v>EG04-EG05-EG06</v>
      </c>
      <c r="H95" s="8" t="str">
        <f>VLOOKUP(A95,Tutors!A:F,6,0)</f>
        <v>ibrahimabdelaliem591@gmail.com</v>
      </c>
      <c r="I95" s="8" t="str">
        <f>VLOOKUP(A95,Tutors!C:G,5,0)</f>
        <v>01013720278</v>
      </c>
      <c r="J95" s="8">
        <f>COUNTIFS(Active!C:C,A95)</f>
        <v>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 t="s">
        <v>115</v>
      </c>
      <c r="B96" s="7">
        <f>VLOOKUP(A96,Tutors!A:B,2,0)</f>
        <v>108171586739</v>
      </c>
      <c r="C96" s="6" t="s">
        <v>86</v>
      </c>
      <c r="D96" s="6" t="s">
        <v>25</v>
      </c>
      <c r="E96" s="6" t="s">
        <v>9</v>
      </c>
      <c r="F96" s="8">
        <f>VLOOKUP(A96,Tutors!C:D,2,0)</f>
        <v>2707</v>
      </c>
      <c r="G96" s="8" t="str">
        <f>VLOOKUP(A96,Tutors!C:E,3,0)</f>
        <v>EG04-EG05-EG06</v>
      </c>
      <c r="H96" s="8" t="str">
        <f>VLOOKUP(A96,Tutors!A:F,6,0)</f>
        <v>mrs.sahar.savvy@gmail.com</v>
      </c>
      <c r="I96" s="8" t="str">
        <f>VLOOKUP(A96,Tutors!C:G,5,0)</f>
        <v/>
      </c>
      <c r="J96" s="8">
        <f>COUNTIFS(Active!C:C,A96)</f>
        <v>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 t="s">
        <v>116</v>
      </c>
      <c r="B97" s="7">
        <f>VLOOKUP(A97,Tutors!A:B,2,0)</f>
        <v>625187252525</v>
      </c>
      <c r="C97" s="6" t="s">
        <v>86</v>
      </c>
      <c r="D97" s="6" t="s">
        <v>25</v>
      </c>
      <c r="E97" s="10" t="s">
        <v>9</v>
      </c>
      <c r="F97" s="8">
        <f>VLOOKUP(A97,Tutors!C:D,2,0)</f>
        <v>2670</v>
      </c>
      <c r="G97" s="8" t="str">
        <f>VLOOKUP(A97,Tutors!C:E,3,0)</f>
        <v>EG04-EG05-EG06-EG07-EG08-EG09-10-11</v>
      </c>
      <c r="H97" s="8" t="str">
        <f>VLOOKUP(A97,Tutors!A:F,6,0)</f>
        <v>omer_mohamed2009@yahoo.com</v>
      </c>
      <c r="I97" s="8" t="str">
        <f>VLOOKUP(A97,Tutors!C:G,5,0)</f>
        <v>00201017573880</v>
      </c>
      <c r="J97" s="8">
        <f>COUNTIFS(Active!C:C,A97)</f>
        <v>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 t="s">
        <v>117</v>
      </c>
      <c r="B98" s="7">
        <f>VLOOKUP(A98,Tutors!A:B,2,0)</f>
        <v>409109172938</v>
      </c>
      <c r="C98" s="6" t="s">
        <v>86</v>
      </c>
      <c r="D98" s="6" t="s">
        <v>25</v>
      </c>
      <c r="E98" s="6" t="s">
        <v>13</v>
      </c>
      <c r="F98" s="8">
        <f>VLOOKUP(A98,Tutors!C:D,2,0)</f>
        <v>2765</v>
      </c>
      <c r="G98" s="8" t="str">
        <f>VLOOKUP(A98,Tutors!C:E,3,0)</f>
        <v>EG04-EG05-EG06-EG07-EG08-EG09</v>
      </c>
      <c r="H98" s="8" t="str">
        <f>VLOOKUP(A98,Tutors!A:F,6,0)</f>
        <v>doaaemadeldin6@gmail.com</v>
      </c>
      <c r="I98" s="8" t="str">
        <f>VLOOKUP(A98,Tutors!C:G,5,0)</f>
        <v>01099093013</v>
      </c>
      <c r="J98" s="8">
        <f>COUNTIFS(Active!C:C,A98)</f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 t="s">
        <v>118</v>
      </c>
      <c r="B99" s="7">
        <f>VLOOKUP(A99,Tutors!A:B,2,0)</f>
        <v>356132167530</v>
      </c>
      <c r="C99" s="6" t="s">
        <v>86</v>
      </c>
      <c r="D99" s="6" t="s">
        <v>25</v>
      </c>
      <c r="E99" s="6" t="s">
        <v>13</v>
      </c>
      <c r="F99" s="8">
        <f>VLOOKUP(A99,Tutors!C:D,2,0)</f>
        <v>2767</v>
      </c>
      <c r="G99" s="8" t="str">
        <f>VLOOKUP(A99,Tutors!C:E,3,0)</f>
        <v>EG04-EG05-EG06-EG07-EG08-EG09</v>
      </c>
      <c r="H99" s="8" t="str">
        <f>VLOOKUP(A99,Tutors!A:F,6,0)</f>
        <v>ymy201010@gmail.com</v>
      </c>
      <c r="I99" s="8" t="str">
        <f>VLOOKUP(A99,Tutors!C:G,5,0)</f>
        <v/>
      </c>
      <c r="J99" s="8">
        <f>COUNTIFS(Active!C:C,A99)</f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 t="s">
        <v>119</v>
      </c>
      <c r="B100" s="7">
        <f>VLOOKUP(A100,Tutors!A:B,2,0)</f>
        <v>186143210451</v>
      </c>
      <c r="C100" s="6" t="s">
        <v>86</v>
      </c>
      <c r="D100" s="6" t="s">
        <v>25</v>
      </c>
      <c r="E100" s="6" t="s">
        <v>9</v>
      </c>
      <c r="F100" s="8">
        <f>VLOOKUP(A100,Tutors!C:D,2,0)</f>
        <v>2632</v>
      </c>
      <c r="G100" s="8" t="str">
        <f>VLOOKUP(A100,Tutors!C:E,3,0)</f>
        <v>EG04-EG05-EG06-EG07</v>
      </c>
      <c r="H100" s="8" t="str">
        <f>VLOOKUP(A100,Tutors!A:F,6,0)</f>
        <v>nahla.y2013@gmail.com</v>
      </c>
      <c r="I100" s="8" t="str">
        <f>VLOOKUP(A100,Tutors!C:G,5,0)</f>
        <v>01015128248</v>
      </c>
      <c r="J100" s="8">
        <f>COUNTIFS(Active!C:C,A100)</f>
        <v>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 t="s">
        <v>120</v>
      </c>
      <c r="B101" s="7">
        <f>VLOOKUP(A101,Tutors!A:B,2,0)</f>
        <v>286134930682</v>
      </c>
      <c r="C101" s="6" t="s">
        <v>86</v>
      </c>
      <c r="D101" s="6" t="s">
        <v>25</v>
      </c>
      <c r="E101" s="6" t="s">
        <v>13</v>
      </c>
      <c r="F101" s="8">
        <f>VLOOKUP(A101,Tutors!C:D,2,0)</f>
        <v>2637</v>
      </c>
      <c r="G101" s="8" t="str">
        <f>VLOOKUP(A101,Tutors!C:E,3,0)</f>
        <v>EG04-EG05-EG06-EG07-EG08-EG09-EG10-EG11-EG12</v>
      </c>
      <c r="H101" s="8" t="str">
        <f>VLOOKUP(A101,Tutors!A:F,6,0)</f>
        <v>princemido@hotmail.com</v>
      </c>
      <c r="I101" s="8" t="str">
        <f>VLOOKUP(A101,Tutors!C:G,5,0)</f>
        <v/>
      </c>
      <c r="J101" s="8">
        <f>COUNTIFS(Active!C:C,A101)</f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 t="s">
        <v>121</v>
      </c>
      <c r="B102" s="7">
        <f>VLOOKUP(A102,Tutors!A:B,2,0)</f>
        <v>274128962341</v>
      </c>
      <c r="C102" s="6" t="s">
        <v>86</v>
      </c>
      <c r="D102" s="6" t="s">
        <v>25</v>
      </c>
      <c r="E102" s="6" t="s">
        <v>13</v>
      </c>
      <c r="F102" s="8">
        <f>VLOOKUP(A102,Tutors!C:D,2,0)</f>
        <v>2633</v>
      </c>
      <c r="G102" s="8" t="str">
        <f>VLOOKUP(A102,Tutors!C:E,3,0)</f>
        <v>EG04-EG05-EG06-EG07-EG08-EG09</v>
      </c>
      <c r="H102" s="8" t="str">
        <f>VLOOKUP(A102,Tutors!A:F,6,0)</f>
        <v>moaazghady@gmail.com</v>
      </c>
      <c r="I102" s="8" t="str">
        <f>VLOOKUP(A102,Tutors!C:G,5,0)</f>
        <v/>
      </c>
      <c r="J102" s="8">
        <f>COUNTIFS(Active!C:C,A102)</f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 t="s">
        <v>122</v>
      </c>
      <c r="B103" s="7">
        <f>VLOOKUP(A103,Tutors!A:B,2,0)</f>
        <v>872109756075</v>
      </c>
      <c r="C103" s="6" t="s">
        <v>86</v>
      </c>
      <c r="D103" s="6" t="s">
        <v>25</v>
      </c>
      <c r="E103" s="10" t="s">
        <v>9</v>
      </c>
      <c r="F103" s="8">
        <f>VLOOKUP(A103,Tutors!C:D,2,0)</f>
        <v>2772</v>
      </c>
      <c r="G103" s="8" t="str">
        <f>VLOOKUP(A103,Tutors!C:E,3,0)</f>
        <v>EG04-EG05-EG06</v>
      </c>
      <c r="H103" s="8" t="str">
        <f>VLOOKUP(A103,Tutors!A:F,6,0)</f>
        <v>nermeenhasan35@gmail.com</v>
      </c>
      <c r="I103" s="8" t="str">
        <f>VLOOKUP(A103,Tutors!C:G,5,0)</f>
        <v/>
      </c>
      <c r="J103" s="8">
        <f>COUNTIFS(Active!C:C,A103)</f>
        <v>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 t="s">
        <v>123</v>
      </c>
      <c r="B104" s="7">
        <f>VLOOKUP(A104,Tutors!A:B,2,0)</f>
        <v>105126902692</v>
      </c>
      <c r="C104" s="6" t="s">
        <v>86</v>
      </c>
      <c r="D104" s="6" t="s">
        <v>25</v>
      </c>
      <c r="E104" s="6" t="s">
        <v>13</v>
      </c>
      <c r="F104" s="8">
        <f>VLOOKUP(A104,Tutors!C:D,2,0)</f>
        <v>2794</v>
      </c>
      <c r="G104" s="8" t="str">
        <f>VLOOKUP(A104,Tutors!C:E,3,0)</f>
        <v>EG04-EG05-EG06</v>
      </c>
      <c r="H104" s="8" t="str">
        <f>VLOOKUP(A104,Tutors!A:F,6,0)</f>
        <v>petermedhat25@gmail.com</v>
      </c>
      <c r="I104" s="8" t="str">
        <f>VLOOKUP(A104,Tutors!C:G,5,0)</f>
        <v>01282584743</v>
      </c>
      <c r="J104" s="8">
        <f>COUNTIFS(Active!C:C,A104)</f>
        <v>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 t="s">
        <v>124</v>
      </c>
      <c r="B105" s="7">
        <f>VLOOKUP(A105,Tutors!A:B,2,0)</f>
        <v>350132398282</v>
      </c>
      <c r="C105" s="6" t="s">
        <v>86</v>
      </c>
      <c r="D105" s="6" t="s">
        <v>25</v>
      </c>
      <c r="E105" s="6" t="s">
        <v>9</v>
      </c>
      <c r="F105" s="8">
        <f>VLOOKUP(A105,Tutors!C:D,2,0)</f>
        <v>2778</v>
      </c>
      <c r="G105" s="8" t="str">
        <f>VLOOKUP(A105,Tutors!C:E,3,0)</f>
        <v>EG04-EG05-EG06-EG07-EG08-EG09</v>
      </c>
      <c r="H105" s="8" t="str">
        <f>VLOOKUP(A105,Tutors!A:F,6,0)</f>
        <v>mr.walidali79@gmail.com</v>
      </c>
      <c r="I105" s="8" t="str">
        <f>VLOOKUP(A105,Tutors!C:G,5,0)</f>
        <v/>
      </c>
      <c r="J105" s="8">
        <f>COUNTIFS(Active!C:C,A105)</f>
        <v>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 t="s">
        <v>125</v>
      </c>
      <c r="B106" s="7">
        <f>VLOOKUP(A106,Tutors!A:B,2,0)</f>
        <v>809176040437</v>
      </c>
      <c r="C106" s="6" t="s">
        <v>86</v>
      </c>
      <c r="D106" s="6" t="s">
        <v>126</v>
      </c>
      <c r="E106" s="6" t="s">
        <v>13</v>
      </c>
      <c r="F106" s="9" t="str">
        <f>VLOOKUP(A106,Tutors!C:D,2,0)</f>
        <v>2288</v>
      </c>
      <c r="G106" s="7" t="s">
        <v>127</v>
      </c>
      <c r="H106" s="8" t="str">
        <f>VLOOKUP(A106,Tutors!A:F,6,0)</f>
        <v>hatem2235h@gmail.com</v>
      </c>
      <c r="I106" s="8" t="str">
        <f>VLOOKUP(A106,Tutors!C:G,5,0)</f>
        <v>01030944131</v>
      </c>
      <c r="J106" s="8">
        <f>COUNTIFS(Active!C:C,A106)</f>
        <v>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 t="s">
        <v>128</v>
      </c>
      <c r="B107" s="7">
        <f>VLOOKUP(A107,Tutors!A:B,2,0)</f>
        <v>930159109291</v>
      </c>
      <c r="C107" s="6" t="s">
        <v>86</v>
      </c>
      <c r="D107" s="6" t="s">
        <v>126</v>
      </c>
      <c r="E107" s="6" t="s">
        <v>9</v>
      </c>
      <c r="F107" s="9" t="str">
        <f>VLOOKUP(A107,Tutors!C:D,2,0)</f>
        <v>2270</v>
      </c>
      <c r="G107" s="7" t="s">
        <v>127</v>
      </c>
      <c r="H107" s="8" t="str">
        <f>VLOOKUP(A107,Tutors!A:F,6,0)</f>
        <v>rahmahamoda59@gmail.com</v>
      </c>
      <c r="I107" s="8" t="str">
        <f>VLOOKUP(A107,Tutors!C:G,5,0)</f>
        <v>01011416685</v>
      </c>
      <c r="J107" s="8">
        <f>COUNTIFS(Active!C:C,A107)</f>
        <v>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 t="s">
        <v>129</v>
      </c>
      <c r="B108" s="7">
        <f>VLOOKUP(A108,Tutors!A:B,2,0)</f>
        <v>782180626727</v>
      </c>
      <c r="C108" s="6" t="s">
        <v>86</v>
      </c>
      <c r="D108" s="6" t="s">
        <v>126</v>
      </c>
      <c r="E108" s="6" t="s">
        <v>9</v>
      </c>
      <c r="F108" s="8">
        <f>VLOOKUP(A108,Tutors!C:D,2,0)</f>
        <v>2404</v>
      </c>
      <c r="G108" s="8" t="str">
        <f>VLOOKUP(A108,Tutors!C:E,3,0)</f>
        <v>EG04-EG05-EG06</v>
      </c>
      <c r="H108" s="8" t="str">
        <f>VLOOKUP(A108,Tutors!A:F,6,0)</f>
        <v>amr731844@gmail.com</v>
      </c>
      <c r="I108" s="8" t="str">
        <f>VLOOKUP(A108,Tutors!C:G,5,0)</f>
        <v>01094839978</v>
      </c>
      <c r="J108" s="8">
        <f>COUNTIFS(Active!C:C,A108)</f>
        <v>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" t="s">
        <v>130</v>
      </c>
      <c r="B109" s="7">
        <f>VLOOKUP(A109,Tutors!A:B,2,0)</f>
        <v>742181710304</v>
      </c>
      <c r="C109" s="6" t="s">
        <v>86</v>
      </c>
      <c r="D109" s="6" t="s">
        <v>126</v>
      </c>
      <c r="E109" s="6" t="s">
        <v>9</v>
      </c>
      <c r="F109" s="8">
        <f>VLOOKUP(A109,Tutors!C:D,2,0)</f>
        <v>2403</v>
      </c>
      <c r="G109" s="8" t="str">
        <f>VLOOKUP(A109,Tutors!C:E,3,0)</f>
        <v>EG04-EG05-EG06</v>
      </c>
      <c r="H109" s="8" t="str">
        <f>VLOOKUP(A109,Tutors!A:F,6,0)</f>
        <v>pro.islamhmam@gmail.com</v>
      </c>
      <c r="I109" s="8" t="str">
        <f>VLOOKUP(A109,Tutors!C:G,5,0)</f>
        <v>01550512026</v>
      </c>
      <c r="J109" s="8">
        <f>COUNTIFS(Active!C:C,A109)</f>
        <v>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" t="s">
        <v>131</v>
      </c>
      <c r="B110" s="7">
        <f>VLOOKUP(A110,Tutors!A:B,2,0)</f>
        <v>643134674754</v>
      </c>
      <c r="C110" s="6" t="s">
        <v>86</v>
      </c>
      <c r="D110" s="6" t="s">
        <v>126</v>
      </c>
      <c r="E110" s="6" t="s">
        <v>9</v>
      </c>
      <c r="F110" s="8">
        <f>VLOOKUP(A110,Tutors!C:D,2,0)</f>
        <v>2475</v>
      </c>
      <c r="G110" s="8" t="str">
        <f>VLOOKUP(A110,Tutors!C:E,3,0)</f>
        <v>EG04-EG05-EG06</v>
      </c>
      <c r="H110" s="8" t="str">
        <f>VLOOKUP(A110,Tutors!A:F,6,0)</f>
        <v>ahmedgoda712@gmail.com</v>
      </c>
      <c r="I110" s="8" t="str">
        <f>VLOOKUP(A110,Tutors!C:G,5,0)</f>
        <v>01212265381</v>
      </c>
      <c r="J110" s="8">
        <f>COUNTIFS(Active!C:C,A110)</f>
        <v>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" t="s">
        <v>132</v>
      </c>
      <c r="B111" s="7">
        <f>VLOOKUP(A111,Tutors!A:B,2,0)</f>
        <v>514130261047</v>
      </c>
      <c r="C111" s="6" t="s">
        <v>86</v>
      </c>
      <c r="D111" s="6" t="s">
        <v>126</v>
      </c>
      <c r="E111" s="6" t="s">
        <v>13</v>
      </c>
      <c r="F111" s="8">
        <f>VLOOKUP(A111,Tutors!C:D,2,0)</f>
        <v>2509</v>
      </c>
      <c r="G111" s="8" t="str">
        <f>VLOOKUP(A111,Tutors!C:E,3,0)</f>
        <v>EG04-EG05-EG06</v>
      </c>
      <c r="H111" s="8" t="str">
        <f>VLOOKUP(A111,Tutors!A:F,6,0)</f>
        <v>aya.emara96@gmail.com</v>
      </c>
      <c r="I111" s="8">
        <f>VLOOKUP(A111,Tutors!C:G,5,0)</f>
        <v>1097953066</v>
      </c>
      <c r="J111" s="8">
        <f>COUNTIFS(Active!C:C,A111)</f>
        <v>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" t="s">
        <v>133</v>
      </c>
      <c r="B112" s="7">
        <f>VLOOKUP(A112,Tutors!A:B,2,0)</f>
        <v>894178098602</v>
      </c>
      <c r="C112" s="6" t="s">
        <v>86</v>
      </c>
      <c r="D112" s="6" t="s">
        <v>126</v>
      </c>
      <c r="E112" s="6" t="s">
        <v>9</v>
      </c>
      <c r="F112" s="8">
        <f>VLOOKUP(A112,Tutors!C:D,2,0)</f>
        <v>2529</v>
      </c>
      <c r="G112" s="8" t="str">
        <f>VLOOKUP(A112,Tutors!C:E,3,0)</f>
        <v>EG04-EG05-EG06</v>
      </c>
      <c r="H112" s="8" t="str">
        <f>VLOOKUP(A112,Tutors!A:F,6,0)</f>
        <v>kirolosbotrosrizk@gmail.com</v>
      </c>
      <c r="I112" s="8" t="str">
        <f>VLOOKUP(A112,Tutors!C:G,5,0)</f>
        <v>01212650406</v>
      </c>
      <c r="J112" s="8">
        <f>COUNTIFS(Active!C:C,A112)</f>
        <v>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" t="s">
        <v>134</v>
      </c>
      <c r="B113" s="7">
        <f>VLOOKUP(A113,Tutors!A:B,2,0)</f>
        <v>703149308423</v>
      </c>
      <c r="C113" s="6" t="s">
        <v>86</v>
      </c>
      <c r="D113" s="6" t="s">
        <v>126</v>
      </c>
      <c r="E113" s="6" t="s">
        <v>9</v>
      </c>
      <c r="F113" s="8">
        <f>VLOOKUP(A113,Tutors!C:D,2,0)</f>
        <v>2535</v>
      </c>
      <c r="G113" s="8" t="str">
        <f>VLOOKUP(A113,Tutors!C:E,3,0)</f>
        <v>EG04-EG05-EG06</v>
      </c>
      <c r="H113" s="8" t="str">
        <f>VLOOKUP(A113,Tutors!A:F,6,0)</f>
        <v>may.elhamshary18@gmail.com</v>
      </c>
      <c r="I113" s="8" t="str">
        <f>VLOOKUP(A113,Tutors!C:G,5,0)</f>
        <v>01098180108</v>
      </c>
      <c r="J113" s="8">
        <f>COUNTIFS(Active!C:C,A113)</f>
        <v>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 t="s">
        <v>135</v>
      </c>
      <c r="B114" s="7">
        <f>VLOOKUP(A114,Tutors!A:B,2,0)</f>
        <v>157194097243</v>
      </c>
      <c r="C114" s="6" t="s">
        <v>86</v>
      </c>
      <c r="D114" s="6" t="s">
        <v>126</v>
      </c>
      <c r="E114" s="10" t="s">
        <v>9</v>
      </c>
      <c r="F114" s="8">
        <f>VLOOKUP(A114,Tutors!C:D,2,0)</f>
        <v>2556</v>
      </c>
      <c r="G114" s="8" t="str">
        <f>VLOOKUP(A114,Tutors!C:E,3,0)</f>
        <v>EG04-EG05-EG06</v>
      </c>
      <c r="H114" s="8" t="str">
        <f>VLOOKUP(A114,Tutors!A:F,6,0)</f>
        <v>hamdly634@gmail.com</v>
      </c>
      <c r="I114" s="8" t="str">
        <f>VLOOKUP(A114,Tutors!C:G,5,0)</f>
        <v>01157080971</v>
      </c>
      <c r="J114" s="8">
        <f>COUNTIFS(Active!C:C,A114)</f>
        <v>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" t="s">
        <v>136</v>
      </c>
      <c r="B115" s="7">
        <f>VLOOKUP(A115,Tutors!A:B,2,0)</f>
        <v>815141510923</v>
      </c>
      <c r="C115" s="6" t="s">
        <v>86</v>
      </c>
      <c r="D115" s="6" t="s">
        <v>126</v>
      </c>
      <c r="E115" s="10" t="s">
        <v>9</v>
      </c>
      <c r="F115" s="8">
        <f>VLOOKUP(A115,Tutors!C:D,2,0)</f>
        <v>2558</v>
      </c>
      <c r="G115" s="8" t="str">
        <f>VLOOKUP(A115,Tutors!C:E,3,0)</f>
        <v>EG04-EG05-EG06</v>
      </c>
      <c r="H115" s="8" t="str">
        <f>VLOOKUP(A115,Tutors!A:F,6,0)</f>
        <v>m.h.raffat@gmail.com</v>
      </c>
      <c r="I115" s="8" t="str">
        <f>VLOOKUP(A115,Tutors!C:G,5,0)</f>
        <v/>
      </c>
      <c r="J115" s="8">
        <f>COUNTIFS(Active!C:C,A115)</f>
        <v>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" t="s">
        <v>137</v>
      </c>
      <c r="B116" s="7">
        <f>VLOOKUP(A116,Tutors!A:B,2,0)</f>
        <v>916186078296</v>
      </c>
      <c r="C116" s="6" t="s">
        <v>86</v>
      </c>
      <c r="D116" s="6" t="s">
        <v>126</v>
      </c>
      <c r="E116" s="6" t="s">
        <v>13</v>
      </c>
      <c r="F116" s="8">
        <f>VLOOKUP(A116,Tutors!C:D,2,0)</f>
        <v>2709</v>
      </c>
      <c r="G116" s="8" t="str">
        <f>VLOOKUP(A116,Tutors!C:E,3,0)</f>
        <v>EG04-EG05-EG06</v>
      </c>
      <c r="H116" s="8" t="str">
        <f>VLOOKUP(A116,Tutors!A:F,6,0)</f>
        <v>nesahmed2@gmail.com</v>
      </c>
      <c r="I116" s="8" t="str">
        <f>VLOOKUP(A116,Tutors!C:G,5,0)</f>
        <v>01068231011</v>
      </c>
      <c r="J116" s="8">
        <f>COUNTIFS(Active!C:C,A116)</f>
        <v>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" t="s">
        <v>138</v>
      </c>
      <c r="B117" s="7">
        <f>VLOOKUP(A117,Tutors!A:B,2,0)</f>
        <v>762193489569</v>
      </c>
      <c r="C117" s="6" t="s">
        <v>86</v>
      </c>
      <c r="D117" s="6" t="s">
        <v>126</v>
      </c>
      <c r="E117" s="6" t="s">
        <v>13</v>
      </c>
      <c r="F117" s="8">
        <f>VLOOKUP(A117,Tutors!C:D,2,0)</f>
        <v>2740</v>
      </c>
      <c r="G117" s="8" t="str">
        <f>VLOOKUP(A117,Tutors!C:E,3,0)</f>
        <v>EG04-EG05-EG06</v>
      </c>
      <c r="H117" s="8" t="str">
        <f>VLOOKUP(A117,Tutors!A:F,6,0)</f>
        <v>emankhalil9688896@gmail.com</v>
      </c>
      <c r="I117" s="8" t="str">
        <f>VLOOKUP(A117,Tutors!C:G,5,0)</f>
        <v>01211232390</v>
      </c>
      <c r="J117" s="8">
        <f>COUNTIFS(Active!C:C,A117)</f>
        <v>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" t="s">
        <v>139</v>
      </c>
      <c r="B118" s="7">
        <f>VLOOKUP(A118,Tutors!A:B,2,0)</f>
        <v>953162327564</v>
      </c>
      <c r="C118" s="6" t="s">
        <v>86</v>
      </c>
      <c r="D118" s="6" t="s">
        <v>126</v>
      </c>
      <c r="E118" s="10" t="s">
        <v>9</v>
      </c>
      <c r="F118" s="8">
        <f>VLOOKUP(A118,Tutors!C:D,2,0)</f>
        <v>2741</v>
      </c>
      <c r="G118" s="8" t="str">
        <f>VLOOKUP(A118,Tutors!C:E,3,0)</f>
        <v>EG04-EG05-EG06</v>
      </c>
      <c r="H118" s="8" t="str">
        <f>VLOOKUP(A118,Tutors!A:F,6,0)</f>
        <v>sally.sayed@yahoo.com</v>
      </c>
      <c r="I118" s="8" t="str">
        <f>VLOOKUP(A118,Tutors!C:G,5,0)</f>
        <v>01226537936</v>
      </c>
      <c r="J118" s="8">
        <f>COUNTIFS(Active!C:C,A118)</f>
        <v>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" t="s">
        <v>140</v>
      </c>
      <c r="B119" s="7">
        <f>VLOOKUP(A119,Tutors!A:B,2,0)</f>
        <v>720159631723</v>
      </c>
      <c r="C119" s="6" t="s">
        <v>86</v>
      </c>
      <c r="D119" s="6" t="s">
        <v>126</v>
      </c>
      <c r="E119" s="6" t="s">
        <v>13</v>
      </c>
      <c r="F119" s="8">
        <f>VLOOKUP(A119,Tutors!C:D,2,0)</f>
        <v>2780</v>
      </c>
      <c r="G119" s="8" t="str">
        <f>VLOOKUP(A119,Tutors!C:E,3,0)</f>
        <v>EG04-EG05-EG06</v>
      </c>
      <c r="H119" s="8" t="str">
        <f>VLOOKUP(A119,Tutors!A:F,6,0)</f>
        <v>rania.fahmy222@gmail.com</v>
      </c>
      <c r="I119" s="8" t="str">
        <f>VLOOKUP(A119,Tutors!C:G,5,0)</f>
        <v>01101560506</v>
      </c>
      <c r="J119" s="8">
        <f>COUNTIFS(Active!C:C,A119)</f>
        <v>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" t="s">
        <v>141</v>
      </c>
      <c r="B120" s="7">
        <f>VLOOKUP(A120,Tutors!A:B,2,0)</f>
        <v>679131265016</v>
      </c>
      <c r="C120" s="6" t="s">
        <v>86</v>
      </c>
      <c r="D120" s="6" t="s">
        <v>126</v>
      </c>
      <c r="E120" s="6" t="s">
        <v>13</v>
      </c>
      <c r="F120" s="8">
        <f>VLOOKUP(A120,Tutors!C:D,2,0)</f>
        <v>2716</v>
      </c>
      <c r="G120" s="8" t="str">
        <f>VLOOKUP(A120,Tutors!C:E,3,0)</f>
        <v>EG04-EG05-EG06</v>
      </c>
      <c r="H120" s="8" t="str">
        <f>VLOOKUP(A120,Tutors!A:F,6,0)</f>
        <v>3mahoda@gmail.com</v>
      </c>
      <c r="I120" s="8" t="str">
        <f>VLOOKUP(A120,Tutors!C:G,5,0)</f>
        <v/>
      </c>
      <c r="J120" s="8">
        <f>COUNTIFS(Active!C:C,A120)</f>
        <v>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" t="s">
        <v>142</v>
      </c>
      <c r="B121" s="7">
        <f>VLOOKUP(A121,Tutors!A:B,2,0)</f>
        <v>306185372078</v>
      </c>
      <c r="C121" s="6" t="s">
        <v>86</v>
      </c>
      <c r="D121" s="6" t="s">
        <v>47</v>
      </c>
      <c r="E121" s="6" t="s">
        <v>9</v>
      </c>
      <c r="F121" s="9" t="str">
        <f>VLOOKUP(A121,Tutors!C:D,2,0)</f>
        <v>1843</v>
      </c>
      <c r="G121" s="8" t="str">
        <f>VLOOKUP(A121,Tutors!C:E,3,0)</f>
        <v/>
      </c>
      <c r="H121" s="8" t="str">
        <f>VLOOKUP(A121,Tutors!A:F,6,0)</f>
        <v>salmaellaithy96@gmail.com</v>
      </c>
      <c r="I121" s="8" t="str">
        <f>VLOOKUP(A121,Tutors!C:G,5,0)</f>
        <v>01099069950</v>
      </c>
      <c r="J121" s="8">
        <f>COUNTIFS(Active!C:C,A121)</f>
        <v>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" t="s">
        <v>143</v>
      </c>
      <c r="B122" s="7">
        <f>VLOOKUP(A122,Tutors!A:B,2,0)</f>
        <v>243147538572</v>
      </c>
      <c r="C122" s="6" t="s">
        <v>86</v>
      </c>
      <c r="D122" s="6" t="s">
        <v>47</v>
      </c>
      <c r="E122" s="6" t="s">
        <v>9</v>
      </c>
      <c r="F122" s="9" t="str">
        <f>VLOOKUP(A122,Tutors!C:D,2,0)</f>
        <v>1866</v>
      </c>
      <c r="G122" s="8" t="str">
        <f>VLOOKUP(A122,Tutors!C:E,3,0)</f>
        <v/>
      </c>
      <c r="H122" s="8" t="str">
        <f>VLOOKUP(A122,Tutors!A:F,6,0)</f>
        <v>hebaadel1795@gmail.com</v>
      </c>
      <c r="I122" s="8" t="str">
        <f>VLOOKUP(A122,Tutors!C:G,5,0)</f>
        <v>01159608979</v>
      </c>
      <c r="J122" s="8">
        <f>COUNTIFS(Active!C:C,A122)</f>
        <v>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" t="s">
        <v>144</v>
      </c>
      <c r="B123" s="7">
        <f>VLOOKUP(A123,Tutors!A:B,2,0)</f>
        <v>412161359614</v>
      </c>
      <c r="C123" s="6" t="s">
        <v>86</v>
      </c>
      <c r="D123" s="6" t="s">
        <v>47</v>
      </c>
      <c r="E123" s="10" t="s">
        <v>9</v>
      </c>
      <c r="F123" s="9" t="str">
        <f>VLOOKUP(A123,Tutors!C:D,2,0)</f>
        <v>1958</v>
      </c>
      <c r="G123" s="8" t="str">
        <f>VLOOKUP(A123,Tutors!C:E,3,0)</f>
        <v/>
      </c>
      <c r="H123" s="8" t="str">
        <f>VLOOKUP(A123,Tutors!A:F,6,0)</f>
        <v>sararef3t90@gmail.com</v>
      </c>
      <c r="I123" s="8" t="str">
        <f>VLOOKUP(A123,Tutors!C:G,5,0)</f>
        <v>+201100848903</v>
      </c>
      <c r="J123" s="8">
        <f>COUNTIFS(Active!C:C,A123)</f>
        <v>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" t="s">
        <v>145</v>
      </c>
      <c r="B124" s="7">
        <f>VLOOKUP(A124,Tutors!A:B,2,0)</f>
        <v>908173825031</v>
      </c>
      <c r="C124" s="6" t="s">
        <v>86</v>
      </c>
      <c r="D124" s="6" t="s">
        <v>47</v>
      </c>
      <c r="E124" s="6" t="s">
        <v>9</v>
      </c>
      <c r="F124" s="9" t="str">
        <f>VLOOKUP(A124,Tutors!C:D,2,0)</f>
        <v>2040</v>
      </c>
      <c r="G124" s="8" t="str">
        <f>VLOOKUP(A124,Tutors!C:E,3,0)</f>
        <v/>
      </c>
      <c r="H124" s="8" t="str">
        <f>VLOOKUP(A124,Tutors!A:F,6,0)</f>
        <v>emiliamony@gmail.com</v>
      </c>
      <c r="I124" s="8">
        <f>VLOOKUP(A124,Tutors!C:G,5,0)</f>
        <v>28310280200527</v>
      </c>
      <c r="J124" s="8">
        <f>COUNTIFS(Active!C:C,A124)</f>
        <v>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" t="s">
        <v>146</v>
      </c>
      <c r="B125" s="7">
        <f>VLOOKUP(A125,Tutors!A:B,2,0)</f>
        <v>565175096735</v>
      </c>
      <c r="C125" s="6" t="s">
        <v>86</v>
      </c>
      <c r="D125" s="6" t="s">
        <v>47</v>
      </c>
      <c r="E125" s="6" t="s">
        <v>9</v>
      </c>
      <c r="F125" s="9" t="str">
        <f>VLOOKUP(A125,Tutors!C:D,2,0)</f>
        <v>2049</v>
      </c>
      <c r="G125" s="8" t="str">
        <f>VLOOKUP(A125,Tutors!C:E,3,0)</f>
        <v/>
      </c>
      <c r="H125" s="8" t="str">
        <f>VLOOKUP(A125,Tutors!A:F,6,0)</f>
        <v>mohamedlokman055@gmail.com</v>
      </c>
      <c r="I125" s="8" t="str">
        <f>VLOOKUP(A125,Tutors!C:G,5,0)</f>
        <v>01006721017</v>
      </c>
      <c r="J125" s="8">
        <f>COUNTIFS(Active!C:C,A125)</f>
        <v>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" t="s">
        <v>147</v>
      </c>
      <c r="B126" s="7">
        <f>VLOOKUP(A126,Tutors!A:B,2,0)</f>
        <v>572181296785</v>
      </c>
      <c r="C126" s="6" t="s">
        <v>86</v>
      </c>
      <c r="D126" s="6" t="s">
        <v>47</v>
      </c>
      <c r="E126" s="6" t="s">
        <v>9</v>
      </c>
      <c r="F126" s="9" t="str">
        <f>VLOOKUP(A126,Tutors!C:D,2,0)</f>
        <v>2240</v>
      </c>
      <c r="G126" s="8" t="str">
        <f>VLOOKUP(A126,Tutors!C:E,3,0)</f>
        <v/>
      </c>
      <c r="H126" s="8" t="str">
        <f>VLOOKUP(A126,Tutors!A:F,6,0)</f>
        <v>alshaimaag062@gmail.com</v>
      </c>
      <c r="I126" s="8" t="str">
        <f>VLOOKUP(A126,Tutors!C:G,5,0)</f>
        <v>01094815086</v>
      </c>
      <c r="J126" s="8">
        <f>COUNTIFS(Active!C:C,A126)</f>
        <v>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 t="s">
        <v>148</v>
      </c>
      <c r="B127" s="7">
        <f>VLOOKUP(A127,Tutors!A:B,2,0)</f>
        <v>560197507192</v>
      </c>
      <c r="C127" s="6" t="s">
        <v>86</v>
      </c>
      <c r="D127" s="6" t="s">
        <v>47</v>
      </c>
      <c r="E127" s="6" t="s">
        <v>13</v>
      </c>
      <c r="F127" s="9" t="str">
        <f>VLOOKUP(A127,Tutors!C:D,2,0)</f>
        <v>2245</v>
      </c>
      <c r="G127" s="8" t="str">
        <f>VLOOKUP(A127,Tutors!C:E,3,0)</f>
        <v/>
      </c>
      <c r="H127" s="8" t="str">
        <f>VLOOKUP(A127,Tutors!A:F,6,0)</f>
        <v>samarhamdy793@gmail.com</v>
      </c>
      <c r="I127" s="8" t="str">
        <f>VLOOKUP(A127,Tutors!C:G,5,0)</f>
        <v>01204852813</v>
      </c>
      <c r="J127" s="8">
        <f>COUNTIFS(Active!C:C,A127)</f>
        <v>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" t="s">
        <v>149</v>
      </c>
      <c r="B128" s="7">
        <f>VLOOKUP(A128,Tutors!A:B,2,0)</f>
        <v>427179795127</v>
      </c>
      <c r="C128" s="6" t="s">
        <v>86</v>
      </c>
      <c r="D128" s="6" t="s">
        <v>47</v>
      </c>
      <c r="E128" s="6" t="s">
        <v>9</v>
      </c>
      <c r="F128" s="9" t="str">
        <f>VLOOKUP(A128,Tutors!C:D,2,0)</f>
        <v>2248</v>
      </c>
      <c r="G128" s="8" t="str">
        <f>VLOOKUP(A128,Tutors!C:E,3,0)</f>
        <v/>
      </c>
      <c r="H128" s="8" t="str">
        <f>VLOOKUP(A128,Tutors!A:F,6,0)</f>
        <v>sa.othman8@gmail.com</v>
      </c>
      <c r="I128" s="8" t="str">
        <f>VLOOKUP(A128,Tutors!C:G,5,0)</f>
        <v>01022637927</v>
      </c>
      <c r="J128" s="8">
        <f>COUNTIFS(Active!C:C,A128)</f>
        <v>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" t="s">
        <v>150</v>
      </c>
      <c r="B129" s="7">
        <f>VLOOKUP(A129,Tutors!A:B,2,0)</f>
        <v>657134826213</v>
      </c>
      <c r="C129" s="6" t="s">
        <v>86</v>
      </c>
      <c r="D129" s="6" t="s">
        <v>47</v>
      </c>
      <c r="E129" s="6" t="s">
        <v>13</v>
      </c>
      <c r="F129" s="8">
        <f>VLOOKUP(A129,Tutors!C:D,2,0)</f>
        <v>2397</v>
      </c>
      <c r="G129" s="8" t="str">
        <f>VLOOKUP(A129,Tutors!C:E,3,0)</f>
        <v>EG04-EG05-EG06</v>
      </c>
      <c r="H129" s="8" t="str">
        <f>VLOOKUP(A129,Tutors!A:F,6,0)</f>
        <v>douaanaguib@gmail.com</v>
      </c>
      <c r="I129" s="8" t="str">
        <f>VLOOKUP(A129,Tutors!C:G,5,0)</f>
        <v>01000271867</v>
      </c>
      <c r="J129" s="8">
        <f>COUNTIFS(Active!C:C,A129)</f>
        <v>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" t="s">
        <v>151</v>
      </c>
      <c r="B130" s="7">
        <f>VLOOKUP(A130,Tutors!A:B,2,0)</f>
        <v>489106709893</v>
      </c>
      <c r="C130" s="6" t="s">
        <v>86</v>
      </c>
      <c r="D130" s="6" t="s">
        <v>47</v>
      </c>
      <c r="E130" s="6" t="s">
        <v>9</v>
      </c>
      <c r="F130" s="8">
        <f>VLOOKUP(A130,Tutors!C:D,2,0)</f>
        <v>2406</v>
      </c>
      <c r="G130" s="8" t="str">
        <f>VLOOKUP(A130,Tutors!C:E,3,0)</f>
        <v>EG03-EG04-EG05-EG06</v>
      </c>
      <c r="H130" s="8" t="str">
        <f>VLOOKUP(A130,Tutors!A:F,6,0)</f>
        <v>mrminamath1989@gmail.com</v>
      </c>
      <c r="I130" s="8" t="str">
        <f>VLOOKUP(A130,Tutors!C:G,5,0)</f>
        <v>01061512070</v>
      </c>
      <c r="J130" s="8">
        <f>COUNTIFS(Active!C:C,A130)</f>
        <v>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" t="s">
        <v>152</v>
      </c>
      <c r="B131" s="7">
        <f>VLOOKUP(A131,Tutors!A:B,2,0)</f>
        <v>518128197903</v>
      </c>
      <c r="C131" s="6" t="s">
        <v>86</v>
      </c>
      <c r="D131" s="6" t="s">
        <v>47</v>
      </c>
      <c r="E131" s="6" t="s">
        <v>9</v>
      </c>
      <c r="F131" s="8">
        <f>VLOOKUP(A131,Tutors!C:D,2,0)</f>
        <v>2409</v>
      </c>
      <c r="G131" s="8" t="str">
        <f>VLOOKUP(A131,Tutors!C:E,3,0)</f>
        <v>EG01-EG02-EG03-EG04-EG05-EG06</v>
      </c>
      <c r="H131" s="8" t="str">
        <f>VLOOKUP(A131,Tutors!A:F,6,0)</f>
        <v>raniamo712@gmail.com</v>
      </c>
      <c r="I131" s="8" t="str">
        <f>VLOOKUP(A131,Tutors!C:G,5,0)</f>
        <v>01157249432</v>
      </c>
      <c r="J131" s="8">
        <f>COUNTIFS(Active!C:C,A131)</f>
        <v>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" t="s">
        <v>153</v>
      </c>
      <c r="B132" s="7">
        <f>VLOOKUP(A132,Tutors!A:B,2,0)</f>
        <v>342149485143</v>
      </c>
      <c r="C132" s="6" t="s">
        <v>86</v>
      </c>
      <c r="D132" s="6" t="s">
        <v>47</v>
      </c>
      <c r="E132" s="6" t="s">
        <v>9</v>
      </c>
      <c r="F132" s="8">
        <f>VLOOKUP(A132,Tutors!C:D,2,0)</f>
        <v>2430</v>
      </c>
      <c r="G132" s="8" t="str">
        <f>VLOOKUP(A132,Tutors!C:E,3,0)</f>
        <v>EG04-EG05-EG06-EG07-EG08-EG09</v>
      </c>
      <c r="H132" s="8" t="str">
        <f>VLOOKUP(A132,Tutors!A:F,6,0)</f>
        <v>shemoelbindary52@gmail.com</v>
      </c>
      <c r="I132" s="8" t="str">
        <f>VLOOKUP(A132,Tutors!C:G,5,0)</f>
        <v>01090538802</v>
      </c>
      <c r="J132" s="8">
        <f>COUNTIFS(Active!C:C,A132)</f>
        <v>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" t="s">
        <v>154</v>
      </c>
      <c r="B133" s="7">
        <f>VLOOKUP(A133,Tutors!A:B,2,0)</f>
        <v>375181246026</v>
      </c>
      <c r="C133" s="6" t="s">
        <v>86</v>
      </c>
      <c r="D133" s="6" t="s">
        <v>47</v>
      </c>
      <c r="E133" s="6" t="s">
        <v>9</v>
      </c>
      <c r="F133" s="8">
        <f>VLOOKUP(A133,Tutors!C:D,2,0)</f>
        <v>2452</v>
      </c>
      <c r="G133" s="8" t="str">
        <f>VLOOKUP(A133,Tutors!C:E,3,0)</f>
        <v>EG04-EG05-EG06</v>
      </c>
      <c r="H133" s="8" t="str">
        <f>VLOOKUP(A133,Tutors!A:F,6,0)</f>
        <v>amrtarek.1100@yahoo.com</v>
      </c>
      <c r="I133" s="8" t="str">
        <f>VLOOKUP(A133,Tutors!C:G,5,0)</f>
        <v>01143727455</v>
      </c>
      <c r="J133" s="8">
        <f>COUNTIFS(Active!C:C,A133)</f>
        <v>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" t="s">
        <v>155</v>
      </c>
      <c r="B134" s="7">
        <f>VLOOKUP(A134,Tutors!A:B,2,0)</f>
        <v>510131201316</v>
      </c>
      <c r="C134" s="6" t="s">
        <v>86</v>
      </c>
      <c r="D134" s="6" t="s">
        <v>47</v>
      </c>
      <c r="E134" s="6" t="s">
        <v>13</v>
      </c>
      <c r="F134" s="8" t="str">
        <f>VLOOKUP(A134,Tutors!C:D,2,0)</f>
        <v/>
      </c>
      <c r="G134" s="8" t="str">
        <f>VLOOKUP(A134,Tutors!C:E,3,0)</f>
        <v>EG04-EG05-EG06-EG07</v>
      </c>
      <c r="H134" s="8" t="str">
        <f>VLOOKUP(A134,Tutors!A:F,6,0)</f>
        <v>essay.soo1996@gmail.com</v>
      </c>
      <c r="I134" s="8" t="str">
        <f>VLOOKUP(A134,Tutors!C:G,5,0)</f>
        <v/>
      </c>
      <c r="J134" s="8">
        <f>COUNTIFS(Active!C:C,A134)</f>
        <v>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" t="s">
        <v>156</v>
      </c>
      <c r="B135" s="7">
        <f>VLOOKUP(A135,Tutors!A:B,2,0)</f>
        <v>895145269153</v>
      </c>
      <c r="C135" s="6" t="s">
        <v>86</v>
      </c>
      <c r="D135" s="6" t="s">
        <v>47</v>
      </c>
      <c r="E135" s="6" t="s">
        <v>9</v>
      </c>
      <c r="F135" s="8">
        <f>VLOOKUP(A135,Tutors!C:D,2,0)</f>
        <v>2534</v>
      </c>
      <c r="G135" s="8" t="str">
        <f>VLOOKUP(A135,Tutors!C:E,3,0)</f>
        <v>EG04-EG05-EG06</v>
      </c>
      <c r="H135" s="8" t="str">
        <f>VLOOKUP(A135,Tutors!A:F,6,0)</f>
        <v>ogomaa57@gmail.com</v>
      </c>
      <c r="I135" s="8" t="str">
        <f>VLOOKUP(A135,Tutors!C:G,5,0)</f>
        <v>01002637904</v>
      </c>
      <c r="J135" s="8">
        <f>COUNTIFS(Active!C:C,A135)</f>
        <v>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" t="s">
        <v>157</v>
      </c>
      <c r="B136" s="7">
        <f>VLOOKUP(A136,Tutors!A:B,2,0)</f>
        <v>636191708065</v>
      </c>
      <c r="C136" s="6" t="s">
        <v>86</v>
      </c>
      <c r="D136" s="6" t="s">
        <v>47</v>
      </c>
      <c r="E136" s="6" t="s">
        <v>9</v>
      </c>
      <c r="F136" s="8">
        <f>VLOOKUP(A136,Tutors!C:D,2,0)</f>
        <v>2604</v>
      </c>
      <c r="G136" s="8" t="str">
        <f>VLOOKUP(A136,Tutors!C:E,3,0)</f>
        <v>EG04-EG05-EG06</v>
      </c>
      <c r="H136" s="8" t="str">
        <f>VLOOKUP(A136,Tutors!A:F,6,0)</f>
        <v>karema0saed@gmail.com</v>
      </c>
      <c r="I136" s="8" t="str">
        <f>VLOOKUP(A136,Tutors!C:G,5,0)</f>
        <v/>
      </c>
      <c r="J136" s="8">
        <f>COUNTIFS(Active!C:C,A136)</f>
        <v>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" t="s">
        <v>158</v>
      </c>
      <c r="B137" s="7">
        <f>VLOOKUP(A137,Tutors!A:B,2,0)</f>
        <v>546184861318</v>
      </c>
      <c r="C137" s="6" t="s">
        <v>86</v>
      </c>
      <c r="D137" s="6" t="s">
        <v>47</v>
      </c>
      <c r="E137" s="6" t="s">
        <v>9</v>
      </c>
      <c r="F137" s="8">
        <f>VLOOKUP(A137,Tutors!C:D,2,0)</f>
        <v>2616</v>
      </c>
      <c r="G137" s="8" t="str">
        <f>VLOOKUP(A137,Tutors!C:E,3,0)</f>
        <v>EG04-EG05-EG06</v>
      </c>
      <c r="H137" s="8" t="str">
        <f>VLOOKUP(A137,Tutors!A:F,6,0)</f>
        <v>mennar048@gmail.com</v>
      </c>
      <c r="I137" s="8" t="str">
        <f>VLOOKUP(A137,Tutors!C:G,5,0)</f>
        <v/>
      </c>
      <c r="J137" s="8">
        <f>COUNTIFS(Active!C:C,A137)</f>
        <v>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 t="s">
        <v>159</v>
      </c>
      <c r="B138" s="7">
        <f>VLOOKUP(A138,Tutors!A:B,2,0)</f>
        <v>450169828460</v>
      </c>
      <c r="C138" s="6" t="s">
        <v>86</v>
      </c>
      <c r="D138" s="6" t="s">
        <v>47</v>
      </c>
      <c r="E138" s="6" t="s">
        <v>9</v>
      </c>
      <c r="F138" s="8">
        <f>VLOOKUP(A138,Tutors!C:D,2,0)</f>
        <v>2639</v>
      </c>
      <c r="G138" s="8" t="str">
        <f>VLOOKUP(A138,Tutors!C:E,3,0)</f>
        <v>EG04-EG05-EG06</v>
      </c>
      <c r="H138" s="8" t="str">
        <f>VLOOKUP(A138,Tutors!A:F,6,0)</f>
        <v>nancyahmed9720@gmail.com</v>
      </c>
      <c r="I138" s="8" t="str">
        <f>VLOOKUP(A138,Tutors!C:G,5,0)</f>
        <v>01226903380</v>
      </c>
      <c r="J138" s="8">
        <f>COUNTIFS(Active!C:C,A138)</f>
        <v>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" t="s">
        <v>160</v>
      </c>
      <c r="B139" s="7">
        <f>VLOOKUP(A139,Tutors!A:B,2,0)</f>
        <v>690175608128</v>
      </c>
      <c r="C139" s="6" t="s">
        <v>86</v>
      </c>
      <c r="D139" s="6" t="s">
        <v>47</v>
      </c>
      <c r="E139" s="6" t="s">
        <v>9</v>
      </c>
      <c r="F139" s="8">
        <f>VLOOKUP(A139,Tutors!C:D,2,0)</f>
        <v>2680</v>
      </c>
      <c r="G139" s="8" t="str">
        <f>VLOOKUP(A139,Tutors!C:E,3,0)</f>
        <v>EG03-EG04-EG05-EG06</v>
      </c>
      <c r="H139" s="8" t="str">
        <f>VLOOKUP(A139,Tutors!A:F,6,0)</f>
        <v>math.department.eg@gmail.com</v>
      </c>
      <c r="I139" s="8" t="str">
        <f>VLOOKUP(A139,Tutors!C:G,5,0)</f>
        <v>01016652043</v>
      </c>
      <c r="J139" s="8">
        <f>COUNTIFS(Active!C:C,A139)</f>
        <v>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" t="s">
        <v>161</v>
      </c>
      <c r="B140" s="7">
        <f>VLOOKUP(A140,Tutors!A:B,2,0)</f>
        <v>203121294150</v>
      </c>
      <c r="C140" s="6" t="s">
        <v>86</v>
      </c>
      <c r="D140" s="6" t="s">
        <v>47</v>
      </c>
      <c r="E140" s="6" t="s">
        <v>9</v>
      </c>
      <c r="F140" s="8">
        <f>VLOOKUP(A140,Tutors!C:D,2,0)</f>
        <v>2262</v>
      </c>
      <c r="G140" s="8" t="str">
        <f>VLOOKUP(A140,Tutors!C:E,3,0)</f>
        <v>EG03-EG04-EG05-EG06</v>
      </c>
      <c r="H140" s="8" t="str">
        <f>VLOOKUP(A140,Tutors!A:F,6,0)</f>
        <v>asmaa.elnoubi@gmail.com</v>
      </c>
      <c r="I140" s="8" t="str">
        <f>VLOOKUP(A140,Tutors!C:G,5,0)</f>
        <v>01270115158</v>
      </c>
      <c r="J140" s="8">
        <f>COUNTIFS(Active!C:C,A140)</f>
        <v>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" t="s">
        <v>162</v>
      </c>
      <c r="B141" s="7">
        <f>VLOOKUP(A141,Tutors!A:B,2,0)</f>
        <v>209172013854</v>
      </c>
      <c r="C141" s="6" t="s">
        <v>86</v>
      </c>
      <c r="D141" s="6" t="s">
        <v>47</v>
      </c>
      <c r="E141" s="10" t="s">
        <v>9</v>
      </c>
      <c r="F141" s="8">
        <f>VLOOKUP(A141,Tutors!C:D,2,0)</f>
        <v>2742</v>
      </c>
      <c r="G141" s="8" t="str">
        <f>VLOOKUP(A141,Tutors!C:E,3,0)</f>
        <v>EG03-EG04-EG05</v>
      </c>
      <c r="H141" s="8" t="str">
        <f>VLOOKUP(A141,Tutors!A:F,6,0)</f>
        <v>habibaadel1922@gmail.com</v>
      </c>
      <c r="I141" s="8" t="str">
        <f>VLOOKUP(A141,Tutors!C:G,5,0)</f>
        <v>01201027560</v>
      </c>
      <c r="J141" s="8">
        <f>COUNTIFS(Active!C:C,A141)</f>
        <v>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" t="s">
        <v>163</v>
      </c>
      <c r="B142" s="7">
        <f>VLOOKUP(A142,Tutors!A:B,2,0)</f>
        <v>595148969297</v>
      </c>
      <c r="C142" s="6" t="s">
        <v>86</v>
      </c>
      <c r="D142" s="6" t="s">
        <v>47</v>
      </c>
      <c r="E142" s="6" t="s">
        <v>13</v>
      </c>
      <c r="F142" s="8">
        <f>VLOOKUP(A142,Tutors!C:D,2,0)</f>
        <v>2665</v>
      </c>
      <c r="G142" s="8" t="str">
        <f>VLOOKUP(A142,Tutors!C:E,3,0)</f>
        <v>EG04-EG05-EG06</v>
      </c>
      <c r="H142" s="8" t="str">
        <f>VLOOKUP(A142,Tutors!A:F,6,0)</f>
        <v>martinaasad5@gmail.com</v>
      </c>
      <c r="I142" s="8" t="str">
        <f>VLOOKUP(A142,Tutors!C:G,5,0)</f>
        <v>+201281678241</v>
      </c>
      <c r="J142" s="8">
        <f>COUNTIFS(Active!C:C,A142)</f>
        <v>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" t="s">
        <v>164</v>
      </c>
      <c r="B143" s="7">
        <f>VLOOKUP(A143,Tutors!A:B,2,0)</f>
        <v>386167394718</v>
      </c>
      <c r="C143" s="6" t="s">
        <v>86</v>
      </c>
      <c r="D143" s="6" t="s">
        <v>47</v>
      </c>
      <c r="E143" s="10" t="s">
        <v>9</v>
      </c>
      <c r="F143" s="8">
        <f>VLOOKUP(A143,Tutors!C:D,2,0)</f>
        <v>2763</v>
      </c>
      <c r="G143" s="8" t="str">
        <f>VLOOKUP(A143,Tutors!C:E,3,0)</f>
        <v>EG03-EG04-EG05-EG06</v>
      </c>
      <c r="H143" s="8" t="str">
        <f>VLOOKUP(A143,Tutors!A:F,6,0)</f>
        <v>hebatullahhesham47@gmail.com</v>
      </c>
      <c r="I143" s="8" t="str">
        <f>VLOOKUP(A143,Tutors!C:G,5,0)</f>
        <v/>
      </c>
      <c r="J143" s="8">
        <f>COUNTIFS(Active!C:C,A143)</f>
        <v>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" t="s">
        <v>165</v>
      </c>
      <c r="B144" s="7">
        <f>VLOOKUP(A144,Tutors!A:B,2,0)</f>
        <v>723106572403</v>
      </c>
      <c r="C144" s="6" t="s">
        <v>86</v>
      </c>
      <c r="D144" s="6" t="s">
        <v>47</v>
      </c>
      <c r="E144" s="10" t="s">
        <v>9</v>
      </c>
      <c r="F144" s="8">
        <f>VLOOKUP(A144,Tutors!C:D,2,0)</f>
        <v>2752</v>
      </c>
      <c r="G144" s="8" t="str">
        <f>VLOOKUP(A144,Tutors!C:E,3,0)</f>
        <v>EG04-EG05-EG06</v>
      </c>
      <c r="H144" s="8" t="str">
        <f>VLOOKUP(A144,Tutors!A:F,6,0)</f>
        <v>nasrahussein422@gmail.com</v>
      </c>
      <c r="I144" s="8" t="str">
        <f>VLOOKUP(A144,Tutors!C:G,5,0)</f>
        <v/>
      </c>
      <c r="J144" s="8">
        <f>COUNTIFS(Active!C:C,A144)</f>
        <v>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" t="s">
        <v>166</v>
      </c>
      <c r="B145" s="7">
        <f>VLOOKUP(A145,Tutors!A:B,2,0)</f>
        <v>638145149439</v>
      </c>
      <c r="C145" s="6" t="s">
        <v>86</v>
      </c>
      <c r="D145" s="6" t="s">
        <v>47</v>
      </c>
      <c r="E145" s="10" t="s">
        <v>9</v>
      </c>
      <c r="F145" s="8">
        <f>VLOOKUP(A145,Tutors!C:D,2,0)</f>
        <v>2668</v>
      </c>
      <c r="G145" s="8" t="str">
        <f>VLOOKUP(A145,Tutors!C:E,3,0)</f>
        <v>EG04-EG05-EG06</v>
      </c>
      <c r="H145" s="8" t="str">
        <f>VLOOKUP(A145,Tutors!A:F,6,0)</f>
        <v>amiratutmask@gmail.com</v>
      </c>
      <c r="I145" s="8" t="str">
        <f>VLOOKUP(A145,Tutors!C:G,5,0)</f>
        <v>01006331821</v>
      </c>
      <c r="J145" s="8">
        <f>COUNTIFS(Active!C:C,A145)</f>
        <v>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" t="s">
        <v>167</v>
      </c>
      <c r="B146" s="7">
        <f>VLOOKUP(A146,Tutors!A:B,2,0)</f>
        <v>686140960605</v>
      </c>
      <c r="C146" s="6" t="s">
        <v>86</v>
      </c>
      <c r="D146" s="6" t="s">
        <v>47</v>
      </c>
      <c r="E146" s="6" t="s">
        <v>13</v>
      </c>
      <c r="F146" s="8" t="str">
        <f>VLOOKUP(A146,Tutors!C:D,2,0)</f>
        <v/>
      </c>
      <c r="G146" s="8" t="str">
        <f>VLOOKUP(A146,Tutors!C:E,3,0)</f>
        <v>EG04-EG05-EG06</v>
      </c>
      <c r="H146" s="8" t="str">
        <f>VLOOKUP(A146,Tutors!A:F,6,0)</f>
        <v>gedahad1511@gmail.com</v>
      </c>
      <c r="I146" s="8" t="str">
        <f>VLOOKUP(A146,Tutors!C:G,5,0)</f>
        <v/>
      </c>
      <c r="J146" s="8">
        <f>COUNTIFS(Active!C:C,A146)</f>
        <v>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" t="s">
        <v>168</v>
      </c>
      <c r="B147" s="7">
        <f>VLOOKUP(A147,Tutors!A:B,2,0)</f>
        <v>578126806131</v>
      </c>
      <c r="C147" s="6" t="s">
        <v>86</v>
      </c>
      <c r="D147" s="6" t="s">
        <v>47</v>
      </c>
      <c r="E147" s="6" t="s">
        <v>9</v>
      </c>
      <c r="F147" s="8">
        <f>VLOOKUP(A147,Tutors!C:D,2,0)</f>
        <v>2640</v>
      </c>
      <c r="G147" s="8" t="str">
        <f>VLOOKUP(A147,Tutors!C:E,3,0)</f>
        <v>EG03-EG04-EG05-EG06</v>
      </c>
      <c r="H147" s="8" t="str">
        <f>VLOOKUP(A147,Tutors!A:F,6,0)</f>
        <v>asaadia881@gmail.com</v>
      </c>
      <c r="I147" s="8" t="str">
        <f>VLOOKUP(A147,Tutors!C:G,5,0)</f>
        <v/>
      </c>
      <c r="J147" s="8">
        <f>COUNTIFS(Active!C:C,A147)</f>
        <v>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" t="s">
        <v>169</v>
      </c>
      <c r="B148" s="7">
        <f>VLOOKUP(A148,Tutors!A:B,2,0)</f>
        <v>537126249693</v>
      </c>
      <c r="C148" s="6" t="s">
        <v>86</v>
      </c>
      <c r="D148" s="6" t="s">
        <v>47</v>
      </c>
      <c r="E148" s="10" t="s">
        <v>9</v>
      </c>
      <c r="F148" s="8">
        <f>VLOOKUP(A148,Tutors!C:D,2,0)</f>
        <v>2775</v>
      </c>
      <c r="G148" s="8" t="str">
        <f>VLOOKUP(A148,Tutors!C:E,3,0)</f>
        <v>EG04-EG05-EG06</v>
      </c>
      <c r="H148" s="8" t="str">
        <f>VLOOKUP(A148,Tutors!A:F,6,0)</f>
        <v>ayamegahed071@gmail.com</v>
      </c>
      <c r="I148" s="8" t="str">
        <f>VLOOKUP(A148,Tutors!C:G,5,0)</f>
        <v>01066056096</v>
      </c>
      <c r="J148" s="8">
        <f>COUNTIFS(Active!C:C,A148)</f>
        <v>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" t="s">
        <v>170</v>
      </c>
      <c r="B149" s="7">
        <f>VLOOKUP(A149,Tutors!A:B,2,0)</f>
        <v>863152852634</v>
      </c>
      <c r="C149" s="6" t="s">
        <v>86</v>
      </c>
      <c r="D149" s="6" t="s">
        <v>47</v>
      </c>
      <c r="E149" s="10" t="s">
        <v>9</v>
      </c>
      <c r="F149" s="8">
        <f>VLOOKUP(A149,Tutors!C:D,2,0)</f>
        <v>2804</v>
      </c>
      <c r="G149" s="8" t="str">
        <f>VLOOKUP(A149,Tutors!C:E,3,0)</f>
        <v>EG04-EG05-EG06</v>
      </c>
      <c r="H149" s="8" t="str">
        <f>VLOOKUP(A149,Tutors!A:F,6,0)</f>
        <v>ahmedtawfek2002@gmail.com</v>
      </c>
      <c r="I149" s="8" t="str">
        <f>VLOOKUP(A149,Tutors!C:G,5,0)</f>
        <v>01098960940</v>
      </c>
      <c r="J149" s="8">
        <f>COUNTIFS(Active!C:C,A149)</f>
        <v>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" t="s">
        <v>171</v>
      </c>
      <c r="B150" s="7">
        <f>VLOOKUP(A150,Tutors!A:B,2,0)</f>
        <v>632164034291</v>
      </c>
      <c r="C150" s="6" t="s">
        <v>86</v>
      </c>
      <c r="D150" s="6" t="s">
        <v>172</v>
      </c>
      <c r="E150" s="6" t="s">
        <v>9</v>
      </c>
      <c r="F150" s="9" t="str">
        <f>VLOOKUP(A150,Tutors!C:D,2,0)</f>
        <v>1004</v>
      </c>
      <c r="G150" s="8" t="str">
        <f>VLOOKUP(A150,Tutors!C:E,3,0)</f>
        <v>EG04-EG05-EG06-EG07-EG08-EG09</v>
      </c>
      <c r="H150" s="8" t="str">
        <f>VLOOKUP(A150,Tutors!A:F,6,0)</f>
        <v>zeina.elsheikh@nagwa.com</v>
      </c>
      <c r="I150" s="8" t="str">
        <f>VLOOKUP(A150,Tutors!C:G,5,0)</f>
        <v>01097890222</v>
      </c>
      <c r="J150" s="8">
        <f>COUNTIFS(Active!C:C,A150)</f>
        <v>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" t="s">
        <v>173</v>
      </c>
      <c r="B151" s="7">
        <f>VLOOKUP(A151,Tutors!A:B,2,0)</f>
        <v>703170132053</v>
      </c>
      <c r="C151" s="6" t="s">
        <v>86</v>
      </c>
      <c r="D151" s="6" t="s">
        <v>172</v>
      </c>
      <c r="E151" s="6" t="s">
        <v>9</v>
      </c>
      <c r="F151" s="9" t="str">
        <f>VLOOKUP(A151,Tutors!C:D,2,0)</f>
        <v>1849</v>
      </c>
      <c r="G151" s="8" t="str">
        <f>VLOOKUP(A151,Tutors!C:E,3,0)</f>
        <v>EG04-EG05-EG06-EG07-EG08-EG09</v>
      </c>
      <c r="H151" s="8" t="str">
        <f>VLOOKUP(A151,Tutors!A:F,6,0)</f>
        <v>noraalmiligy@gmail.com</v>
      </c>
      <c r="I151" s="8">
        <f>VLOOKUP(A151,Tutors!C:G,5,0)</f>
        <v>1144280921</v>
      </c>
      <c r="J151" s="8">
        <f>COUNTIFS(Active!C:C,A151)</f>
        <v>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" t="s">
        <v>174</v>
      </c>
      <c r="B152" s="7">
        <f>VLOOKUP(A152,Tutors!A:B,2,0)</f>
        <v>438168047047</v>
      </c>
      <c r="C152" s="6" t="s">
        <v>86</v>
      </c>
      <c r="D152" s="6" t="s">
        <v>172</v>
      </c>
      <c r="E152" s="6" t="s">
        <v>9</v>
      </c>
      <c r="F152" s="9" t="str">
        <f>VLOOKUP(A152,Tutors!C:D,2,0)</f>
        <v>1907</v>
      </c>
      <c r="G152" s="8" t="str">
        <f>VLOOKUP(A152,Tutors!C:E,3,0)</f>
        <v>EG04-EG05-EG06-EG07-EG08-EG09</v>
      </c>
      <c r="H152" s="8" t="str">
        <f>VLOOKUP(A152,Tutors!A:F,6,0)</f>
        <v>esraa.eid.95@gmail.com</v>
      </c>
      <c r="I152" s="8" t="str">
        <f>VLOOKUP(A152,Tutors!C:G,5,0)</f>
        <v>01009980720</v>
      </c>
      <c r="J152" s="8">
        <f>COUNTIFS(Active!C:C,A152)</f>
        <v>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" t="s">
        <v>175</v>
      </c>
      <c r="B153" s="7">
        <f>VLOOKUP(A153,Tutors!A:B,2,0)</f>
        <v>804187379101</v>
      </c>
      <c r="C153" s="6" t="s">
        <v>86</v>
      </c>
      <c r="D153" s="6" t="s">
        <v>172</v>
      </c>
      <c r="E153" s="6" t="s">
        <v>9</v>
      </c>
      <c r="F153" s="9" t="str">
        <f>VLOOKUP(A153,Tutors!C:D,2,0)</f>
        <v>2013</v>
      </c>
      <c r="G153" s="8" t="str">
        <f>VLOOKUP(A153,Tutors!C:E,3,0)</f>
        <v>EG04-EG05-EG06-EG07-EG08-EG09</v>
      </c>
      <c r="H153" s="8" t="str">
        <f>VLOOKUP(A153,Tutors!A:F,6,0)</f>
        <v>radwakadrey@gmail.com</v>
      </c>
      <c r="I153" s="8" t="str">
        <f>VLOOKUP(A153,Tutors!C:G,5,0)</f>
        <v>01228963698</v>
      </c>
      <c r="J153" s="8">
        <f>COUNTIFS(Active!C:C,A153)</f>
        <v>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" t="s">
        <v>176</v>
      </c>
      <c r="B154" s="7">
        <f>VLOOKUP(A154,Tutors!A:B,2,0)</f>
        <v>637175861357</v>
      </c>
      <c r="C154" s="6" t="s">
        <v>86</v>
      </c>
      <c r="D154" s="6" t="s">
        <v>172</v>
      </c>
      <c r="E154" s="6" t="s">
        <v>9</v>
      </c>
      <c r="F154" s="9" t="str">
        <f>VLOOKUP(A154,Tutors!C:D,2,0)</f>
        <v>2144</v>
      </c>
      <c r="G154" s="8" t="str">
        <f>VLOOKUP(A154,Tutors!C:E,3,0)</f>
        <v>EG03-EG04-EG05-EG06</v>
      </c>
      <c r="H154" s="8" t="str">
        <f>VLOOKUP(A154,Tutors!A:F,6,0)</f>
        <v>amanyelsayed808@gmail.com</v>
      </c>
      <c r="I154" s="8" t="str">
        <f>VLOOKUP(A154,Tutors!C:G,5,0)</f>
        <v>01008649576</v>
      </c>
      <c r="J154" s="8">
        <f>COUNTIFS(Active!C:C,A154)</f>
        <v>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" t="s">
        <v>177</v>
      </c>
      <c r="B155" s="7">
        <f>VLOOKUP(A155,Tutors!A:B,2,0)</f>
        <v>687104205132</v>
      </c>
      <c r="C155" s="6" t="s">
        <v>86</v>
      </c>
      <c r="D155" s="6" t="s">
        <v>172</v>
      </c>
      <c r="E155" s="6" t="s">
        <v>9</v>
      </c>
      <c r="F155" s="9" t="str">
        <f>VLOOKUP(A155,Tutors!C:D,2,0)</f>
        <v>1383</v>
      </c>
      <c r="G155" s="8" t="str">
        <f>VLOOKUP(A155,Tutors!C:E,3,0)</f>
        <v>EG04-EG05-EG06</v>
      </c>
      <c r="H155" s="8" t="str">
        <f>VLOOKUP(A155,Tutors!A:F,6,0)</f>
        <v>byasmins4288@gmail.com</v>
      </c>
      <c r="I155" s="8" t="str">
        <f>VLOOKUP(A155,Tutors!C:G,5,0)</f>
        <v>01004560430</v>
      </c>
      <c r="J155" s="8">
        <f>COUNTIFS(Active!C:C,A155)</f>
        <v>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" t="s">
        <v>178</v>
      </c>
      <c r="B156" s="7">
        <f>VLOOKUP(A156,Tutors!A:B,2,0)</f>
        <v>594131487609</v>
      </c>
      <c r="C156" s="6" t="s">
        <v>86</v>
      </c>
      <c r="D156" s="6" t="s">
        <v>172</v>
      </c>
      <c r="E156" s="6" t="s">
        <v>9</v>
      </c>
      <c r="F156" s="8">
        <f>VLOOKUP(A156,Tutors!C:D,2,0)</f>
        <v>2339</v>
      </c>
      <c r="G156" s="8" t="str">
        <f>VLOOKUP(A156,Tutors!C:E,3,0)</f>
        <v>EG04-EG05-EG06-EG07-EG08-EG09</v>
      </c>
      <c r="H156" s="8" t="str">
        <f>VLOOKUP(A156,Tutors!A:F,6,0)</f>
        <v>aliaafsultan105@gmail.com</v>
      </c>
      <c r="I156" s="8" t="str">
        <f>VLOOKUP(A156,Tutors!C:G,5,0)</f>
        <v>01040323439</v>
      </c>
      <c r="J156" s="8">
        <f>COUNTIFS(Active!C:C,A156)</f>
        <v>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" t="s">
        <v>179</v>
      </c>
      <c r="B157" s="7">
        <f>VLOOKUP(A157,Tutors!A:B,2,0)</f>
        <v>586179418453</v>
      </c>
      <c r="C157" s="6" t="s">
        <v>86</v>
      </c>
      <c r="D157" s="6" t="s">
        <v>172</v>
      </c>
      <c r="E157" s="6" t="s">
        <v>9</v>
      </c>
      <c r="F157" s="8">
        <f>VLOOKUP(A157,Tutors!C:D,2,0)</f>
        <v>2342</v>
      </c>
      <c r="G157" s="8" t="str">
        <f>VLOOKUP(A157,Tutors!C:E,3,0)</f>
        <v>EG04-EG05-EG06-EG07-EG08-EG09</v>
      </c>
      <c r="H157" s="8" t="str">
        <f>VLOOKUP(A157,Tutors!A:F,6,0)</f>
        <v>hanansobhy9997@gmail.com</v>
      </c>
      <c r="I157" s="8" t="str">
        <f>VLOOKUP(A157,Tutors!C:G,5,0)</f>
        <v>01068457100</v>
      </c>
      <c r="J157" s="8">
        <f>COUNTIFS(Active!C:C,A157)</f>
        <v>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" t="s">
        <v>180</v>
      </c>
      <c r="B158" s="7">
        <f>VLOOKUP(A158,Tutors!A:B,2,0)</f>
        <v>943127373092</v>
      </c>
      <c r="C158" s="6" t="s">
        <v>86</v>
      </c>
      <c r="D158" s="6" t="s">
        <v>172</v>
      </c>
      <c r="E158" s="6" t="s">
        <v>9</v>
      </c>
      <c r="F158" s="8">
        <f>VLOOKUP(A158,Tutors!C:D,2,0)</f>
        <v>2353</v>
      </c>
      <c r="G158" s="8" t="str">
        <f>VLOOKUP(A158,Tutors!C:E,3,0)</f>
        <v>EG04-EG05-EG06-EG07-EG08-EG09</v>
      </c>
      <c r="H158" s="8" t="str">
        <f>VLOOKUP(A158,Tutors!A:F,6,0)</f>
        <v>rana.tarek.met@gmail.com</v>
      </c>
      <c r="I158" s="8" t="str">
        <f>VLOOKUP(A158,Tutors!C:G,5,0)</f>
        <v>01142877853</v>
      </c>
      <c r="J158" s="8">
        <f>COUNTIFS(Active!C:C,A158)</f>
        <v>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" t="s">
        <v>181</v>
      </c>
      <c r="B159" s="7">
        <f>VLOOKUP(A159,Tutors!A:B,2,0)</f>
        <v>589150897049</v>
      </c>
      <c r="C159" s="6" t="s">
        <v>86</v>
      </c>
      <c r="D159" s="6" t="s">
        <v>172</v>
      </c>
      <c r="E159" s="6" t="s">
        <v>9</v>
      </c>
      <c r="F159" s="8">
        <f>VLOOKUP(A159,Tutors!C:D,2,0)</f>
        <v>2377</v>
      </c>
      <c r="G159" s="8" t="str">
        <f>VLOOKUP(A159,Tutors!C:E,3,0)</f>
        <v>EG04-EG05-EG06-EG07-EG08-EG09</v>
      </c>
      <c r="H159" s="8" t="str">
        <f>VLOOKUP(A159,Tutors!A:F,6,0)</f>
        <v>hebamohamed.bloom@gmail.com</v>
      </c>
      <c r="I159" s="8" t="str">
        <f>VLOOKUP(A159,Tutors!C:G,5,0)</f>
        <v>01094740302</v>
      </c>
      <c r="J159" s="8">
        <f>COUNTIFS(Active!C:C,A159)</f>
        <v>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" t="s">
        <v>182</v>
      </c>
      <c r="B160" s="7">
        <f>VLOOKUP(A160,Tutors!A:B,2,0)</f>
        <v>809198759721</v>
      </c>
      <c r="C160" s="6" t="s">
        <v>86</v>
      </c>
      <c r="D160" s="6" t="s">
        <v>172</v>
      </c>
      <c r="E160" s="6" t="s">
        <v>9</v>
      </c>
      <c r="F160" s="8">
        <f>VLOOKUP(A160,Tutors!C:D,2,0)</f>
        <v>2367</v>
      </c>
      <c r="G160" s="8" t="str">
        <f>VLOOKUP(A160,Tutors!C:E,3,0)</f>
        <v>EG04-EG05-EG06-EG07</v>
      </c>
      <c r="H160" s="8" t="str">
        <f>VLOOKUP(A160,Tutors!A:F,6,0)</f>
        <v>rana.hrly@gmail.com</v>
      </c>
      <c r="I160" s="8" t="str">
        <f>VLOOKUP(A160,Tutors!C:G,5,0)</f>
        <v>01210614318</v>
      </c>
      <c r="J160" s="8">
        <f>COUNTIFS(Active!C:C,A160)</f>
        <v>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" t="s">
        <v>183</v>
      </c>
      <c r="B161" s="7">
        <f>VLOOKUP(A161,Tutors!A:B,2,0)</f>
        <v>135137963154</v>
      </c>
      <c r="C161" s="6" t="s">
        <v>86</v>
      </c>
      <c r="D161" s="6" t="s">
        <v>172</v>
      </c>
      <c r="E161" s="6" t="s">
        <v>184</v>
      </c>
      <c r="F161" s="8" t="str">
        <f>VLOOKUP(A161,Tutors!C:D,2,0)</f>
        <v/>
      </c>
      <c r="G161" s="8" t="str">
        <f>VLOOKUP(A161,Tutors!C:E,3,0)</f>
        <v>EG04-EG05-EG06</v>
      </c>
      <c r="H161" s="8" t="str">
        <f>VLOOKUP(A161,Tutors!A:F,6,0)</f>
        <v>marwa1980red@hotmail.com</v>
      </c>
      <c r="I161" s="8" t="str">
        <f>VLOOKUP(A161,Tutors!C:G,5,0)</f>
        <v>01210055699</v>
      </c>
      <c r="J161" s="8">
        <f>COUNTIFS(Active!C:C,A161)</f>
        <v>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" t="s">
        <v>185</v>
      </c>
      <c r="B162" s="7">
        <f>VLOOKUP(A162,Tutors!A:B,2,0)</f>
        <v>862179384026</v>
      </c>
      <c r="C162" s="6" t="s">
        <v>86</v>
      </c>
      <c r="D162" s="6" t="s">
        <v>172</v>
      </c>
      <c r="E162" s="6" t="s">
        <v>9</v>
      </c>
      <c r="F162" s="8">
        <f>VLOOKUP(A162,Tutors!C:D,2,0)</f>
        <v>2393</v>
      </c>
      <c r="G162" s="8" t="str">
        <f>VLOOKUP(A162,Tutors!C:E,3,0)</f>
        <v>EG04-EG05-EG06-EG07</v>
      </c>
      <c r="H162" s="8" t="str">
        <f>VLOOKUP(A162,Tutors!A:F,6,0)</f>
        <v>amiraahmed231@gmail.com</v>
      </c>
      <c r="I162" s="8" t="str">
        <f>VLOOKUP(A162,Tutors!C:G,5,0)</f>
        <v>01155574478</v>
      </c>
      <c r="J162" s="8">
        <f>COUNTIFS(Active!C:C,A162)</f>
        <v>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" t="s">
        <v>186</v>
      </c>
      <c r="B163" s="7">
        <f>VLOOKUP(A163,Tutors!A:B,2,0)</f>
        <v>340130765079</v>
      </c>
      <c r="C163" s="6" t="s">
        <v>86</v>
      </c>
      <c r="D163" s="6" t="s">
        <v>172</v>
      </c>
      <c r="E163" s="6" t="s">
        <v>13</v>
      </c>
      <c r="F163" s="8">
        <f>VLOOKUP(A163,Tutors!C:D,2,0)</f>
        <v>2446</v>
      </c>
      <c r="G163" s="8" t="str">
        <f>VLOOKUP(A163,Tutors!C:E,3,0)</f>
        <v>EG01-EG02-EG03-EG04-EG05-EG06</v>
      </c>
      <c r="H163" s="8" t="str">
        <f>VLOOKUP(A163,Tutors!A:F,6,0)</f>
        <v>ms.yaramostafaa@gmail.com</v>
      </c>
      <c r="I163" s="8" t="str">
        <f>VLOOKUP(A163,Tutors!C:G,5,0)</f>
        <v/>
      </c>
      <c r="J163" s="8">
        <f>COUNTIFS(Active!C:C,A163)</f>
        <v>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" t="s">
        <v>187</v>
      </c>
      <c r="B164" s="7">
        <f>VLOOKUP(A164,Tutors!A:B,2,0)</f>
        <v>180171957312</v>
      </c>
      <c r="C164" s="6" t="s">
        <v>86</v>
      </c>
      <c r="D164" s="6" t="s">
        <v>172</v>
      </c>
      <c r="E164" s="6" t="s">
        <v>9</v>
      </c>
      <c r="F164" s="8">
        <f>VLOOKUP(A164,Tutors!C:D,2,0)</f>
        <v>2432</v>
      </c>
      <c r="G164" s="8" t="str">
        <f>VLOOKUP(A164,Tutors!C:E,3,0)</f>
        <v>EG04-EG05</v>
      </c>
      <c r="H164" s="8" t="str">
        <f>VLOOKUP(A164,Tutors!A:F,6,0)</f>
        <v>demianaatef28@gmail.com</v>
      </c>
      <c r="I164" s="8" t="str">
        <f>VLOOKUP(A164,Tutors!C:G,5,0)</f>
        <v>01204031792</v>
      </c>
      <c r="J164" s="8">
        <f>COUNTIFS(Active!C:C,A164)</f>
        <v>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" t="s">
        <v>188</v>
      </c>
      <c r="B165" s="7">
        <f>VLOOKUP(A165,Tutors!A:B,2,0)</f>
        <v>807180730987</v>
      </c>
      <c r="C165" s="6" t="s">
        <v>86</v>
      </c>
      <c r="D165" s="6" t="s">
        <v>172</v>
      </c>
      <c r="E165" s="6" t="s">
        <v>13</v>
      </c>
      <c r="F165" s="8">
        <f>VLOOKUP(A165,Tutors!C:D,2,0)</f>
        <v>2442</v>
      </c>
      <c r="G165" s="8" t="str">
        <f>VLOOKUP(A165,Tutors!C:E,3,0)</f>
        <v>EG04-EG05-EG06</v>
      </c>
      <c r="H165" s="8" t="str">
        <f>VLOOKUP(A165,Tutors!A:F,6,0)</f>
        <v>hadeer.ashraf14@hotmail.com</v>
      </c>
      <c r="I165" s="8" t="str">
        <f>VLOOKUP(A165,Tutors!C:G,5,0)</f>
        <v>01004044327</v>
      </c>
      <c r="J165" s="8">
        <f>COUNTIFS(Active!C:C,A165)</f>
        <v>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" t="s">
        <v>189</v>
      </c>
      <c r="B166" s="7">
        <f>VLOOKUP(A166,Tutors!A:B,2,0)</f>
        <v>868184721354</v>
      </c>
      <c r="C166" s="6" t="s">
        <v>86</v>
      </c>
      <c r="D166" s="6" t="s">
        <v>172</v>
      </c>
      <c r="E166" s="6" t="s">
        <v>9</v>
      </c>
      <c r="F166" s="8">
        <f>VLOOKUP(A166,Tutors!C:D,2,0)</f>
        <v>2480</v>
      </c>
      <c r="G166" s="8" t="str">
        <f>VLOOKUP(A166,Tutors!C:E,3,0)</f>
        <v>EG04-EG05-EG06</v>
      </c>
      <c r="H166" s="8" t="str">
        <f>VLOOKUP(A166,Tutors!A:F,6,0)</f>
        <v>youstina.waide123@gmail.com</v>
      </c>
      <c r="I166" s="8" t="str">
        <f>VLOOKUP(A166,Tutors!C:G,5,0)</f>
        <v>01273882464</v>
      </c>
      <c r="J166" s="8">
        <f>COUNTIFS(Active!C:C,A166)</f>
        <v>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" t="s">
        <v>190</v>
      </c>
      <c r="B167" s="7">
        <f>VLOOKUP(A167,Tutors!A:B,2,0)</f>
        <v>570172941064</v>
      </c>
      <c r="C167" s="6" t="s">
        <v>86</v>
      </c>
      <c r="D167" s="6" t="s">
        <v>172</v>
      </c>
      <c r="E167" s="6" t="s">
        <v>9</v>
      </c>
      <c r="F167" s="8">
        <f>VLOOKUP(A167,Tutors!C:D,2,0)</f>
        <v>2495</v>
      </c>
      <c r="G167" s="8" t="str">
        <f>VLOOKUP(A167,Tutors!C:E,3,0)</f>
        <v>EG05-EG06</v>
      </c>
      <c r="H167" s="8" t="str">
        <f>VLOOKUP(A167,Tutors!A:F,6,0)</f>
        <v>emanseadawy22@gmail.com</v>
      </c>
      <c r="I167" s="8" t="str">
        <f>VLOOKUP(A167,Tutors!C:G,5,0)</f>
        <v>01080328965</v>
      </c>
      <c r="J167" s="8">
        <f>COUNTIFS(Active!C:C,A167)</f>
        <v>1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" t="s">
        <v>191</v>
      </c>
      <c r="B168" s="7">
        <f>VLOOKUP(A168,Tutors!A:B,2,0)</f>
        <v>340126030476</v>
      </c>
      <c r="C168" s="6" t="s">
        <v>86</v>
      </c>
      <c r="D168" s="6" t="s">
        <v>172</v>
      </c>
      <c r="E168" s="6" t="s">
        <v>13</v>
      </c>
      <c r="F168" s="8">
        <f>VLOOKUP(A168,Tutors!C:D,2,0)</f>
        <v>2483</v>
      </c>
      <c r="G168" s="8" t="str">
        <f>VLOOKUP(A168,Tutors!C:E,3,0)</f>
        <v>EG04-EG05-EG06-EG07-EG08-EG09</v>
      </c>
      <c r="H168" s="8" t="str">
        <f>VLOOKUP(A168,Tutors!A:F,6,0)</f>
        <v>sarasabry32@yahoo.com</v>
      </c>
      <c r="I168" s="8" t="str">
        <f>VLOOKUP(A168,Tutors!C:G,5,0)</f>
        <v>+201024181225</v>
      </c>
      <c r="J168" s="8">
        <f>COUNTIFS(Active!C:C,A168)</f>
        <v>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" t="s">
        <v>192</v>
      </c>
      <c r="B169" s="7">
        <f>VLOOKUP(A169,Tutors!A:B,2,0)</f>
        <v>594108798987</v>
      </c>
      <c r="C169" s="6" t="s">
        <v>86</v>
      </c>
      <c r="D169" s="6" t="s">
        <v>172</v>
      </c>
      <c r="E169" s="6" t="s">
        <v>9</v>
      </c>
      <c r="F169" s="8">
        <f>VLOOKUP(A169,Tutors!C:D,2,0)</f>
        <v>2547</v>
      </c>
      <c r="G169" s="8" t="str">
        <f>VLOOKUP(A169,Tutors!C:E,3,0)</f>
        <v>EG04-EG05-EG06</v>
      </c>
      <c r="H169" s="8" t="str">
        <f>VLOOKUP(A169,Tutors!A:F,6,0)</f>
        <v>mennatullahmohamed23@gmail.com</v>
      </c>
      <c r="I169" s="8" t="str">
        <f>VLOOKUP(A169,Tutors!C:G,5,0)</f>
        <v>01203531607</v>
      </c>
      <c r="J169" s="8">
        <f>COUNTIFS(Active!C:C,A169)</f>
        <v>1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" t="s">
        <v>193</v>
      </c>
      <c r="B170" s="7">
        <f>VLOOKUP(A170,Tutors!A:B,2,0)</f>
        <v>939180714785</v>
      </c>
      <c r="C170" s="6" t="s">
        <v>86</v>
      </c>
      <c r="D170" s="6" t="s">
        <v>172</v>
      </c>
      <c r="E170" s="6" t="s">
        <v>9</v>
      </c>
      <c r="F170" s="8">
        <f>VLOOKUP(A170,Tutors!C:D,2,0)</f>
        <v>2562</v>
      </c>
      <c r="G170" s="8" t="str">
        <f>VLOOKUP(A170,Tutors!C:E,3,0)</f>
        <v>EG04-EG05-EG06</v>
      </c>
      <c r="H170" s="8" t="str">
        <f>VLOOKUP(A170,Tutors!A:F,6,0)</f>
        <v>esraaramy50@gmail.com</v>
      </c>
      <c r="I170" s="8" t="str">
        <f>VLOOKUP(A170,Tutors!C:G,5,0)</f>
        <v>01032803981</v>
      </c>
      <c r="J170" s="8">
        <f>COUNTIFS(Active!C:C,A170)</f>
        <v>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" t="s">
        <v>194</v>
      </c>
      <c r="B171" s="7">
        <f>VLOOKUP(A171,Tutors!A:B,2,0)</f>
        <v>706195648651</v>
      </c>
      <c r="C171" s="6" t="s">
        <v>86</v>
      </c>
      <c r="D171" s="6" t="s">
        <v>172</v>
      </c>
      <c r="E171" s="6" t="s">
        <v>9</v>
      </c>
      <c r="F171" s="8">
        <f>VLOOKUP(A171,Tutors!C:D,2,0)</f>
        <v>2603</v>
      </c>
      <c r="G171" s="8" t="str">
        <f>VLOOKUP(A171,Tutors!C:E,3,0)</f>
        <v>EG04-EG05-EG06</v>
      </c>
      <c r="H171" s="8" t="str">
        <f>VLOOKUP(A171,Tutors!A:F,6,0)</f>
        <v>khadijaabdelrahman88@gmail.com</v>
      </c>
      <c r="I171" s="8" t="str">
        <f>VLOOKUP(A171,Tutors!C:G,5,0)</f>
        <v/>
      </c>
      <c r="J171" s="8">
        <f>COUNTIFS(Active!C:C,A171)</f>
        <v>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" t="s">
        <v>195</v>
      </c>
      <c r="B172" s="7">
        <f>VLOOKUP(A172,Tutors!A:B,2,0)</f>
        <v>859191972717</v>
      </c>
      <c r="C172" s="6" t="s">
        <v>86</v>
      </c>
      <c r="D172" s="6" t="s">
        <v>172</v>
      </c>
      <c r="E172" s="6" t="s">
        <v>9</v>
      </c>
      <c r="F172" s="8">
        <f>VLOOKUP(A172,Tutors!C:D,2,0)</f>
        <v>2675</v>
      </c>
      <c r="G172" s="8" t="str">
        <f>VLOOKUP(A172,Tutors!C:E,3,0)</f>
        <v>EG04-EG05-EG06-EG10</v>
      </c>
      <c r="H172" s="8" t="str">
        <f>VLOOKUP(A172,Tutors!A:F,6,0)</f>
        <v>ddoniamansour@gmail.com</v>
      </c>
      <c r="I172" s="8" t="str">
        <f>VLOOKUP(A172,Tutors!C:G,5,0)</f>
        <v/>
      </c>
      <c r="J172" s="8">
        <f>COUNTIFS(Active!C:C,A172)</f>
        <v>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" t="s">
        <v>196</v>
      </c>
      <c r="B173" s="7">
        <f>VLOOKUP(A173,Tutors!A:B,2,0)</f>
        <v>626141382068</v>
      </c>
      <c r="C173" s="6" t="s">
        <v>86</v>
      </c>
      <c r="D173" s="6" t="s">
        <v>172</v>
      </c>
      <c r="E173" s="10" t="s">
        <v>9</v>
      </c>
      <c r="F173" s="8">
        <f>VLOOKUP(A173,Tutors!C:D,2,0)</f>
        <v>2713</v>
      </c>
      <c r="G173" s="8" t="str">
        <f>VLOOKUP(A173,Tutors!C:E,3,0)</f>
        <v>EG01-EG02-EG03-EG04-EG05-EG06</v>
      </c>
      <c r="H173" s="8" t="str">
        <f>VLOOKUP(A173,Tutors!A:F,6,0)</f>
        <v>emanmashaly999@gmail.com</v>
      </c>
      <c r="I173" s="8" t="str">
        <f>VLOOKUP(A173,Tutors!C:G,5,0)</f>
        <v>01099178001</v>
      </c>
      <c r="J173" s="8">
        <f>COUNTIFS(Active!C:C,A173)</f>
        <v>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" t="s">
        <v>197</v>
      </c>
      <c r="B174" s="7">
        <f>VLOOKUP(A174,Tutors!A:B,2,0)</f>
        <v>696195941685</v>
      </c>
      <c r="C174" s="6" t="s">
        <v>86</v>
      </c>
      <c r="D174" s="6" t="s">
        <v>172</v>
      </c>
      <c r="E174" s="6" t="s">
        <v>9</v>
      </c>
      <c r="F174" s="8">
        <f>VLOOKUP(A174,Tutors!C:D,2,0)</f>
        <v>2712</v>
      </c>
      <c r="G174" s="8" t="str">
        <f>VLOOKUP(A174,Tutors!C:E,3,0)</f>
        <v>EG04-EG05-EG06</v>
      </c>
      <c r="H174" s="8" t="str">
        <f>VLOOKUP(A174,Tutors!A:F,6,0)</f>
        <v>magdolinesamir@gmail.com</v>
      </c>
      <c r="I174" s="8" t="str">
        <f>VLOOKUP(A174,Tutors!C:G,5,0)</f>
        <v>01203034643</v>
      </c>
      <c r="J174" s="8">
        <f>COUNTIFS(Active!C:C,A174)</f>
        <v>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" t="s">
        <v>198</v>
      </c>
      <c r="B175" s="7">
        <f>VLOOKUP(A175,Tutors!A:B,2,0)</f>
        <v>879189748530</v>
      </c>
      <c r="C175" s="6" t="s">
        <v>86</v>
      </c>
      <c r="D175" s="6" t="s">
        <v>172</v>
      </c>
      <c r="E175" s="6" t="s">
        <v>9</v>
      </c>
      <c r="F175" s="8">
        <f>VLOOKUP(A175,Tutors!C:D,2,0)</f>
        <v>2657</v>
      </c>
      <c r="G175" s="8" t="str">
        <f>VLOOKUP(A175,Tutors!C:E,3,0)</f>
        <v>EG04-EG05-EG06</v>
      </c>
      <c r="H175" s="8" t="str">
        <f>VLOOKUP(A175,Tutors!A:F,6,0)</f>
        <v>ndyaldrgham@gmail.com</v>
      </c>
      <c r="I175" s="8" t="str">
        <f>VLOOKUP(A175,Tutors!C:G,5,0)</f>
        <v/>
      </c>
      <c r="J175" s="8">
        <f>COUNTIFS(Active!C:C,A175)</f>
        <v>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" t="s">
        <v>199</v>
      </c>
      <c r="B176" s="7">
        <f>VLOOKUP(A176,Tutors!A:B,2,0)</f>
        <v>308156832319</v>
      </c>
      <c r="C176" s="6" t="s">
        <v>86</v>
      </c>
      <c r="D176" s="6" t="s">
        <v>172</v>
      </c>
      <c r="E176" s="10" t="s">
        <v>9</v>
      </c>
      <c r="F176" s="8">
        <f>VLOOKUP(A176,Tutors!C:D,2,0)</f>
        <v>2792</v>
      </c>
      <c r="G176" s="8" t="str">
        <f>VLOOKUP(A176,Tutors!C:E,3,0)</f>
        <v>EG04-EG05-EG06</v>
      </c>
      <c r="H176" s="8" t="str">
        <f>VLOOKUP(A176,Tutors!A:F,6,0)</f>
        <v>inas.ibrahim.habib@gmail.com</v>
      </c>
      <c r="I176" s="8" t="str">
        <f>VLOOKUP(A176,Tutors!C:G,5,0)</f>
        <v/>
      </c>
      <c r="J176" s="8">
        <f>COUNTIFS(Active!C:C,A176)</f>
        <v>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" t="s">
        <v>200</v>
      </c>
      <c r="B177" s="7">
        <f>VLOOKUP(A177,Tutors!A:B,2,0)</f>
        <v>423171082406</v>
      </c>
      <c r="C177" s="6" t="s">
        <v>86</v>
      </c>
      <c r="D177" s="6" t="s">
        <v>172</v>
      </c>
      <c r="E177" s="6" t="s">
        <v>9</v>
      </c>
      <c r="F177" s="8">
        <f>VLOOKUP(A177,Tutors!C:D,2,0)</f>
        <v>2659</v>
      </c>
      <c r="G177" s="8" t="str">
        <f>VLOOKUP(A177,Tutors!C:E,3,0)</f>
        <v>EG01-EG02-EG03-EG04-EG05-EG06</v>
      </c>
      <c r="H177" s="8" t="str">
        <f>VLOOKUP(A177,Tutors!A:F,6,0)</f>
        <v>mariamdarbain06@gmail.com</v>
      </c>
      <c r="I177" s="8" t="str">
        <f>VLOOKUP(A177,Tutors!C:G,5,0)</f>
        <v>01095138842</v>
      </c>
      <c r="J177" s="8">
        <f>COUNTIFS(Active!C:C,A177)</f>
        <v>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" t="s">
        <v>201</v>
      </c>
      <c r="B178" s="7">
        <f>VLOOKUP(A178,Tutors!A:B,2,0)</f>
        <v>695187907140</v>
      </c>
      <c r="C178" s="6" t="s">
        <v>86</v>
      </c>
      <c r="D178" s="6" t="s">
        <v>172</v>
      </c>
      <c r="E178" s="10" t="s">
        <v>9</v>
      </c>
      <c r="F178" s="8">
        <f>VLOOKUP(A178,Tutors!C:D,2,0)</f>
        <v>2795</v>
      </c>
      <c r="G178" s="8" t="str">
        <f>VLOOKUP(A178,Tutors!C:E,3,0)</f>
        <v>EG04-EG05-EG06</v>
      </c>
      <c r="H178" s="8" t="str">
        <f>VLOOKUP(A178,Tutors!A:F,6,0)</f>
        <v>msayabayoumy@gmail.com</v>
      </c>
      <c r="I178" s="8" t="str">
        <f>VLOOKUP(A178,Tutors!C:G,5,0)</f>
        <v>01143323764</v>
      </c>
      <c r="J178" s="8">
        <f>COUNTIFS(Active!C:C,A178)</f>
        <v>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" t="s">
        <v>202</v>
      </c>
      <c r="B179" s="7">
        <f>VLOOKUP(A179,Tutors!A:B,2,0)</f>
        <v>207145893968</v>
      </c>
      <c r="C179" s="6" t="s">
        <v>86</v>
      </c>
      <c r="D179" s="6" t="s">
        <v>203</v>
      </c>
      <c r="E179" s="6" t="s">
        <v>9</v>
      </c>
      <c r="F179" s="9" t="str">
        <f>VLOOKUP(A179,Tutors!C:D,2,0)</f>
        <v>1826</v>
      </c>
      <c r="G179" s="8" t="str">
        <f>VLOOKUP(A179,Tutors!C:E,3,0)</f>
        <v>EG04-EG05-EG06</v>
      </c>
      <c r="H179" s="8" t="str">
        <f>VLOOKUP(A179,Tutors!A:F,6,0)</f>
        <v>mhala5855@gmail.com</v>
      </c>
      <c r="I179" s="8" t="str">
        <f>VLOOKUP(A179,Tutors!C:G,5,0)</f>
        <v/>
      </c>
      <c r="J179" s="8">
        <f>COUNTIFS(Active!C:C,A179)</f>
        <v>1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" t="s">
        <v>204</v>
      </c>
      <c r="B180" s="7">
        <f>VLOOKUP(A180,Tutors!A:B,2,0)</f>
        <v>956106960751</v>
      </c>
      <c r="C180" s="6" t="s">
        <v>86</v>
      </c>
      <c r="D180" s="6" t="s">
        <v>203</v>
      </c>
      <c r="E180" s="6" t="s">
        <v>9</v>
      </c>
      <c r="F180" s="9" t="str">
        <f>VLOOKUP(A180,Tutors!C:D,2,0)</f>
        <v>1885</v>
      </c>
      <c r="G180" s="8" t="str">
        <f>VLOOKUP(A180,Tutors!C:E,3,0)</f>
        <v>EG04-EG05-EG06</v>
      </c>
      <c r="H180" s="8" t="str">
        <f>VLOOKUP(A180,Tutors!A:F,6,0)</f>
        <v>dodoelzohry22@gmail.com</v>
      </c>
      <c r="I180" s="8" t="str">
        <f>VLOOKUP(A180,Tutors!C:G,5,0)</f>
        <v>01090569530</v>
      </c>
      <c r="J180" s="8">
        <f>COUNTIFS(Active!C:C,A180)</f>
        <v>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" t="s">
        <v>205</v>
      </c>
      <c r="B181" s="7">
        <f>VLOOKUP(A181,Tutors!A:B,2,0)</f>
        <v>479193436034</v>
      </c>
      <c r="C181" s="6" t="s">
        <v>86</v>
      </c>
      <c r="D181" s="6" t="s">
        <v>203</v>
      </c>
      <c r="E181" s="6" t="s">
        <v>9</v>
      </c>
      <c r="F181" s="9" t="str">
        <f>VLOOKUP(A181,Tutors!C:D,2,0)</f>
        <v>1920</v>
      </c>
      <c r="G181" s="8" t="str">
        <f>VLOOKUP(A181,Tutors!C:E,3,0)</f>
        <v/>
      </c>
      <c r="H181" s="8" t="str">
        <f>VLOOKUP(A181,Tutors!A:F,6,0)</f>
        <v>heba.mh29@gmail.com</v>
      </c>
      <c r="I181" s="8" t="str">
        <f>VLOOKUP(A181,Tutors!C:G,5,0)</f>
        <v/>
      </c>
      <c r="J181" s="8">
        <f>COUNTIFS(Active!C:C,A181)</f>
        <v>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" t="s">
        <v>206</v>
      </c>
      <c r="B182" s="7">
        <f>VLOOKUP(A182,Tutors!A:B,2,0)</f>
        <v>760171643192</v>
      </c>
      <c r="C182" s="6" t="s">
        <v>86</v>
      </c>
      <c r="D182" s="6" t="s">
        <v>203</v>
      </c>
      <c r="E182" s="6" t="s">
        <v>9</v>
      </c>
      <c r="F182" s="9" t="str">
        <f>VLOOKUP(A182,Tutors!C:D,2,0)</f>
        <v>1986</v>
      </c>
      <c r="G182" s="8" t="str">
        <f>VLOOKUP(A182,Tutors!C:E,3,0)</f>
        <v/>
      </c>
      <c r="H182" s="8" t="str">
        <f>VLOOKUP(A182,Tutors!A:F,6,0)</f>
        <v>saranaguib005@gmail.com</v>
      </c>
      <c r="I182" s="8" t="str">
        <f>VLOOKUP(A182,Tutors!C:G,5,0)</f>
        <v/>
      </c>
      <c r="J182" s="8">
        <f>COUNTIFS(Active!C:C,A182)</f>
        <v>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" t="s">
        <v>207</v>
      </c>
      <c r="B183" s="7">
        <f>VLOOKUP(A183,Tutors!A:B,2,0)</f>
        <v>923159143268</v>
      </c>
      <c r="C183" s="6" t="s">
        <v>86</v>
      </c>
      <c r="D183" s="6" t="s">
        <v>203</v>
      </c>
      <c r="E183" s="6" t="s">
        <v>9</v>
      </c>
      <c r="F183" s="9" t="str">
        <f>VLOOKUP(A183,Tutors!C:D,2,0)</f>
        <v>1985</v>
      </c>
      <c r="G183" s="8" t="str">
        <f>VLOOKUP(A183,Tutors!C:E,3,0)</f>
        <v/>
      </c>
      <c r="H183" s="8" t="str">
        <f>VLOOKUP(A183,Tutors!A:F,6,0)</f>
        <v>ms.zeinabelsagheer.paoh@gmail.com</v>
      </c>
      <c r="I183" s="8" t="str">
        <f>VLOOKUP(A183,Tutors!C:G,5,0)</f>
        <v/>
      </c>
      <c r="J183" s="8">
        <f>COUNTIFS(Active!C:C,A183)</f>
        <v>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" t="s">
        <v>208</v>
      </c>
      <c r="B184" s="7">
        <f>VLOOKUP(A184,Tutors!A:B,2,0)</f>
        <v>956176242726</v>
      </c>
      <c r="C184" s="6" t="s">
        <v>86</v>
      </c>
      <c r="D184" s="6" t="s">
        <v>203</v>
      </c>
      <c r="E184" s="6" t="s">
        <v>9</v>
      </c>
      <c r="F184" s="9" t="str">
        <f>VLOOKUP(A184,Tutors!C:D,2,0)</f>
        <v>2070</v>
      </c>
      <c r="G184" s="8" t="str">
        <f>VLOOKUP(A184,Tutors!C:E,3,0)</f>
        <v>EG04-EG05-EG06-EG07-EG08-EG09</v>
      </c>
      <c r="H184" s="8" t="str">
        <f>VLOOKUP(A184,Tutors!A:F,6,0)</f>
        <v>reemhassannassar209@gmail.com</v>
      </c>
      <c r="I184" s="8" t="str">
        <f>VLOOKUP(A184,Tutors!C:G,5,0)</f>
        <v>01118953299</v>
      </c>
      <c r="J184" s="8">
        <f>COUNTIFS(Active!C:C,A184)</f>
        <v>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" t="s">
        <v>209</v>
      </c>
      <c r="B185" s="7">
        <f>VLOOKUP(A185,Tutors!A:B,2,0)</f>
        <v>757153589828</v>
      </c>
      <c r="C185" s="6" t="s">
        <v>86</v>
      </c>
      <c r="D185" s="6" t="s">
        <v>203</v>
      </c>
      <c r="E185" s="6" t="s">
        <v>9</v>
      </c>
      <c r="F185" s="9" t="str">
        <f>VLOOKUP(A185,Tutors!C:D,2,0)</f>
        <v>2066</v>
      </c>
      <c r="G185" s="8" t="str">
        <f>VLOOKUP(A185,Tutors!C:E,3,0)</f>
        <v>EG04-EG05-EG06</v>
      </c>
      <c r="H185" s="8" t="str">
        <f>VLOOKUP(A185,Tutors!A:F,6,0)</f>
        <v>christinemourad6@gmail.com</v>
      </c>
      <c r="I185" s="8" t="str">
        <f>VLOOKUP(A185,Tutors!C:G,5,0)</f>
        <v>01202636991</v>
      </c>
      <c r="J185" s="8">
        <f>COUNTIFS(Active!C:C,A185)</f>
        <v>1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" t="s">
        <v>210</v>
      </c>
      <c r="B186" s="7">
        <f>VLOOKUP(A186,Tutors!A:B,2,0)</f>
        <v>568127010526</v>
      </c>
      <c r="C186" s="6" t="s">
        <v>86</v>
      </c>
      <c r="D186" s="6" t="s">
        <v>203</v>
      </c>
      <c r="E186" s="6" t="s">
        <v>9</v>
      </c>
      <c r="F186" s="9">
        <f>VLOOKUP(A186,Tutors!C:D,2,0)</f>
        <v>2184</v>
      </c>
      <c r="G186" s="8" t="str">
        <f>VLOOKUP(A186,Tutors!C:E,3,0)</f>
        <v>EG04-EG05-EG06</v>
      </c>
      <c r="H186" s="8" t="str">
        <f>VLOOKUP(A186,Tutors!A:F,6,0)</f>
        <v>ma6515149@gmail.com</v>
      </c>
      <c r="I186" s="8" t="str">
        <f>VLOOKUP(A186,Tutors!C:G,5,0)</f>
        <v>01208476617</v>
      </c>
      <c r="J186" s="8">
        <f>COUNTIFS(Active!C:C,A186)</f>
        <v>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" t="s">
        <v>211</v>
      </c>
      <c r="B187" s="7">
        <f>VLOOKUP(A187,Tutors!A:B,2,0)</f>
        <v>265195735907</v>
      </c>
      <c r="C187" s="6" t="s">
        <v>86</v>
      </c>
      <c r="D187" s="6" t="s">
        <v>203</v>
      </c>
      <c r="E187" s="6" t="s">
        <v>9</v>
      </c>
      <c r="F187" s="9" t="str">
        <f>VLOOKUP(A187,Tutors!C:D,2,0)</f>
        <v>2207</v>
      </c>
      <c r="G187" s="8" t="str">
        <f>VLOOKUP(A187,Tutors!C:E,3,0)</f>
        <v>EG04-EG05</v>
      </c>
      <c r="H187" s="8" t="str">
        <f>VLOOKUP(A187,Tutors!A:F,6,0)</f>
        <v>nadaaosama1@gmail.com</v>
      </c>
      <c r="I187" s="8" t="str">
        <f>VLOOKUP(A187,Tutors!C:G,5,0)</f>
        <v>01208990138</v>
      </c>
      <c r="J187" s="8">
        <f>COUNTIFS(Active!C:C,A187)</f>
        <v>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" t="s">
        <v>212</v>
      </c>
      <c r="B188" s="7">
        <f>VLOOKUP(A188,Tutors!A:B,2,0)</f>
        <v>819194140830</v>
      </c>
      <c r="C188" s="6" t="s">
        <v>86</v>
      </c>
      <c r="D188" s="6" t="s">
        <v>203</v>
      </c>
      <c r="E188" s="6" t="s">
        <v>9</v>
      </c>
      <c r="F188" s="9" t="str">
        <f>VLOOKUP(A188,Tutors!C:D,2,0)</f>
        <v>2182</v>
      </c>
      <c r="G188" s="8" t="str">
        <f>VLOOKUP(A188,Tutors!C:E,3,0)</f>
        <v>EG04-EG05-EG06-EG07-EG08-EG09</v>
      </c>
      <c r="H188" s="8" t="str">
        <f>VLOOKUP(A188,Tutors!A:F,6,0)</f>
        <v>doaamarzouk992@gmail.com</v>
      </c>
      <c r="I188" s="8" t="str">
        <f>VLOOKUP(A188,Tutors!C:G,5,0)</f>
        <v>01002287489</v>
      </c>
      <c r="J188" s="8">
        <f>COUNTIFS(Active!C:C,A188)</f>
        <v>1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" t="s">
        <v>213</v>
      </c>
      <c r="B189" s="7">
        <f>VLOOKUP(A189,Tutors!A:B,2,0)</f>
        <v>508196965395</v>
      </c>
      <c r="C189" s="6" t="s">
        <v>86</v>
      </c>
      <c r="D189" s="6" t="s">
        <v>203</v>
      </c>
      <c r="E189" s="6" t="s">
        <v>9</v>
      </c>
      <c r="F189" s="9" t="str">
        <f>VLOOKUP(A189,Tutors!C:D,2,0)</f>
        <v>2219</v>
      </c>
      <c r="G189" s="8" t="str">
        <f>VLOOKUP(A189,Tutors!C:E,3,0)</f>
        <v>EG04-EG05-EG06</v>
      </c>
      <c r="H189" s="8" t="str">
        <f>VLOOKUP(A189,Tutors!A:F,6,0)</f>
        <v>shimmaabdalrhman@gmail.com</v>
      </c>
      <c r="I189" s="8" t="str">
        <f>VLOOKUP(A189,Tutors!C:G,5,0)</f>
        <v/>
      </c>
      <c r="J189" s="8">
        <f>COUNTIFS(Active!C:C,A189)</f>
        <v>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" t="s">
        <v>214</v>
      </c>
      <c r="B190" s="7">
        <f>VLOOKUP(A190,Tutors!A:B,2,0)</f>
        <v>952162913989</v>
      </c>
      <c r="C190" s="6" t="s">
        <v>86</v>
      </c>
      <c r="D190" s="6" t="s">
        <v>203</v>
      </c>
      <c r="E190" s="6" t="s">
        <v>9</v>
      </c>
      <c r="F190" s="9">
        <f>VLOOKUP(A190,Tutors!C:D,2,0)</f>
        <v>2223</v>
      </c>
      <c r="G190" s="8" t="str">
        <f>VLOOKUP(A190,Tutors!C:E,3,0)</f>
        <v>EG04-EG05-EG06-EG07-EG08</v>
      </c>
      <c r="H190" s="8" t="str">
        <f>VLOOKUP(A190,Tutors!A:F,6,0)</f>
        <v>asmmasalim22@gmail.com</v>
      </c>
      <c r="I190" s="8" t="str">
        <f>VLOOKUP(A190,Tutors!C:G,5,0)</f>
        <v>01033304652</v>
      </c>
      <c r="J190" s="8">
        <f>COUNTIFS(Active!C:C,A190)</f>
        <v>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" t="s">
        <v>215</v>
      </c>
      <c r="B191" s="7">
        <f>VLOOKUP(A191,Tutors!A:B,2,0)</f>
        <v>754121315321</v>
      </c>
      <c r="C191" s="6" t="s">
        <v>86</v>
      </c>
      <c r="D191" s="6" t="s">
        <v>203</v>
      </c>
      <c r="E191" s="6" t="s">
        <v>9</v>
      </c>
      <c r="F191" s="9">
        <f>VLOOKUP(A191,Tutors!C:D,2,0)</f>
        <v>2222</v>
      </c>
      <c r="G191" s="8" t="str">
        <f>VLOOKUP(A191,Tutors!C:E,3,0)</f>
        <v>EG04-EG05-EG06</v>
      </c>
      <c r="H191" s="8" t="str">
        <f>VLOOKUP(A191,Tutors!A:F,6,0)</f>
        <v>reham_2013@yahoo.com</v>
      </c>
      <c r="I191" s="8" t="str">
        <f>VLOOKUP(A191,Tutors!C:G,5,0)</f>
        <v>01152340498</v>
      </c>
      <c r="J191" s="8">
        <f>COUNTIFS(Active!C:C,A191)</f>
        <v>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" t="s">
        <v>216</v>
      </c>
      <c r="B192" s="7">
        <f>VLOOKUP(A192,Tutors!A:B,2,0)</f>
        <v>126140183639</v>
      </c>
      <c r="C192" s="6" t="s">
        <v>86</v>
      </c>
      <c r="D192" s="6" t="s">
        <v>203</v>
      </c>
      <c r="E192" s="6" t="s">
        <v>9</v>
      </c>
      <c r="F192" s="9" t="str">
        <f>VLOOKUP(A192,Tutors!C:D,2,0)</f>
        <v>2221</v>
      </c>
      <c r="G192" s="8" t="str">
        <f>VLOOKUP(A192,Tutors!C:E,3,0)</f>
        <v>EG04-EG05-EG06-EG07-EG08</v>
      </c>
      <c r="H192" s="8" t="str">
        <f>VLOOKUP(A192,Tutors!A:F,6,0)</f>
        <v>mis.rana811@gmail.com</v>
      </c>
      <c r="I192" s="8" t="str">
        <f>VLOOKUP(A192,Tutors!C:G,5,0)</f>
        <v>01211401694</v>
      </c>
      <c r="J192" s="8">
        <f>COUNTIFS(Active!C:C,A192)</f>
        <v>1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" t="s">
        <v>217</v>
      </c>
      <c r="B193" s="7">
        <f>VLOOKUP(A193,Tutors!A:B,2,0)</f>
        <v>654103435717</v>
      </c>
      <c r="C193" s="6" t="s">
        <v>86</v>
      </c>
      <c r="D193" s="6" t="s">
        <v>203</v>
      </c>
      <c r="E193" s="6" t="s">
        <v>9</v>
      </c>
      <c r="F193" s="9" t="str">
        <f>VLOOKUP(A193,Tutors!C:D,2,0)</f>
        <v>2247</v>
      </c>
      <c r="G193" s="8" t="str">
        <f>VLOOKUP(A193,Tutors!C:E,3,0)</f>
        <v>EG04-EG05-EG06-EG07-EG08</v>
      </c>
      <c r="H193" s="8" t="str">
        <f>VLOOKUP(A193,Tutors!A:F,6,0)</f>
        <v>bushra0atif@gmail.com</v>
      </c>
      <c r="I193" s="8" t="str">
        <f>VLOOKUP(A193,Tutors!C:G,5,0)</f>
        <v>01125625432</v>
      </c>
      <c r="J193" s="8">
        <f>COUNTIFS(Active!C:C,A193)</f>
        <v>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" t="s">
        <v>218</v>
      </c>
      <c r="B194" s="7">
        <f>VLOOKUP(A194,Tutors!A:B,2,0)</f>
        <v>493126089393</v>
      </c>
      <c r="C194" s="6" t="s">
        <v>86</v>
      </c>
      <c r="D194" s="6" t="s">
        <v>203</v>
      </c>
      <c r="E194" s="6" t="s">
        <v>9</v>
      </c>
      <c r="F194" s="9" t="str">
        <f>VLOOKUP(A194,Tutors!C:D,2,0)</f>
        <v>2230</v>
      </c>
      <c r="G194" s="8" t="str">
        <f>VLOOKUP(A194,Tutors!C:E,3,0)</f>
        <v/>
      </c>
      <c r="H194" s="8" t="str">
        <f>VLOOKUP(A194,Tutors!A:F,6,0)</f>
        <v>ei8933954@gmail.com</v>
      </c>
      <c r="I194" s="8" t="str">
        <f>VLOOKUP(A194,Tutors!C:G,5,0)</f>
        <v>01202150818</v>
      </c>
      <c r="J194" s="8">
        <f>COUNTIFS(Active!C:C,A194)</f>
        <v>1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" t="s">
        <v>219</v>
      </c>
      <c r="B195" s="7">
        <f>VLOOKUP(A195,Tutors!A:B,2,0)</f>
        <v>319181950412</v>
      </c>
      <c r="C195" s="6" t="s">
        <v>86</v>
      </c>
      <c r="D195" s="6" t="s">
        <v>203</v>
      </c>
      <c r="E195" s="6" t="s">
        <v>9</v>
      </c>
      <c r="F195" s="8">
        <f>VLOOKUP(A195,Tutors!C:D,2,0)</f>
        <v>2327</v>
      </c>
      <c r="G195" s="8" t="str">
        <f>VLOOKUP(A195,Tutors!C:E,3,0)</f>
        <v>EG04-EG05</v>
      </c>
      <c r="H195" s="8" t="str">
        <f>VLOOKUP(A195,Tutors!A:F,6,0)</f>
        <v>hebaalisaber223@gmail.com</v>
      </c>
      <c r="I195" s="8" t="str">
        <f>VLOOKUP(A195,Tutors!C:G,5,0)</f>
        <v/>
      </c>
      <c r="J195" s="8">
        <f>COUNTIFS(Active!C:C,A195)</f>
        <v>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" t="s">
        <v>220</v>
      </c>
      <c r="B196" s="7">
        <f>VLOOKUP(A196,Tutors!A:B,2,0)</f>
        <v>780128402632</v>
      </c>
      <c r="C196" s="6" t="s">
        <v>86</v>
      </c>
      <c r="D196" s="6" t="s">
        <v>203</v>
      </c>
      <c r="E196" s="6" t="s">
        <v>9</v>
      </c>
      <c r="F196" s="8">
        <f>VLOOKUP(A196,Tutors!C:D,2,0)</f>
        <v>2328</v>
      </c>
      <c r="G196" s="8" t="str">
        <f>VLOOKUP(A196,Tutors!C:E,3,0)</f>
        <v>EG04-EG05-EG06</v>
      </c>
      <c r="H196" s="8" t="str">
        <f>VLOOKUP(A196,Tutors!A:F,6,0)</f>
        <v>fatma.rashad86@gmail.com</v>
      </c>
      <c r="I196" s="8" t="str">
        <f>VLOOKUP(A196,Tutors!C:G,5,0)</f>
        <v>01128890011</v>
      </c>
      <c r="J196" s="8">
        <f>COUNTIFS(Active!C:C,A196)</f>
        <v>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" t="s">
        <v>221</v>
      </c>
      <c r="B197" s="7">
        <f>VLOOKUP(A197,Tutors!A:B,2,0)</f>
        <v>808191676235</v>
      </c>
      <c r="C197" s="6" t="s">
        <v>86</v>
      </c>
      <c r="D197" s="6" t="s">
        <v>203</v>
      </c>
      <c r="E197" s="6" t="s">
        <v>9</v>
      </c>
      <c r="F197" s="8">
        <f>VLOOKUP(A197,Tutors!C:D,2,0)</f>
        <v>2265</v>
      </c>
      <c r="G197" s="8" t="str">
        <f>VLOOKUP(A197,Tutors!C:E,3,0)</f>
        <v>EG04-EG05-EG06-EG07-EG08</v>
      </c>
      <c r="H197" s="8" t="str">
        <f>VLOOKUP(A197,Tutors!A:F,6,0)</f>
        <v>randa.fouad.1811@gmail.com</v>
      </c>
      <c r="I197" s="8">
        <f>VLOOKUP(A197,Tutors!C:G,5,0)</f>
        <v>1200437990</v>
      </c>
      <c r="J197" s="8">
        <f>COUNTIFS(Active!C:C,A197)</f>
        <v>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" t="s">
        <v>222</v>
      </c>
      <c r="B198" s="7">
        <f>VLOOKUP(A198,Tutors!A:B,2,0)</f>
        <v>319163985753</v>
      </c>
      <c r="C198" s="6" t="s">
        <v>86</v>
      </c>
      <c r="D198" s="6" t="s">
        <v>203</v>
      </c>
      <c r="E198" s="6" t="s">
        <v>9</v>
      </c>
      <c r="F198" s="8">
        <f>VLOOKUP(A198,Tutors!C:D,2,0)</f>
        <v>2324</v>
      </c>
      <c r="G198" s="8" t="str">
        <f>VLOOKUP(A198,Tutors!C:E,3,0)</f>
        <v>EG04-EG05-EG06</v>
      </c>
      <c r="H198" s="8" t="str">
        <f>VLOOKUP(A198,Tutors!A:F,6,0)</f>
        <v>raniaemad91111@gmail.com</v>
      </c>
      <c r="I198" s="8" t="str">
        <f>VLOOKUP(A198,Tutors!C:G,5,0)</f>
        <v/>
      </c>
      <c r="J198" s="8">
        <f>COUNTIFS(Active!C:C,A198)</f>
        <v>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" t="s">
        <v>223</v>
      </c>
      <c r="B199" s="7">
        <f>VLOOKUP(A199,Tutors!A:B,2,0)</f>
        <v>156163195097</v>
      </c>
      <c r="C199" s="6" t="s">
        <v>86</v>
      </c>
      <c r="D199" s="6" t="s">
        <v>203</v>
      </c>
      <c r="E199" s="6" t="s">
        <v>9</v>
      </c>
      <c r="F199" s="8">
        <f>VLOOKUP(A199,Tutors!C:D,2,0)</f>
        <v>2456</v>
      </c>
      <c r="G199" s="8" t="str">
        <f>VLOOKUP(A199,Tutors!C:E,3,0)</f>
        <v>EG04-EG05-EG06</v>
      </c>
      <c r="H199" s="8" t="str">
        <f>VLOOKUP(A199,Tutors!A:F,6,0)</f>
        <v>enas.ali91@gmail.com</v>
      </c>
      <c r="I199" s="8" t="str">
        <f>VLOOKUP(A199,Tutors!C:G,5,0)</f>
        <v>01014651990</v>
      </c>
      <c r="J199" s="8">
        <f>COUNTIFS(Active!C:C,A199)</f>
        <v>1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" t="s">
        <v>224</v>
      </c>
      <c r="B200" s="7">
        <f>VLOOKUP(A200,Tutors!A:B,2,0)</f>
        <v>937180898615</v>
      </c>
      <c r="C200" s="6" t="s">
        <v>86</v>
      </c>
      <c r="D200" s="6" t="s">
        <v>203</v>
      </c>
      <c r="E200" s="6" t="s">
        <v>9</v>
      </c>
      <c r="F200" s="8">
        <f>VLOOKUP(A200,Tutors!C:D,2,0)</f>
        <v>2356</v>
      </c>
      <c r="G200" s="8" t="str">
        <f>VLOOKUP(A200,Tutors!C:E,3,0)</f>
        <v>EG07-EG08-EG09</v>
      </c>
      <c r="H200" s="8" t="str">
        <f>VLOOKUP(A200,Tutors!A:F,6,0)</f>
        <v>ahmedsalah991986@gmail.com</v>
      </c>
      <c r="I200" s="8" t="str">
        <f>VLOOKUP(A200,Tutors!C:G,5,0)</f>
        <v>01224705674</v>
      </c>
      <c r="J200" s="8">
        <f>COUNTIFS(Active!C:C,A200)</f>
        <v>1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" t="s">
        <v>225</v>
      </c>
      <c r="B201" s="7">
        <f>VLOOKUP(A201,Tutors!A:B,2,0)</f>
        <v>319175494359</v>
      </c>
      <c r="C201" s="6" t="s">
        <v>86</v>
      </c>
      <c r="D201" s="6" t="s">
        <v>203</v>
      </c>
      <c r="E201" s="10" t="s">
        <v>9</v>
      </c>
      <c r="F201" s="8">
        <f>VLOOKUP(A201,Tutors!C:D,2,0)</f>
        <v>2476</v>
      </c>
      <c r="G201" s="8" t="str">
        <f>VLOOKUP(A201,Tutors!C:E,3,0)</f>
        <v>EG04-EG05</v>
      </c>
      <c r="H201" s="8" t="str">
        <f>VLOOKUP(A201,Tutors!A:F,6,0)</f>
        <v>mennaashraf863@gmail.com</v>
      </c>
      <c r="I201" s="8" t="str">
        <f>VLOOKUP(A201,Tutors!C:G,5,0)</f>
        <v>01222505132</v>
      </c>
      <c r="J201" s="8">
        <f>COUNTIFS(Active!C:C,A201)</f>
        <v>1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" t="s">
        <v>226</v>
      </c>
      <c r="B202" s="7">
        <f>VLOOKUP(A202,Tutors!A:B,2,0)</f>
        <v>348197264895</v>
      </c>
      <c r="C202" s="6" t="s">
        <v>86</v>
      </c>
      <c r="D202" s="6" t="s">
        <v>203</v>
      </c>
      <c r="E202" s="6" t="s">
        <v>9</v>
      </c>
      <c r="F202" s="8">
        <f>VLOOKUP(A202,Tutors!C:D,2,0)</f>
        <v>2434</v>
      </c>
      <c r="G202" s="8" t="str">
        <f>VLOOKUP(A202,Tutors!C:E,3,0)</f>
        <v>EG04-EG05-EG06</v>
      </c>
      <c r="H202" s="8" t="str">
        <f>VLOOKUP(A202,Tutors!A:F,6,0)</f>
        <v>mustaphahistory@gmail.com</v>
      </c>
      <c r="I202" s="8" t="str">
        <f>VLOOKUP(A202,Tutors!C:G,5,0)</f>
        <v/>
      </c>
      <c r="J202" s="8">
        <f>COUNTIFS(Active!C:C,A202)</f>
        <v>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" t="s">
        <v>227</v>
      </c>
      <c r="B203" s="7">
        <f>VLOOKUP(A203,Tutors!A:B,2,0)</f>
        <v>389178162973</v>
      </c>
      <c r="C203" s="6" t="s">
        <v>86</v>
      </c>
      <c r="D203" s="6" t="s">
        <v>203</v>
      </c>
      <c r="E203" s="6" t="s">
        <v>9</v>
      </c>
      <c r="F203" s="8">
        <f>VLOOKUP(A203,Tutors!C:D,2,0)</f>
        <v>2528</v>
      </c>
      <c r="G203" s="8" t="str">
        <f>VLOOKUP(A203,Tutors!C:E,3,0)</f>
        <v>EG04-EG05</v>
      </c>
      <c r="H203" s="8" t="str">
        <f>VLOOKUP(A203,Tutors!A:F,6,0)</f>
        <v>cute.pospos@gmail.com</v>
      </c>
      <c r="I203" s="8" t="str">
        <f>VLOOKUP(A203,Tutors!C:G,5,0)</f>
        <v>01142388120</v>
      </c>
      <c r="J203" s="8">
        <f>COUNTIFS(Active!C:C,A203)</f>
        <v>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" t="s">
        <v>228</v>
      </c>
      <c r="B204" s="7">
        <f>VLOOKUP(A204,Tutors!A:B,2,0)</f>
        <v>526148262980</v>
      </c>
      <c r="C204" s="6" t="s">
        <v>86</v>
      </c>
      <c r="D204" s="6" t="s">
        <v>203</v>
      </c>
      <c r="E204" s="10" t="s">
        <v>9</v>
      </c>
      <c r="F204" s="8">
        <f>VLOOKUP(A204,Tutors!C:D,2,0)</f>
        <v>2526</v>
      </c>
      <c r="G204" s="8" t="str">
        <f>VLOOKUP(A204,Tutors!C:E,3,0)</f>
        <v>EG04-EG05-EG06</v>
      </c>
      <c r="H204" s="8" t="str">
        <f>VLOOKUP(A204,Tutors!A:F,6,0)</f>
        <v>basmasaeed2714@gmail.com</v>
      </c>
      <c r="I204" s="8" t="str">
        <f>VLOOKUP(A204,Tutors!C:G,5,0)</f>
        <v/>
      </c>
      <c r="J204" s="8">
        <f>COUNTIFS(Active!C:C,A204)</f>
        <v>1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" t="s">
        <v>229</v>
      </c>
      <c r="B205" s="7">
        <f>VLOOKUP(A205,Tutors!A:B,2,0)</f>
        <v>989127575602</v>
      </c>
      <c r="C205" s="6" t="s">
        <v>86</v>
      </c>
      <c r="D205" s="6" t="s">
        <v>203</v>
      </c>
      <c r="E205" s="6" t="s">
        <v>9</v>
      </c>
      <c r="F205" s="8">
        <f>VLOOKUP(A205,Tutors!C:D,2,0)</f>
        <v>2560</v>
      </c>
      <c r="G205" s="8" t="str">
        <f>VLOOKUP(A205,Tutors!C:E,3,0)</f>
        <v>EG04-EG05</v>
      </c>
      <c r="H205" s="8" t="str">
        <f>VLOOKUP(A205,Tutors!A:F,6,0)</f>
        <v>sarageo405060@gmail.com</v>
      </c>
      <c r="I205" s="8" t="str">
        <f>VLOOKUP(A205,Tutors!C:G,5,0)</f>
        <v>01125500358</v>
      </c>
      <c r="J205" s="8">
        <f>COUNTIFS(Active!C:C,A205)</f>
        <v>1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" t="s">
        <v>230</v>
      </c>
      <c r="B206" s="7">
        <f>VLOOKUP(A206,Tutors!A:B,2,0)</f>
        <v>389173496489</v>
      </c>
      <c r="C206" s="6" t="s">
        <v>86</v>
      </c>
      <c r="D206" s="6" t="s">
        <v>203</v>
      </c>
      <c r="E206" s="6" t="s">
        <v>9</v>
      </c>
      <c r="F206" s="8">
        <f>VLOOKUP(A206,Tutors!C:D,2,0)</f>
        <v>2565</v>
      </c>
      <c r="G206" s="8" t="str">
        <f>VLOOKUP(A206,Tutors!C:E,3,0)</f>
        <v>EG04-EG05-EG06</v>
      </c>
      <c r="H206" s="8" t="str">
        <f>VLOOKUP(A206,Tutors!A:F,6,0)</f>
        <v>bassemalmasry80@gmail.com</v>
      </c>
      <c r="I206" s="8" t="str">
        <f>VLOOKUP(A206,Tutors!C:G,5,0)</f>
        <v/>
      </c>
      <c r="J206" s="8">
        <f>COUNTIFS(Active!C:C,A206)</f>
        <v>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" t="s">
        <v>231</v>
      </c>
      <c r="B207" s="7">
        <f>VLOOKUP(A207,Tutors!A:B,2,0)</f>
        <v>434182527396</v>
      </c>
      <c r="C207" s="6" t="s">
        <v>86</v>
      </c>
      <c r="D207" s="6" t="s">
        <v>203</v>
      </c>
      <c r="E207" s="10" t="s">
        <v>9</v>
      </c>
      <c r="F207" s="8">
        <f>VLOOKUP(A207,Tutors!C:D,2,0)</f>
        <v>2750</v>
      </c>
      <c r="G207" s="8" t="str">
        <f>VLOOKUP(A207,Tutors!C:E,3,0)</f>
        <v>EG03-EG04-EG05-EG06</v>
      </c>
      <c r="H207" s="8" t="str">
        <f>VLOOKUP(A207,Tutors!A:F,6,0)</f>
        <v>mrw263050@gmail.com</v>
      </c>
      <c r="I207" s="8" t="str">
        <f>VLOOKUP(A207,Tutors!C:G,5,0)</f>
        <v>01032048605</v>
      </c>
      <c r="J207" s="8">
        <f>COUNTIFS(Active!C:C,A207)</f>
        <v>1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" t="s">
        <v>232</v>
      </c>
      <c r="B208" s="7">
        <f>VLOOKUP(A208,Tutors!A:B,2,0)</f>
        <v>876157843203</v>
      </c>
      <c r="C208" s="6" t="s">
        <v>86</v>
      </c>
      <c r="D208" s="6" t="s">
        <v>203</v>
      </c>
      <c r="E208" s="10" t="s">
        <v>9</v>
      </c>
      <c r="F208" s="8">
        <f>VLOOKUP(A208,Tutors!C:D,2,0)</f>
        <v>2805</v>
      </c>
      <c r="G208" s="8" t="str">
        <f>VLOOKUP(A208,Tutors!C:E,3,0)</f>
        <v>EG03-EG04-EG05-EG06</v>
      </c>
      <c r="H208" s="8" t="str">
        <f>VLOOKUP(A208,Tutors!A:F,6,0)</f>
        <v>aalaamahamed7@gmail.com</v>
      </c>
      <c r="I208" s="8" t="str">
        <f>VLOOKUP(A208,Tutors!C:G,5,0)</f>
        <v>01065974950</v>
      </c>
      <c r="J208" s="8">
        <f>COUNTIFS(Active!C:C,A208)</f>
        <v>1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" t="s">
        <v>233</v>
      </c>
      <c r="B209" s="7">
        <f>VLOOKUP(A209,Tutors!A:B,2,0)</f>
        <v>502168410424</v>
      </c>
      <c r="C209" s="6" t="s">
        <v>86</v>
      </c>
      <c r="D209" s="6" t="s">
        <v>63</v>
      </c>
      <c r="E209" s="6" t="s">
        <v>9</v>
      </c>
      <c r="F209" s="9" t="str">
        <f>VLOOKUP(A209,Tutors!C:D,2,0)</f>
        <v>1844</v>
      </c>
      <c r="G209" s="8" t="str">
        <f>VLOOKUP(A209,Tutors!C:E,3,0)</f>
        <v/>
      </c>
      <c r="H209" s="8" t="str">
        <f>VLOOKUP(A209,Tutors!A:F,6,0)</f>
        <v>zeinabslime1987@gmail.com</v>
      </c>
      <c r="I209" s="8" t="str">
        <f>VLOOKUP(A209,Tutors!C:G,5,0)</f>
        <v>01157488697</v>
      </c>
      <c r="J209" s="8">
        <f>COUNTIFS(Active!C:C,A209)</f>
        <v>1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" t="s">
        <v>234</v>
      </c>
      <c r="B210" s="7">
        <f>VLOOKUP(A210,Tutors!A:B,2,0)</f>
        <v>239129619815</v>
      </c>
      <c r="C210" s="6" t="s">
        <v>86</v>
      </c>
      <c r="D210" s="6" t="s">
        <v>63</v>
      </c>
      <c r="E210" s="6" t="s">
        <v>9</v>
      </c>
      <c r="F210" s="9" t="str">
        <f>VLOOKUP(A210,Tutors!C:D,2,0)</f>
        <v>1900</v>
      </c>
      <c r="G210" s="8" t="str">
        <f>VLOOKUP(A210,Tutors!C:E,3,0)</f>
        <v/>
      </c>
      <c r="H210" s="8" t="str">
        <f>VLOOKUP(A210,Tutors!A:F,6,0)</f>
        <v>mariamabdelkader292@gmail.com</v>
      </c>
      <c r="I210" s="8">
        <f>VLOOKUP(A210,Tutors!C:G,5,0)</f>
        <v>201115757521</v>
      </c>
      <c r="J210" s="8">
        <f>COUNTIFS(Active!C:C,A210)</f>
        <v>1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" t="s">
        <v>235</v>
      </c>
      <c r="B211" s="7">
        <f>VLOOKUP(A211,Tutors!A:B,2,0)</f>
        <v>472189645925</v>
      </c>
      <c r="C211" s="6" t="s">
        <v>86</v>
      </c>
      <c r="D211" s="6" t="s">
        <v>63</v>
      </c>
      <c r="E211" s="6" t="s">
        <v>9</v>
      </c>
      <c r="F211" s="9" t="str">
        <f>VLOOKUP(A211,Tutors!C:D,2,0)</f>
        <v>1956</v>
      </c>
      <c r="G211" s="8" t="str">
        <f>VLOOKUP(A211,Tutors!C:E,3,0)</f>
        <v/>
      </c>
      <c r="H211" s="8" t="str">
        <f>VLOOKUP(A211,Tutors!A:F,6,0)</f>
        <v>walaasaad17@gmail.com</v>
      </c>
      <c r="I211" s="8" t="str">
        <f>VLOOKUP(A211,Tutors!C:G,5,0)</f>
        <v>01120350201</v>
      </c>
      <c r="J211" s="8">
        <f>COUNTIFS(Active!C:C,A211)</f>
        <v>1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" t="s">
        <v>236</v>
      </c>
      <c r="B212" s="7">
        <f>VLOOKUP(A212,Tutors!A:B,2,0)</f>
        <v>197173080732</v>
      </c>
      <c r="C212" s="6" t="s">
        <v>86</v>
      </c>
      <c r="D212" s="6" t="s">
        <v>63</v>
      </c>
      <c r="E212" s="6" t="s">
        <v>9</v>
      </c>
      <c r="F212" s="9" t="str">
        <f>VLOOKUP(A212,Tutors!C:D,2,0)</f>
        <v>1960</v>
      </c>
      <c r="G212" s="8" t="str">
        <f>VLOOKUP(A212,Tutors!C:E,3,0)</f>
        <v/>
      </c>
      <c r="H212" s="8" t="str">
        <f>VLOOKUP(A212,Tutors!A:F,6,0)</f>
        <v>hadeersayeed68@gmail.com</v>
      </c>
      <c r="I212" s="8" t="str">
        <f>VLOOKUP(A212,Tutors!C:G,5,0)</f>
        <v>01028000334</v>
      </c>
      <c r="J212" s="8">
        <f>COUNTIFS(Active!C:C,A212)</f>
        <v>1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" t="s">
        <v>237</v>
      </c>
      <c r="B213" s="7">
        <f>VLOOKUP(A213,Tutors!A:B,2,0)</f>
        <v>943124527415</v>
      </c>
      <c r="C213" s="6" t="s">
        <v>86</v>
      </c>
      <c r="D213" s="6" t="s">
        <v>63</v>
      </c>
      <c r="E213" s="6" t="s">
        <v>9</v>
      </c>
      <c r="F213" s="9" t="str">
        <f>VLOOKUP(A213,Tutors!C:D,2,0)</f>
        <v>1997</v>
      </c>
      <c r="G213" s="8" t="str">
        <f>VLOOKUP(A213,Tutors!C:E,3,0)</f>
        <v/>
      </c>
      <c r="H213" s="8" t="str">
        <f>VLOOKUP(A213,Tutors!A:F,6,0)</f>
        <v>khookha.geushy@gmail.com</v>
      </c>
      <c r="I213" s="8" t="str">
        <f>VLOOKUP(A213,Tutors!C:G,5,0)</f>
        <v>01000285051</v>
      </c>
      <c r="J213" s="8">
        <f>COUNTIFS(Active!C:C,A213)</f>
        <v>1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" t="s">
        <v>238</v>
      </c>
      <c r="B214" s="7">
        <f>VLOOKUP(A214,Tutors!A:B,2,0)</f>
        <v>607182043274</v>
      </c>
      <c r="C214" s="6" t="s">
        <v>86</v>
      </c>
      <c r="D214" s="6" t="s">
        <v>63</v>
      </c>
      <c r="E214" s="6" t="s">
        <v>9</v>
      </c>
      <c r="F214" s="9" t="str">
        <f>VLOOKUP(A214,Tutors!C:D,2,0)</f>
        <v>2036</v>
      </c>
      <c r="G214" s="8" t="str">
        <f>VLOOKUP(A214,Tutors!C:E,3,0)</f>
        <v/>
      </c>
      <c r="H214" s="8" t="str">
        <f>VLOOKUP(A214,Tutors!A:F,6,0)</f>
        <v>saramelgendy@gmail.com</v>
      </c>
      <c r="I214" s="8" t="str">
        <f>VLOOKUP(A214,Tutors!C:G,5,0)</f>
        <v>01128004018</v>
      </c>
      <c r="J214" s="8">
        <f>COUNTIFS(Active!C:C,A214)</f>
        <v>1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" t="s">
        <v>239</v>
      </c>
      <c r="B215" s="7">
        <f>VLOOKUP(A215,Tutors!A:B,2,0)</f>
        <v>657126746527</v>
      </c>
      <c r="C215" s="6" t="s">
        <v>86</v>
      </c>
      <c r="D215" s="6" t="s">
        <v>63</v>
      </c>
      <c r="E215" s="6" t="s">
        <v>9</v>
      </c>
      <c r="F215" s="9" t="str">
        <f>VLOOKUP(A215,Tutors!C:D,2,0)</f>
        <v>2257</v>
      </c>
      <c r="G215" s="8" t="str">
        <f>VLOOKUP(A215,Tutors!C:E,3,0)</f>
        <v/>
      </c>
      <c r="H215" s="8" t="str">
        <f>VLOOKUP(A215,Tutors!A:F,6,0)</f>
        <v>mohamedyahya1921@gmail.com</v>
      </c>
      <c r="I215" s="8" t="str">
        <f>VLOOKUP(A215,Tutors!C:G,5,0)</f>
        <v>01013531223 - 01123214248</v>
      </c>
      <c r="J215" s="8">
        <f>COUNTIFS(Active!C:C,A215)</f>
        <v>1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" t="s">
        <v>240</v>
      </c>
      <c r="B216" s="7">
        <f>VLOOKUP(A216,Tutors!A:B,2,0)</f>
        <v>357106149247</v>
      </c>
      <c r="C216" s="6" t="s">
        <v>86</v>
      </c>
      <c r="D216" s="6" t="s">
        <v>63</v>
      </c>
      <c r="E216" s="6" t="s">
        <v>9</v>
      </c>
      <c r="F216" s="9">
        <f>VLOOKUP(A216,Tutors!C:D,2,0)</f>
        <v>2224</v>
      </c>
      <c r="G216" s="8" t="str">
        <f>VLOOKUP(A216,Tutors!C:E,3,0)</f>
        <v/>
      </c>
      <c r="H216" s="8" t="str">
        <f>VLOOKUP(A216,Tutors!A:F,6,0)</f>
        <v>‪nahedfathy192@gmail.com</v>
      </c>
      <c r="I216" s="8" t="str">
        <f>VLOOKUP(A216,Tutors!C:G,5,0)</f>
        <v>01025801482</v>
      </c>
      <c r="J216" s="8">
        <f>COUNTIFS(Active!C:C,A216)</f>
        <v>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" t="s">
        <v>241</v>
      </c>
      <c r="B217" s="7">
        <f>VLOOKUP(A217,Tutors!A:B,2,0)</f>
        <v>802121935313</v>
      </c>
      <c r="C217" s="6" t="s">
        <v>86</v>
      </c>
      <c r="D217" s="6" t="s">
        <v>63</v>
      </c>
      <c r="E217" s="6" t="s">
        <v>9</v>
      </c>
      <c r="F217" s="8">
        <f>VLOOKUP(A217,Tutors!C:D,2,0)</f>
        <v>2405</v>
      </c>
      <c r="G217" s="8" t="str">
        <f>VLOOKUP(A217,Tutors!C:E,3,0)</f>
        <v>EG04-EG05-EG06-EG07-EG08-EG09</v>
      </c>
      <c r="H217" s="8" t="str">
        <f>VLOOKUP(A217,Tutors!A:F,6,0)</f>
        <v>missdoaanagy@gmail.com</v>
      </c>
      <c r="I217" s="8" t="str">
        <f>VLOOKUP(A217,Tutors!C:G,5,0)</f>
        <v>01066558103</v>
      </c>
      <c r="J217" s="8">
        <f>COUNTIFS(Active!C:C,A217)</f>
        <v>1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" t="s">
        <v>242</v>
      </c>
      <c r="B218" s="7">
        <f>VLOOKUP(A218,Tutors!A:B,2,0)</f>
        <v>873194273252</v>
      </c>
      <c r="C218" s="6" t="s">
        <v>86</v>
      </c>
      <c r="D218" s="6" t="s">
        <v>63</v>
      </c>
      <c r="E218" s="6" t="s">
        <v>13</v>
      </c>
      <c r="F218" s="8">
        <f>VLOOKUP(A218,Tutors!C:D,2,0)</f>
        <v>2520</v>
      </c>
      <c r="G218" s="8" t="str">
        <f>VLOOKUP(A218,Tutors!C:E,3,0)</f>
        <v>EG03-EG04-EG05-EG06</v>
      </c>
      <c r="H218" s="8" t="str">
        <f>VLOOKUP(A218,Tutors!A:F,6,0)</f>
        <v>yarahassan2027@gmail.com</v>
      </c>
      <c r="I218" s="8" t="str">
        <f>VLOOKUP(A218,Tutors!C:G,5,0)</f>
        <v>01014975043</v>
      </c>
      <c r="J218" s="8">
        <f>COUNTIFS(Active!C:C,A218)</f>
        <v>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" t="s">
        <v>243</v>
      </c>
      <c r="B219" s="7">
        <f>VLOOKUP(A219,Tutors!A:B,2,0)</f>
        <v>410125641839</v>
      </c>
      <c r="C219" s="6" t="s">
        <v>86</v>
      </c>
      <c r="D219" s="6" t="s">
        <v>63</v>
      </c>
      <c r="E219" s="6" t="s">
        <v>9</v>
      </c>
      <c r="F219" s="8">
        <f>VLOOKUP(A219,Tutors!C:D,2,0)</f>
        <v>2437</v>
      </c>
      <c r="G219" s="8" t="str">
        <f>VLOOKUP(A219,Tutors!C:E,3,0)</f>
        <v>EG04-EG05-EG06</v>
      </c>
      <c r="H219" s="8" t="str">
        <f>VLOOKUP(A219,Tutors!A:F,6,0)</f>
        <v>abdonet777@yahoo.com</v>
      </c>
      <c r="I219" s="8" t="str">
        <f>VLOOKUP(A219,Tutors!C:G,5,0)</f>
        <v>01069344824</v>
      </c>
      <c r="J219" s="8">
        <f>COUNTIFS(Active!C:C,A219)</f>
        <v>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" t="s">
        <v>244</v>
      </c>
      <c r="B220" s="7">
        <f>VLOOKUP(A220,Tutors!A:B,2,0)</f>
        <v>498189587153</v>
      </c>
      <c r="C220" s="6" t="s">
        <v>86</v>
      </c>
      <c r="D220" s="6" t="s">
        <v>63</v>
      </c>
      <c r="E220" s="6" t="s">
        <v>9</v>
      </c>
      <c r="F220" s="8">
        <f>VLOOKUP(A220,Tutors!C:D,2,0)</f>
        <v>2450</v>
      </c>
      <c r="G220" s="8" t="str">
        <f>VLOOKUP(A220,Tutors!C:E,3,0)</f>
        <v>EG04-EG05-EG06</v>
      </c>
      <c r="H220" s="8" t="str">
        <f>VLOOKUP(A220,Tutors!A:F,6,0)</f>
        <v>samarana2654@gmail.com</v>
      </c>
      <c r="I220" s="8" t="str">
        <f>VLOOKUP(A220,Tutors!C:G,5,0)</f>
        <v>01225233745</v>
      </c>
      <c r="J220" s="8">
        <f>COUNTIFS(Active!C:C,A220)</f>
        <v>1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" t="s">
        <v>245</v>
      </c>
      <c r="B221" s="7">
        <f>VLOOKUP(A221,Tutors!A:B,2,0)</f>
        <v>413139051352</v>
      </c>
      <c r="C221" s="6" t="s">
        <v>86</v>
      </c>
      <c r="D221" s="6" t="s">
        <v>63</v>
      </c>
      <c r="E221" s="6" t="s">
        <v>13</v>
      </c>
      <c r="F221" s="8">
        <f>VLOOKUP(A221,Tutors!C:D,2,0)</f>
        <v>2506</v>
      </c>
      <c r="G221" s="8" t="str">
        <f>VLOOKUP(A221,Tutors!C:E,3,0)</f>
        <v>EG04-EG05-EG06</v>
      </c>
      <c r="H221" s="8" t="str">
        <f>VLOOKUP(A221,Tutors!A:F,6,0)</f>
        <v>mahaelhamzay@gmail.com</v>
      </c>
      <c r="I221" s="8" t="str">
        <f>VLOOKUP(A221,Tutors!C:G,5,0)</f>
        <v/>
      </c>
      <c r="J221" s="8">
        <f>COUNTIFS(Active!C:C,A221)</f>
        <v>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" t="s">
        <v>246</v>
      </c>
      <c r="B222" s="7">
        <f>VLOOKUP(A222,Tutors!A:B,2,0)</f>
        <v>459169091647</v>
      </c>
      <c r="C222" s="6" t="s">
        <v>86</v>
      </c>
      <c r="D222" s="6" t="s">
        <v>63</v>
      </c>
      <c r="E222" s="6" t="s">
        <v>9</v>
      </c>
      <c r="F222" s="8">
        <f>VLOOKUP(A222,Tutors!C:D,2,0)</f>
        <v>2663</v>
      </c>
      <c r="G222" s="8" t="str">
        <f>VLOOKUP(A222,Tutors!C:E,3,0)</f>
        <v>EG04-EG05-EG06</v>
      </c>
      <c r="H222" s="8" t="str">
        <f>VLOOKUP(A222,Tutors!A:F,6,0)</f>
        <v>mb4940749@gmail.com</v>
      </c>
      <c r="I222" s="8" t="str">
        <f>VLOOKUP(A222,Tutors!C:G,5,0)</f>
        <v>01005056280</v>
      </c>
      <c r="J222" s="8">
        <f>COUNTIFS(Active!C:C,A222)</f>
        <v>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" t="s">
        <v>247</v>
      </c>
      <c r="B223" s="7">
        <f>VLOOKUP(A223,Tutors!A:B,2,0)</f>
        <v>289184740127</v>
      </c>
      <c r="C223" s="6" t="s">
        <v>86</v>
      </c>
      <c r="D223" s="6" t="s">
        <v>63</v>
      </c>
      <c r="E223" s="6" t="s">
        <v>9</v>
      </c>
      <c r="F223" s="8">
        <f>VLOOKUP(A223,Tutors!C:D,2,0)</f>
        <v>2729</v>
      </c>
      <c r="G223" s="8" t="str">
        <f>VLOOKUP(A223,Tutors!C:E,3,0)</f>
        <v>EG03-EG04-EG05-EG06</v>
      </c>
      <c r="H223" s="8" t="str">
        <f>VLOOKUP(A223,Tutors!A:F,6,0)</f>
        <v>2025jd04@gmail.com</v>
      </c>
      <c r="I223" s="8" t="str">
        <f>VLOOKUP(A223,Tutors!C:G,5,0)</f>
        <v>01288701449</v>
      </c>
      <c r="J223" s="8">
        <f>COUNTIFS(Active!C:C,A223)</f>
        <v>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" t="s">
        <v>248</v>
      </c>
      <c r="B224" s="7">
        <f>VLOOKUP(A224,Tutors!A:B,2,0)</f>
        <v>952197671641</v>
      </c>
      <c r="C224" s="6" t="s">
        <v>86</v>
      </c>
      <c r="D224" s="6" t="s">
        <v>63</v>
      </c>
      <c r="E224" s="6" t="s">
        <v>9</v>
      </c>
      <c r="F224" s="8">
        <f>VLOOKUP(A224,Tutors!C:D,2,0)</f>
        <v>2634</v>
      </c>
      <c r="G224" s="8" t="str">
        <f>VLOOKUP(A224,Tutors!C:E,3,0)</f>
        <v>EG04-EG05-EG06</v>
      </c>
      <c r="H224" s="8" t="str">
        <f>VLOOKUP(A224,Tutors!A:F,6,0)</f>
        <v>mostafagamalmetwally@gmail.com</v>
      </c>
      <c r="I224" s="8" t="str">
        <f>VLOOKUP(A224,Tutors!C:G,5,0)</f>
        <v/>
      </c>
      <c r="J224" s="8">
        <f>COUNTIFS(Active!C:C,A224)</f>
        <v>1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" t="s">
        <v>249</v>
      </c>
      <c r="B225" s="7">
        <f>VLOOKUP(A225,Tutors!A:B,2,0)</f>
        <v>578138935094</v>
      </c>
      <c r="C225" s="6" t="s">
        <v>86</v>
      </c>
      <c r="D225" s="6" t="s">
        <v>250</v>
      </c>
      <c r="E225" s="6" t="s">
        <v>9</v>
      </c>
      <c r="F225" s="9" t="str">
        <f>VLOOKUP(A225,Tutors!C:D,2,0)</f>
        <v>1897</v>
      </c>
      <c r="G225" s="8" t="str">
        <f>VLOOKUP(A225,Tutors!C:E,3,0)</f>
        <v>EG01-EG02-EG03-EG04-EG05-EG06</v>
      </c>
      <c r="H225" s="8" t="str">
        <f>VLOOKUP(A225,Tutors!A:F,6,0)</f>
        <v>rahmasaeed600@gmail.com</v>
      </c>
      <c r="I225" s="8" t="str">
        <f>VLOOKUP(A225,Tutors!C:G,5,0)</f>
        <v>01140946934</v>
      </c>
      <c r="J225" s="8">
        <f>COUNTIFS(Active!C:C,A225)</f>
        <v>1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" t="s">
        <v>251</v>
      </c>
      <c r="B226" s="7">
        <f>VLOOKUP(A226,Tutors!A:B,2,0)</f>
        <v>870105869516</v>
      </c>
      <c r="C226" s="6" t="s">
        <v>86</v>
      </c>
      <c r="D226" s="6" t="s">
        <v>250</v>
      </c>
      <c r="E226" s="6" t="s">
        <v>9</v>
      </c>
      <c r="F226" s="9" t="str">
        <f>VLOOKUP(A226,Tutors!C:D,2,0)</f>
        <v>1968</v>
      </c>
      <c r="G226" s="8" t="str">
        <f>VLOOKUP(A226,Tutors!C:E,3,0)</f>
        <v>EG04-EG05-EG06-EG07</v>
      </c>
      <c r="H226" s="8" t="str">
        <f>VLOOKUP(A226,Tutors!A:F,6,0)</f>
        <v>aalhamaqi@gmail.com</v>
      </c>
      <c r="I226" s="8" t="str">
        <f>VLOOKUP(A226,Tutors!C:G,5,0)</f>
        <v>01097689004</v>
      </c>
      <c r="J226" s="8">
        <f>COUNTIFS(Active!C:C,A226)</f>
        <v>1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" t="s">
        <v>252</v>
      </c>
      <c r="B227" s="7">
        <f>VLOOKUP(A227,Tutors!A:B,2,0)</f>
        <v>267179017974</v>
      </c>
      <c r="C227" s="6" t="s">
        <v>86</v>
      </c>
      <c r="D227" s="6" t="s">
        <v>250</v>
      </c>
      <c r="E227" s="6" t="s">
        <v>9</v>
      </c>
      <c r="F227" s="9" t="str">
        <f>VLOOKUP(A227,Tutors!C:D,2,0)</f>
        <v>1984</v>
      </c>
      <c r="G227" s="8" t="str">
        <f>VLOOKUP(A227,Tutors!C:E,3,0)</f>
        <v>EG04-EG05-EG06-EG07-EG08-EG09</v>
      </c>
      <c r="H227" s="8" t="str">
        <f>VLOOKUP(A227,Tutors!A:F,6,0)</f>
        <v>raniashabanmohamed99@gmail.com</v>
      </c>
      <c r="I227" s="8">
        <f>VLOOKUP(A227,Tutors!C:G,5,0)</f>
        <v>1091702720</v>
      </c>
      <c r="J227" s="8">
        <f>COUNTIFS(Active!C:C,A227)</f>
        <v>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" t="s">
        <v>253</v>
      </c>
      <c r="B228" s="7">
        <f>VLOOKUP(A228,Tutors!A:B,2,0)</f>
        <v>502103896890</v>
      </c>
      <c r="C228" s="6" t="s">
        <v>86</v>
      </c>
      <c r="D228" s="6" t="s">
        <v>250</v>
      </c>
      <c r="E228" s="6" t="s">
        <v>9</v>
      </c>
      <c r="F228" s="9" t="str">
        <f>VLOOKUP(A228,Tutors!C:D,2,0)</f>
        <v>2138</v>
      </c>
      <c r="G228" s="8" t="str">
        <f>VLOOKUP(A228,Tutors!C:E,3,0)</f>
        <v>EG04-EG05</v>
      </c>
      <c r="H228" s="8" t="str">
        <f>VLOOKUP(A228,Tutors!A:F,6,0)</f>
        <v>sarahhesham7777@gmail.com</v>
      </c>
      <c r="I228" s="8" t="str">
        <f>VLOOKUP(A228,Tutors!C:G,5,0)</f>
        <v>01024197640</v>
      </c>
      <c r="J228" s="8">
        <f>COUNTIFS(Active!C:C,A228)</f>
        <v>1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" t="s">
        <v>254</v>
      </c>
      <c r="B229" s="7">
        <f>VLOOKUP(A229,Tutors!A:B,2,0)</f>
        <v>615157028363</v>
      </c>
      <c r="C229" s="6" t="s">
        <v>86</v>
      </c>
      <c r="D229" s="6" t="s">
        <v>250</v>
      </c>
      <c r="E229" s="6" t="s">
        <v>9</v>
      </c>
      <c r="F229" s="9" t="str">
        <f>VLOOKUP(A229,Tutors!C:D,2,0)</f>
        <v>2169</v>
      </c>
      <c r="G229" s="8" t="str">
        <f>VLOOKUP(A229,Tutors!C:E,3,0)</f>
        <v>EG04-EG05-EG06</v>
      </c>
      <c r="H229" s="8" t="str">
        <f>VLOOKUP(A229,Tutors!A:F,6,0)</f>
        <v>mariamjohn2016@gmail.com</v>
      </c>
      <c r="I229" s="8" t="str">
        <f>VLOOKUP(A229,Tutors!C:G,5,0)</f>
        <v>01204817452</v>
      </c>
      <c r="J229" s="8">
        <f>COUNTIFS(Active!C:C,A229)</f>
        <v>1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" t="s">
        <v>255</v>
      </c>
      <c r="B230" s="7">
        <f>VLOOKUP(A230,Tutors!A:B,2,0)</f>
        <v>980129038038</v>
      </c>
      <c r="C230" s="6" t="s">
        <v>86</v>
      </c>
      <c r="D230" s="6" t="s">
        <v>250</v>
      </c>
      <c r="E230" s="6" t="s">
        <v>9</v>
      </c>
      <c r="F230" s="8">
        <f>VLOOKUP(A230,Tutors!C:D,2,0)</f>
        <v>2238</v>
      </c>
      <c r="G230" s="8" t="str">
        <f>VLOOKUP(A230,Tutors!C:E,3,0)</f>
        <v>EG04-EG05-EG06</v>
      </c>
      <c r="H230" s="8" t="str">
        <f>VLOOKUP(A230,Tutors!A:F,6,0)</f>
        <v>noursadek219@gmail.com</v>
      </c>
      <c r="I230" s="8" t="str">
        <f>VLOOKUP(A230,Tutors!C:G,5,0)</f>
        <v>01200935348</v>
      </c>
      <c r="J230" s="8">
        <f>COUNTIFS(Active!C:C,A230)</f>
        <v>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" t="s">
        <v>256</v>
      </c>
      <c r="B231" s="7">
        <f>VLOOKUP(A231,Tutors!A:B,2,0)</f>
        <v>679176560982</v>
      </c>
      <c r="C231" s="6" t="s">
        <v>86</v>
      </c>
      <c r="D231" s="6" t="s">
        <v>250</v>
      </c>
      <c r="E231" s="6" t="s">
        <v>9</v>
      </c>
      <c r="F231" s="8">
        <f>VLOOKUP(A231,Tutors!C:D,2,0)</f>
        <v>2251</v>
      </c>
      <c r="G231" s="8" t="str">
        <f>VLOOKUP(A231,Tutors!C:E,3,0)</f>
        <v>EG04-EG05-EG06-EG07</v>
      </c>
      <c r="H231" s="8" t="str">
        <f>VLOOKUP(A231,Tutors!A:F,6,0)</f>
        <v>mostafa.raafat.mr@gmail.com</v>
      </c>
      <c r="I231" s="8" t="str">
        <f>VLOOKUP(A231,Tutors!C:G,5,0)</f>
        <v>01127246518</v>
      </c>
      <c r="J231" s="8">
        <f>COUNTIFS(Active!C:C,A231)</f>
        <v>1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" t="s">
        <v>257</v>
      </c>
      <c r="B232" s="7">
        <f>VLOOKUP(A232,Tutors!A:B,2,0)</f>
        <v>959156023193</v>
      </c>
      <c r="C232" s="6" t="s">
        <v>86</v>
      </c>
      <c r="D232" s="6" t="s">
        <v>250</v>
      </c>
      <c r="E232" s="6" t="s">
        <v>9</v>
      </c>
      <c r="F232" s="8">
        <f>VLOOKUP(A232,Tutors!C:D,2,0)</f>
        <v>2309</v>
      </c>
      <c r="G232" s="8" t="str">
        <f>VLOOKUP(A232,Tutors!C:E,3,0)</f>
        <v>EG04-EG05-EG06</v>
      </c>
      <c r="H232" s="8" t="str">
        <f>VLOOKUP(A232,Tutors!A:F,6,0)</f>
        <v>sondosibrahimmohamed50@gmail.com</v>
      </c>
      <c r="I232" s="8" t="str">
        <f>VLOOKUP(A232,Tutors!C:G,5,0)</f>
        <v>01148230103</v>
      </c>
      <c r="J232" s="8">
        <f>COUNTIFS(Active!C:C,A232)</f>
        <v>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" t="s">
        <v>258</v>
      </c>
      <c r="B233" s="7">
        <f>VLOOKUP(A233,Tutors!A:B,2,0)</f>
        <v>727157584915</v>
      </c>
      <c r="C233" s="6" t="s">
        <v>86</v>
      </c>
      <c r="D233" s="6" t="s">
        <v>250</v>
      </c>
      <c r="E233" s="6" t="s">
        <v>9</v>
      </c>
      <c r="F233" s="8">
        <f>VLOOKUP(A233,Tutors!C:D,2,0)</f>
        <v>2354</v>
      </c>
      <c r="G233" s="8" t="str">
        <f>VLOOKUP(A233,Tutors!C:E,3,0)</f>
        <v>EG04-EG05</v>
      </c>
      <c r="H233" s="8" t="str">
        <f>VLOOKUP(A233,Tutors!A:F,6,0)</f>
        <v>emanhamdy9876@gmail.com</v>
      </c>
      <c r="I233" s="8" t="str">
        <f>VLOOKUP(A233,Tutors!C:G,5,0)</f>
        <v>01118049112</v>
      </c>
      <c r="J233" s="8">
        <f>COUNTIFS(Active!C:C,A233)</f>
        <v>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 t="s">
        <v>259</v>
      </c>
      <c r="B234" s="7">
        <f>VLOOKUP(A234,Tutors!A:B,2,0)</f>
        <v>858151472598</v>
      </c>
      <c r="C234" s="6" t="s">
        <v>86</v>
      </c>
      <c r="D234" s="6" t="s">
        <v>250</v>
      </c>
      <c r="E234" s="6" t="s">
        <v>9</v>
      </c>
      <c r="F234" s="8">
        <f>VLOOKUP(A234,Tutors!C:D,2,0)</f>
        <v>2477</v>
      </c>
      <c r="G234" s="8" t="str">
        <f>VLOOKUP(A234,Tutors!C:E,3,0)</f>
        <v>EG01-EG02-EG03-EG04-EG05-EG06</v>
      </c>
      <c r="H234" s="8" t="str">
        <f>VLOOKUP(A234,Tutors!A:F,6,0)</f>
        <v>maryamabogourab98@gmail.com</v>
      </c>
      <c r="I234" s="8" t="str">
        <f>VLOOKUP(A234,Tutors!C:G,5,0)</f>
        <v>01024705051</v>
      </c>
      <c r="J234" s="8">
        <f>COUNTIFS(Active!C:C,A234)</f>
        <v>1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" t="s">
        <v>260</v>
      </c>
      <c r="B235" s="7">
        <f>VLOOKUP(A235,Tutors!A:B,2,0)</f>
        <v>213134791302</v>
      </c>
      <c r="C235" s="6" t="s">
        <v>86</v>
      </c>
      <c r="D235" s="6" t="s">
        <v>250</v>
      </c>
      <c r="E235" s="6" t="s">
        <v>13</v>
      </c>
      <c r="F235" s="8">
        <f>VLOOKUP(A235,Tutors!C:D,2,0)</f>
        <v>2511</v>
      </c>
      <c r="G235" s="8" t="str">
        <f>VLOOKUP(A235,Tutors!C:E,3,0)</f>
        <v>EG04-EG05-EG06-EG07-EG08-EG09</v>
      </c>
      <c r="H235" s="8" t="str">
        <f>VLOOKUP(A235,Tutors!A:F,6,0)</f>
        <v>shimaasayed7796@gmail.com</v>
      </c>
      <c r="I235" s="8" t="str">
        <f>VLOOKUP(A235,Tutors!C:G,5,0)</f>
        <v>01014038811</v>
      </c>
      <c r="J235" s="8">
        <f>COUNTIFS(Active!C:C,A235)</f>
        <v>0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" t="s">
        <v>261</v>
      </c>
      <c r="B236" s="7">
        <f>VLOOKUP(A236,Tutors!A:B,2,0)</f>
        <v>653189026206</v>
      </c>
      <c r="C236" s="6" t="s">
        <v>86</v>
      </c>
      <c r="D236" s="6" t="s">
        <v>250</v>
      </c>
      <c r="E236" s="6" t="s">
        <v>13</v>
      </c>
      <c r="F236" s="8">
        <f>VLOOKUP(A236,Tutors!C:D,2,0)</f>
        <v>2521</v>
      </c>
      <c r="G236" s="8" t="str">
        <f>VLOOKUP(A236,Tutors!C:E,3,0)</f>
        <v>EG04-EG05-EG06</v>
      </c>
      <c r="H236" s="8" t="str">
        <f>VLOOKUP(A236,Tutors!A:F,6,0)</f>
        <v>carolineezak250@gmail.com</v>
      </c>
      <c r="I236" s="8" t="str">
        <f>VLOOKUP(A236,Tutors!C:G,5,0)</f>
        <v>01200451640</v>
      </c>
      <c r="J236" s="8">
        <f>COUNTIFS(Active!C:C,A236)</f>
        <v>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" t="s">
        <v>262</v>
      </c>
      <c r="B237" s="7">
        <f>VLOOKUP(A237,Tutors!A:B,2,0)</f>
        <v>423152568123</v>
      </c>
      <c r="C237" s="6" t="s">
        <v>86</v>
      </c>
      <c r="D237" s="6" t="s">
        <v>250</v>
      </c>
      <c r="E237" s="6" t="s">
        <v>13</v>
      </c>
      <c r="F237" s="8">
        <f>VLOOKUP(A237,Tutors!C:D,2,0)</f>
        <v>2674</v>
      </c>
      <c r="G237" s="8" t="str">
        <f>VLOOKUP(A237,Tutors!C:E,3,0)</f>
        <v>EG04-EG05-EG06</v>
      </c>
      <c r="H237" s="8" t="str">
        <f>VLOOKUP(A237,Tutors!A:F,6,0)</f>
        <v>ns5603341@gmail.com</v>
      </c>
      <c r="I237" s="8" t="str">
        <f>VLOOKUP(A237,Tutors!C:G,5,0)</f>
        <v/>
      </c>
      <c r="J237" s="8">
        <f>COUNTIFS(Active!C:C,A237)</f>
        <v>0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" t="s">
        <v>263</v>
      </c>
      <c r="B238" s="7">
        <f>VLOOKUP(A238,Tutors!A:B,2,0)</f>
        <v>543127859795</v>
      </c>
      <c r="C238" s="6" t="s">
        <v>86</v>
      </c>
      <c r="D238" s="6" t="s">
        <v>250</v>
      </c>
      <c r="E238" s="6" t="s">
        <v>9</v>
      </c>
      <c r="F238" s="8">
        <f>VLOOKUP(A238,Tutors!C:D,2,0)</f>
        <v>2601</v>
      </c>
      <c r="G238" s="8" t="str">
        <f>VLOOKUP(A238,Tutors!C:E,3,0)</f>
        <v>EG04-EG05-EG06-EG07-EG08</v>
      </c>
      <c r="H238" s="8" t="str">
        <f>VLOOKUP(A238,Tutors!A:F,6,0)</f>
        <v>hasnaa.seen@gmail.com</v>
      </c>
      <c r="I238" s="8" t="str">
        <f>VLOOKUP(A238,Tutors!C:G,5,0)</f>
        <v/>
      </c>
      <c r="J238" s="8">
        <f>COUNTIFS(Active!C:C,A238)</f>
        <v>1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 t="s">
        <v>264</v>
      </c>
      <c r="B239" s="7">
        <f>VLOOKUP(A239,Tutors!A:B,2,0)</f>
        <v>318197043548</v>
      </c>
      <c r="C239" s="6" t="s">
        <v>86</v>
      </c>
      <c r="D239" s="6" t="s">
        <v>250</v>
      </c>
      <c r="E239" s="10" t="s">
        <v>9</v>
      </c>
      <c r="F239" s="8">
        <f>VLOOKUP(A239,Tutors!C:D,2,0)</f>
        <v>2705</v>
      </c>
      <c r="G239" s="8" t="str">
        <f>VLOOKUP(A239,Tutors!C:E,3,0)</f>
        <v>EG04-EG05-EG06-EG07-EG08-EG09</v>
      </c>
      <c r="H239" s="8" t="str">
        <f>VLOOKUP(A239,Tutors!A:F,6,0)</f>
        <v>gehadmousa786@gmail.com</v>
      </c>
      <c r="I239" s="8" t="str">
        <f>VLOOKUP(A239,Tutors!C:G,5,0)</f>
        <v>01022451628</v>
      </c>
      <c r="J239" s="8">
        <f>COUNTIFS(Active!C:C,A239)</f>
        <v>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 t="s">
        <v>265</v>
      </c>
      <c r="B240" s="7">
        <f>VLOOKUP(A240,Tutors!A:B,2,0)</f>
        <v>927107160421</v>
      </c>
      <c r="C240" s="6" t="s">
        <v>86</v>
      </c>
      <c r="D240" s="6" t="s">
        <v>250</v>
      </c>
      <c r="E240" s="6" t="s">
        <v>13</v>
      </c>
      <c r="F240" s="8">
        <f>VLOOKUP(A240,Tutors!C:D,2,0)</f>
        <v>2760</v>
      </c>
      <c r="G240" s="8" t="str">
        <f>VLOOKUP(A240,Tutors!C:E,3,0)</f>
        <v>EG01-EG02-EG03-EG04-EG05-EG06</v>
      </c>
      <c r="H240" s="8" t="str">
        <f>VLOOKUP(A240,Tutors!A:F,6,0)</f>
        <v>asmaaa.elaimy@gmail.com</v>
      </c>
      <c r="I240" s="8" t="str">
        <f>VLOOKUP(A240,Tutors!C:G,5,0)</f>
        <v>01066612687</v>
      </c>
      <c r="J240" s="8">
        <f>COUNTIFS(Active!C:C,A240)</f>
        <v>0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 t="s">
        <v>266</v>
      </c>
      <c r="B241" s="7">
        <f>VLOOKUP(A241,Tutors!A:B,2,0)</f>
        <v>130151805637</v>
      </c>
      <c r="C241" s="6" t="s">
        <v>86</v>
      </c>
      <c r="D241" s="6" t="s">
        <v>69</v>
      </c>
      <c r="E241" s="6" t="s">
        <v>9</v>
      </c>
      <c r="F241" s="9" t="str">
        <f>VLOOKUP(A241,Tutors!C:D,2,0)</f>
        <v>145</v>
      </c>
      <c r="G241" s="8" t="str">
        <f>VLOOKUP(A241,Tutors!C:E,3,0)</f>
        <v>EG04-EG05-EG06-EG07-EG08-EG09-EG10-EG11-EG12</v>
      </c>
      <c r="H241" s="8" t="str">
        <f>VLOOKUP(A241,Tutors!A:F,6,0)</f>
        <v>abdallah.moeenn@gmail.com</v>
      </c>
      <c r="I241" s="8" t="str">
        <f>VLOOKUP(A241,Tutors!C:G,5,0)</f>
        <v/>
      </c>
      <c r="J241" s="8">
        <f>COUNTIFS(Active!C:C,A241)</f>
        <v>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" t="s">
        <v>267</v>
      </c>
      <c r="B242" s="7">
        <f>VLOOKUP(A242,Tutors!A:B,2,0)</f>
        <v>143165762069</v>
      </c>
      <c r="C242" s="6" t="s">
        <v>86</v>
      </c>
      <c r="D242" s="6" t="s">
        <v>69</v>
      </c>
      <c r="E242" s="6" t="s">
        <v>9</v>
      </c>
      <c r="F242" s="9" t="str">
        <f>VLOOKUP(A242,Tutors!C:D,2,0)</f>
        <v>737</v>
      </c>
      <c r="G242" s="8" t="str">
        <f>VLOOKUP(A242,Tutors!C:E,3,0)</f>
        <v>EG04-EG05-EG06-EG07-EG08-EG09-EG10-EG11-EG12</v>
      </c>
      <c r="H242" s="8" t="str">
        <f>VLOOKUP(A242,Tutors!A:F,6,0)</f>
        <v>mohamed.eid@nagwa.com</v>
      </c>
      <c r="I242" s="8" t="str">
        <f>VLOOKUP(A242,Tutors!C:G,5,0)</f>
        <v/>
      </c>
      <c r="J242" s="8">
        <f>COUNTIFS(Active!C:C,A242)</f>
        <v>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" t="s">
        <v>268</v>
      </c>
      <c r="B243" s="7">
        <f>VLOOKUP(A243,Tutors!A:B,2,0)</f>
        <v>598191375412</v>
      </c>
      <c r="C243" s="6" t="s">
        <v>86</v>
      </c>
      <c r="D243" s="6" t="s">
        <v>69</v>
      </c>
      <c r="E243" s="6" t="s">
        <v>9</v>
      </c>
      <c r="F243" s="9" t="str">
        <f>VLOOKUP(A243,Tutors!C:D,2,0)</f>
        <v>1869</v>
      </c>
      <c r="G243" s="8" t="str">
        <f>VLOOKUP(A243,Tutors!C:E,3,0)</f>
        <v>EG04-EG05-EG06-EG07-EG08-EG09</v>
      </c>
      <c r="H243" s="8" t="str">
        <f>VLOOKUP(A243,Tutors!A:F,6,0)</f>
        <v>ibrahim.altrawey@gmail.com</v>
      </c>
      <c r="I243" s="8" t="str">
        <f>VLOOKUP(A243,Tutors!C:G,5,0)</f>
        <v>01228286453</v>
      </c>
      <c r="J243" s="8">
        <f>COUNTIFS(Active!C:C,A243)</f>
        <v>1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" t="s">
        <v>269</v>
      </c>
      <c r="B244" s="7">
        <f>VLOOKUP(A244,Tutors!A:B,2,0)</f>
        <v>296150317528</v>
      </c>
      <c r="C244" s="6" t="s">
        <v>86</v>
      </c>
      <c r="D244" s="6" t="s">
        <v>69</v>
      </c>
      <c r="E244" s="6" t="s">
        <v>9</v>
      </c>
      <c r="F244" s="9" t="str">
        <f>VLOOKUP(A244,Tutors!C:D,2,0)</f>
        <v>1714</v>
      </c>
      <c r="G244" s="8" t="str">
        <f>VLOOKUP(A244,Tutors!C:E,3,0)</f>
        <v>EG04-EG05-EG06-EG07</v>
      </c>
      <c r="H244" s="8" t="str">
        <f>VLOOKUP(A244,Tutors!A:F,6,0)</f>
        <v>faten4.sayed@gmail.com</v>
      </c>
      <c r="I244" s="8" t="str">
        <f>VLOOKUP(A244,Tutors!C:G,5,0)</f>
        <v/>
      </c>
      <c r="J244" s="8">
        <f>COUNTIFS(Active!C:C,A244)</f>
        <v>1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" t="s">
        <v>270</v>
      </c>
      <c r="B245" s="7">
        <f>VLOOKUP(A245,Tutors!A:B,2,0)</f>
        <v>429127969509</v>
      </c>
      <c r="C245" s="6" t="s">
        <v>86</v>
      </c>
      <c r="D245" s="6" t="s">
        <v>69</v>
      </c>
      <c r="E245" s="6" t="s">
        <v>9</v>
      </c>
      <c r="F245" s="9" t="str">
        <f>VLOOKUP(A245,Tutors!C:D,2,0)</f>
        <v>1964</v>
      </c>
      <c r="G245" s="8" t="str">
        <f>VLOOKUP(A245,Tutors!C:E,3,0)</f>
        <v>EG04-EG05-EG06-EG07-EG08-EG09</v>
      </c>
      <c r="H245" s="8" t="str">
        <f>VLOOKUP(A245,Tutors!A:F,6,0)</f>
        <v>m.moharam91@gmail.com</v>
      </c>
      <c r="I245" s="8" t="str">
        <f>VLOOKUP(A245,Tutors!C:G,5,0)</f>
        <v>01009005365</v>
      </c>
      <c r="J245" s="8">
        <f>COUNTIFS(Active!C:C,A245)</f>
        <v>1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" t="s">
        <v>271</v>
      </c>
      <c r="B246" s="7">
        <f>VLOOKUP(A246,Tutors!A:B,2,0)</f>
        <v>649109540563</v>
      </c>
      <c r="C246" s="6" t="s">
        <v>86</v>
      </c>
      <c r="D246" s="6" t="s">
        <v>69</v>
      </c>
      <c r="E246" s="6" t="s">
        <v>9</v>
      </c>
      <c r="F246" s="9" t="str">
        <f>VLOOKUP(A246,Tutors!C:D,2,0)</f>
        <v>2081</v>
      </c>
      <c r="G246" s="8" t="str">
        <f>VLOOKUP(A246,Tutors!C:E,3,0)</f>
        <v>EG04-EG05-EG06</v>
      </c>
      <c r="H246" s="8" t="str">
        <f>VLOOKUP(A246,Tutors!A:F,6,0)</f>
        <v>apoapdo3000@gmail.com</v>
      </c>
      <c r="I246" s="8" t="str">
        <f>VLOOKUP(A246,Tutors!C:G,5,0)</f>
        <v>01119730825</v>
      </c>
      <c r="J246" s="8">
        <f>COUNTIFS(Active!C:C,A246)</f>
        <v>1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" t="s">
        <v>272</v>
      </c>
      <c r="B247" s="7">
        <f>VLOOKUP(A247,Tutors!A:B,2,0)</f>
        <v>972182920695</v>
      </c>
      <c r="C247" s="6" t="s">
        <v>86</v>
      </c>
      <c r="D247" s="6" t="s">
        <v>69</v>
      </c>
      <c r="E247" s="6" t="s">
        <v>9</v>
      </c>
      <c r="F247" s="9" t="str">
        <f>VLOOKUP(A247,Tutors!C:D,2,0)</f>
        <v>1137</v>
      </c>
      <c r="G247" s="8" t="str">
        <f>VLOOKUP(A247,Tutors!C:E,3,0)</f>
        <v>EG04-EG05-EG06-EG07-EG08-EG09-EG10-EG11-EG12</v>
      </c>
      <c r="H247" s="8" t="str">
        <f>VLOOKUP(A247,Tutors!A:F,6,0)</f>
        <v>ahmedsalem6060@gmail.com</v>
      </c>
      <c r="I247" s="8" t="str">
        <f>VLOOKUP(A247,Tutors!C:G,5,0)</f>
        <v>01143409562</v>
      </c>
      <c r="J247" s="8">
        <f>COUNTIFS(Active!C:C,A247)</f>
        <v>1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 t="s">
        <v>273</v>
      </c>
      <c r="B248" s="7">
        <f>VLOOKUP(A248,Tutors!A:B,2,0)</f>
        <v>357181684840</v>
      </c>
      <c r="C248" s="6" t="s">
        <v>86</v>
      </c>
      <c r="D248" s="6" t="s">
        <v>69</v>
      </c>
      <c r="E248" s="6" t="s">
        <v>9</v>
      </c>
      <c r="F248" s="9" t="str">
        <f>VLOOKUP(A248,Tutors!C:D,2,0)</f>
        <v>2104</v>
      </c>
      <c r="G248" s="8" t="str">
        <f>VLOOKUP(A248,Tutors!C:E,3,0)</f>
        <v>EG04-EG05-EG06-EG07-EG08-EG09</v>
      </c>
      <c r="H248" s="8" t="str">
        <f>VLOOKUP(A248,Tutors!A:F,6,0)</f>
        <v>ibrahimroshdy20202021@gmail.com</v>
      </c>
      <c r="I248" s="8" t="str">
        <f>VLOOKUP(A248,Tutors!C:G,5,0)</f>
        <v>01092350359</v>
      </c>
      <c r="J248" s="8">
        <f>COUNTIFS(Active!C:C,A248)</f>
        <v>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" t="s">
        <v>274</v>
      </c>
      <c r="B249" s="7">
        <f>VLOOKUP(A249,Tutors!A:B,2,0)</f>
        <v>405161986485</v>
      </c>
      <c r="C249" s="6" t="s">
        <v>86</v>
      </c>
      <c r="D249" s="6" t="s">
        <v>69</v>
      </c>
      <c r="E249" s="6" t="s">
        <v>9</v>
      </c>
      <c r="F249" s="9" t="str">
        <f>VLOOKUP(A249,Tutors!C:D,2,0)</f>
        <v>2313</v>
      </c>
      <c r="G249" s="8" t="str">
        <f>VLOOKUP(A249,Tutors!C:E,3,0)</f>
        <v>EG04-EG05-EG06</v>
      </c>
      <c r="H249" s="8" t="str">
        <f>VLOOKUP(A249,Tutors!A:F,6,0)</f>
        <v>afathy123654@gmail.com</v>
      </c>
      <c r="I249" s="8" t="str">
        <f>VLOOKUP(A249,Tutors!C:G,5,0)</f>
        <v>01150395089</v>
      </c>
      <c r="J249" s="8">
        <f>COUNTIFS(Active!C:C,A249)</f>
        <v>1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" t="s">
        <v>275</v>
      </c>
      <c r="B250" s="7">
        <f>VLOOKUP(A250,Tutors!A:B,2,0)</f>
        <v>795196170456</v>
      </c>
      <c r="C250" s="6" t="s">
        <v>86</v>
      </c>
      <c r="D250" s="6" t="s">
        <v>69</v>
      </c>
      <c r="E250" s="6" t="s">
        <v>9</v>
      </c>
      <c r="F250" s="9" t="str">
        <f>VLOOKUP(A250,Tutors!C:D,2,0)</f>
        <v>2307</v>
      </c>
      <c r="G250" s="8" t="str">
        <f>VLOOKUP(A250,Tutors!C:E,3,0)</f>
        <v>EG04-EG05-EG06-EG07</v>
      </c>
      <c r="H250" s="8" t="str">
        <f>VLOOKUP(A250,Tutors!A:F,6,0)</f>
        <v>mahmoudkhamees2@gmail.com</v>
      </c>
      <c r="I250" s="8" t="str">
        <f>VLOOKUP(A250,Tutors!C:G,5,0)</f>
        <v>01016063128</v>
      </c>
      <c r="J250" s="8">
        <f>COUNTIFS(Active!C:C,A250)</f>
        <v>1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 t="s">
        <v>276</v>
      </c>
      <c r="B251" s="7">
        <f>VLOOKUP(A251,Tutors!A:B,2,0)</f>
        <v>792190383878</v>
      </c>
      <c r="C251" s="6" t="s">
        <v>86</v>
      </c>
      <c r="D251" s="6" t="s">
        <v>69</v>
      </c>
      <c r="E251" s="6" t="s">
        <v>9</v>
      </c>
      <c r="F251" s="9" t="str">
        <f>VLOOKUP(A251,Tutors!C:D,2,0)</f>
        <v>2319</v>
      </c>
      <c r="G251" s="8" t="str">
        <f>VLOOKUP(A251,Tutors!C:E,3,0)</f>
        <v>EG04-EG05-EG06</v>
      </c>
      <c r="H251" s="8" t="str">
        <f>VLOOKUP(A251,Tutors!A:F,6,0)</f>
        <v>saraharaby90@gmail.com</v>
      </c>
      <c r="I251" s="8" t="str">
        <f>VLOOKUP(A251,Tutors!C:G,5,0)</f>
        <v>01118843325</v>
      </c>
      <c r="J251" s="8">
        <f>COUNTIFS(Active!C:C,A251)</f>
        <v>1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" t="s">
        <v>277</v>
      </c>
      <c r="B252" s="7">
        <f>VLOOKUP(A252,Tutors!A:B,2,0)</f>
        <v>626109078528</v>
      </c>
      <c r="C252" s="6" t="s">
        <v>86</v>
      </c>
      <c r="D252" s="6" t="s">
        <v>69</v>
      </c>
      <c r="E252" s="6" t="s">
        <v>9</v>
      </c>
      <c r="F252" s="8">
        <f>VLOOKUP(A252,Tutors!C:D,2,0)</f>
        <v>2345</v>
      </c>
      <c r="G252" s="8" t="str">
        <f>VLOOKUP(A252,Tutors!C:E,3,0)</f>
        <v>EG04-EG05-EG06-EG07</v>
      </c>
      <c r="H252" s="8" t="str">
        <f>VLOOKUP(A252,Tutors!A:F,6,0)</f>
        <v>islamsba98@gmail.com</v>
      </c>
      <c r="I252" s="8" t="str">
        <f>VLOOKUP(A252,Tutors!C:G,5,0)</f>
        <v>01018015076</v>
      </c>
      <c r="J252" s="8">
        <f>COUNTIFS(Active!C:C,A252)</f>
        <v>1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 t="s">
        <v>278</v>
      </c>
      <c r="B253" s="7">
        <f>VLOOKUP(A253,Tutors!A:B,2,0)</f>
        <v>832192515851</v>
      </c>
      <c r="C253" s="6" t="s">
        <v>86</v>
      </c>
      <c r="D253" s="6" t="s">
        <v>69</v>
      </c>
      <c r="E253" s="6" t="s">
        <v>9</v>
      </c>
      <c r="F253" s="8">
        <f>VLOOKUP(A253,Tutors!C:D,2,0)</f>
        <v>2344</v>
      </c>
      <c r="G253" s="8" t="str">
        <f>VLOOKUP(A253,Tutors!C:E,3,0)</f>
        <v>EG03-EG04-EG05-EG06-EG07-EG08-EG09</v>
      </c>
      <c r="H253" s="8" t="str">
        <f>VLOOKUP(A253,Tutors!A:F,6,0)</f>
        <v>ebsmoab@gmail.com</v>
      </c>
      <c r="I253" s="8" t="str">
        <f>VLOOKUP(A253,Tutors!C:G,5,0)</f>
        <v>01123330493</v>
      </c>
      <c r="J253" s="8">
        <f>COUNTIFS(Active!C:C,A253)</f>
        <v>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" t="s">
        <v>279</v>
      </c>
      <c r="B254" s="7">
        <f>VLOOKUP(A254,Tutors!A:B,2,0)</f>
        <v>529163026412</v>
      </c>
      <c r="C254" s="6" t="s">
        <v>86</v>
      </c>
      <c r="D254" s="6" t="s">
        <v>69</v>
      </c>
      <c r="E254" s="6" t="s">
        <v>9</v>
      </c>
      <c r="F254" s="8">
        <f>VLOOKUP(A254,Tutors!C:D,2,0)</f>
        <v>2416</v>
      </c>
      <c r="G254" s="8" t="str">
        <f>VLOOKUP(A254,Tutors!C:E,3,0)</f>
        <v>EG04-EG05-EG06</v>
      </c>
      <c r="H254" s="8" t="str">
        <f>VLOOKUP(A254,Tutors!A:F,6,0)</f>
        <v>fatma25nady@gmail.com</v>
      </c>
      <c r="I254" s="8" t="str">
        <f>VLOOKUP(A254,Tutors!C:G,5,0)</f>
        <v>01028758529</v>
      </c>
      <c r="J254" s="8">
        <f>COUNTIFS(Active!C:C,A254)</f>
        <v>1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 t="s">
        <v>280</v>
      </c>
      <c r="B255" s="7">
        <f>VLOOKUP(A255,Tutors!A:B,2,0)</f>
        <v>182137368351</v>
      </c>
      <c r="C255" s="6" t="s">
        <v>86</v>
      </c>
      <c r="D255" s="6" t="s">
        <v>69</v>
      </c>
      <c r="E255" s="6" t="s">
        <v>9</v>
      </c>
      <c r="F255" s="8">
        <f>VLOOKUP(A255,Tutors!C:D,2,0)</f>
        <v>2462</v>
      </c>
      <c r="G255" s="8" t="str">
        <f>VLOOKUP(A255,Tutors!C:E,3,0)</f>
        <v>EG03-EG04-EG05-EG06-EG07</v>
      </c>
      <c r="H255" s="8" t="str">
        <f>VLOOKUP(A255,Tutors!A:F,6,0)</f>
        <v>meramera192333@gmail.com</v>
      </c>
      <c r="I255" s="8" t="str">
        <f>VLOOKUP(A255,Tutors!C:G,5,0)</f>
        <v>01123054991</v>
      </c>
      <c r="J255" s="8">
        <f>COUNTIFS(Active!C:C,A255)</f>
        <v>1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 t="s">
        <v>281</v>
      </c>
      <c r="B256" s="7">
        <f>VLOOKUP(A256,Tutors!A:B,2,0)</f>
        <v>265124381798</v>
      </c>
      <c r="C256" s="6" t="s">
        <v>86</v>
      </c>
      <c r="D256" s="6" t="s">
        <v>69</v>
      </c>
      <c r="E256" s="10" t="s">
        <v>9</v>
      </c>
      <c r="F256" s="8">
        <f>VLOOKUP(A256,Tutors!C:D,2,0)</f>
        <v>2474</v>
      </c>
      <c r="G256" s="8" t="str">
        <f>VLOOKUP(A256,Tutors!C:E,3,0)</f>
        <v>EG01-EG02-EG03-EG04-EG05-EG06-EG07</v>
      </c>
      <c r="H256" s="8" t="str">
        <f>VLOOKUP(A256,Tutors!A:F,6,0)</f>
        <v>enahany4@gmail.com</v>
      </c>
      <c r="I256" s="8" t="str">
        <f>VLOOKUP(A256,Tutors!C:G,5,0)</f>
        <v>01096788156</v>
      </c>
      <c r="J256" s="8">
        <f>COUNTIFS(Active!C:C,A256)</f>
        <v>1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 t="s">
        <v>282</v>
      </c>
      <c r="B257" s="7">
        <f>VLOOKUP(A257,Tutors!A:B,2,0)</f>
        <v>520172853627</v>
      </c>
      <c r="C257" s="6" t="s">
        <v>86</v>
      </c>
      <c r="D257" s="6" t="s">
        <v>69</v>
      </c>
      <c r="E257" s="6" t="s">
        <v>9</v>
      </c>
      <c r="F257" s="8">
        <f>VLOOKUP(A257,Tutors!C:D,2,0)</f>
        <v>2466</v>
      </c>
      <c r="G257" s="8" t="str">
        <f>VLOOKUP(A257,Tutors!C:E,3,0)</f>
        <v>EG04-EG05-EG06-EG07</v>
      </c>
      <c r="H257" s="8" t="str">
        <f>VLOOKUP(A257,Tutors!A:F,6,0)</f>
        <v>amrgamalhamdi@gmail.com</v>
      </c>
      <c r="I257" s="8" t="str">
        <f>VLOOKUP(A257,Tutors!C:G,5,0)</f>
        <v>01060743606</v>
      </c>
      <c r="J257" s="8">
        <f>COUNTIFS(Active!C:C,A257)</f>
        <v>1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 t="s">
        <v>283</v>
      </c>
      <c r="B258" s="7">
        <f>VLOOKUP(A258,Tutors!A:B,2,0)</f>
        <v>258162458472</v>
      </c>
      <c r="C258" s="6" t="s">
        <v>86</v>
      </c>
      <c r="D258" s="6" t="s">
        <v>69</v>
      </c>
      <c r="E258" s="6" t="s">
        <v>9</v>
      </c>
      <c r="F258" s="8">
        <f>VLOOKUP(A258,Tutors!C:D,2,0)</f>
        <v>2541</v>
      </c>
      <c r="G258" s="8" t="str">
        <f>VLOOKUP(A258,Tutors!C:E,3,0)</f>
        <v>EG04-EG05-EG06-EG07</v>
      </c>
      <c r="H258" s="8" t="str">
        <f>VLOOKUP(A258,Tutors!A:F,6,0)</f>
        <v>adelhalfawytea@gmail.com</v>
      </c>
      <c r="I258" s="8" t="str">
        <f>VLOOKUP(A258,Tutors!C:G,5,0)</f>
        <v>01026332686</v>
      </c>
      <c r="J258" s="8">
        <f>COUNTIFS(Active!C:C,A258)</f>
        <v>1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 t="s">
        <v>284</v>
      </c>
      <c r="B259" s="7">
        <f>VLOOKUP(A259,Tutors!A:B,2,0)</f>
        <v>407189748903</v>
      </c>
      <c r="C259" s="6" t="s">
        <v>86</v>
      </c>
      <c r="D259" s="6" t="s">
        <v>69</v>
      </c>
      <c r="E259" s="6" t="s">
        <v>9</v>
      </c>
      <c r="F259" s="8">
        <f>VLOOKUP(A259,Tutors!C:D,2,0)</f>
        <v>2544</v>
      </c>
      <c r="G259" s="8" t="str">
        <f>VLOOKUP(A259,Tutors!C:E,3,0)</f>
        <v>EG04-EG05-EG06-EG07-EG08-EG09</v>
      </c>
      <c r="H259" s="8" t="str">
        <f>VLOOKUP(A259,Tutors!A:F,6,0)</f>
        <v>hossam.kandel70@gmail.com</v>
      </c>
      <c r="I259" s="8" t="str">
        <f>VLOOKUP(A259,Tutors!C:G,5,0)</f>
        <v>01227304602</v>
      </c>
      <c r="J259" s="8">
        <f>COUNTIFS(Active!C:C,A259)</f>
        <v>1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 t="s">
        <v>285</v>
      </c>
      <c r="B260" s="7">
        <f>VLOOKUP(A260,Tutors!A:B,2,0)</f>
        <v>379179346029</v>
      </c>
      <c r="C260" s="6" t="s">
        <v>86</v>
      </c>
      <c r="D260" s="6" t="s">
        <v>69</v>
      </c>
      <c r="E260" s="6" t="s">
        <v>9</v>
      </c>
      <c r="F260" s="8">
        <f>VLOOKUP(A260,Tutors!C:D,2,0)</f>
        <v>2326</v>
      </c>
      <c r="G260" s="8" t="str">
        <f>VLOOKUP(A260,Tutors!C:E,3,0)</f>
        <v>EG04-EG05-EG06-EG07-EG08</v>
      </c>
      <c r="H260" s="8" t="str">
        <f>VLOOKUP(A260,Tutors!A:F,6,0)</f>
        <v>rababelhenawey@gmail.com</v>
      </c>
      <c r="I260" s="8">
        <f>VLOOKUP(A260,Tutors!C:G,5,0)</f>
        <v>201111445648</v>
      </c>
      <c r="J260" s="8">
        <f>COUNTIFS(Active!C:C,A260)</f>
        <v>1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" t="s">
        <v>286</v>
      </c>
      <c r="B261" s="7">
        <f>VLOOKUP(A261,Tutors!A:B,2,0)</f>
        <v>524121597260</v>
      </c>
      <c r="C261" s="6" t="s">
        <v>86</v>
      </c>
      <c r="D261" s="6" t="s">
        <v>69</v>
      </c>
      <c r="E261" s="10" t="s">
        <v>9</v>
      </c>
      <c r="F261" s="8">
        <f>VLOOKUP(A261,Tutors!C:D,2,0)</f>
        <v>2608</v>
      </c>
      <c r="G261" s="8" t="str">
        <f>VLOOKUP(A261,Tutors!C:E,3,0)</f>
        <v>EG04-EG05-EG06-EG07-EG08</v>
      </c>
      <c r="H261" s="8" t="str">
        <f>VLOOKUP(A261,Tutors!A:F,6,0)</f>
        <v>saadbehery13@gmail.com</v>
      </c>
      <c r="I261" s="8" t="str">
        <f>VLOOKUP(A261,Tutors!C:G,5,0)</f>
        <v/>
      </c>
      <c r="J261" s="8">
        <f>COUNTIFS(Active!C:C,A261)</f>
        <v>1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" t="s">
        <v>287</v>
      </c>
      <c r="B262" s="7">
        <f>VLOOKUP(A262,Tutors!A:B,2,0)</f>
        <v>370154903174</v>
      </c>
      <c r="C262" s="6" t="s">
        <v>86</v>
      </c>
      <c r="D262" s="6" t="s">
        <v>69</v>
      </c>
      <c r="E262" s="6" t="s">
        <v>9</v>
      </c>
      <c r="F262" s="8">
        <f>VLOOKUP(A262,Tutors!C:D,2,0)</f>
        <v>2733</v>
      </c>
      <c r="G262" s="8" t="str">
        <f>VLOOKUP(A262,Tutors!C:E,3,0)</f>
        <v>EG04-EG05-EG06-EG07</v>
      </c>
      <c r="H262" s="8" t="str">
        <f>VLOOKUP(A262,Tutors!A:F,6,0)</f>
        <v>reham.3adel@hotmail.com</v>
      </c>
      <c r="I262" s="8" t="str">
        <f>VLOOKUP(A262,Tutors!C:G,5,0)</f>
        <v>01114564985</v>
      </c>
      <c r="J262" s="8">
        <f>COUNTIFS(Active!C:C,A262)</f>
        <v>1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" t="s">
        <v>288</v>
      </c>
      <c r="B263" s="7">
        <f>VLOOKUP(A263,Tutors!A:B,2,0)</f>
        <v>267120267316</v>
      </c>
      <c r="C263" s="6" t="s">
        <v>86</v>
      </c>
      <c r="D263" s="6" t="s">
        <v>69</v>
      </c>
      <c r="E263" s="6" t="s">
        <v>9</v>
      </c>
      <c r="F263" s="8">
        <f>VLOOKUP(A263,Tutors!C:D,2,0)</f>
        <v>2731</v>
      </c>
      <c r="G263" s="8" t="str">
        <f>VLOOKUP(A263,Tutors!C:E,3,0)</f>
        <v>EG03-EG04-EG05-EG06</v>
      </c>
      <c r="H263" s="8" t="str">
        <f>VLOOKUP(A263,Tutors!A:F,6,0)</f>
        <v>nadiaabdalbast@outlook.com</v>
      </c>
      <c r="I263" s="8" t="str">
        <f>VLOOKUP(A263,Tutors!C:G,5,0)</f>
        <v>01027624883</v>
      </c>
      <c r="J263" s="8">
        <f>COUNTIFS(Active!C:C,A263)</f>
        <v>1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" t="s">
        <v>289</v>
      </c>
      <c r="B264" s="7">
        <f>VLOOKUP(A264,Tutors!A:B,2,0)</f>
        <v>260139845925</v>
      </c>
      <c r="C264" s="6" t="s">
        <v>86</v>
      </c>
      <c r="D264" s="6" t="s">
        <v>69</v>
      </c>
      <c r="E264" s="6" t="s">
        <v>9</v>
      </c>
      <c r="F264" s="8">
        <f>VLOOKUP(A264,Tutors!C:D,2,0)</f>
        <v>2708</v>
      </c>
      <c r="G264" s="8" t="str">
        <f>VLOOKUP(A264,Tutors!C:E,3,0)</f>
        <v>EG03-EG04-EG05-EG06</v>
      </c>
      <c r="H264" s="8" t="str">
        <f>VLOOKUP(A264,Tutors!A:F,6,0)</f>
        <v>fatmaalzhraa704@gmail.com</v>
      </c>
      <c r="I264" s="8" t="str">
        <f>VLOOKUP(A264,Tutors!C:G,5,0)</f>
        <v>01011497610</v>
      </c>
      <c r="J264" s="8">
        <f>COUNTIFS(Active!C:C,A264)</f>
        <v>1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 t="s">
        <v>290</v>
      </c>
      <c r="B265" s="7">
        <f>VLOOKUP(A265,Tutors!A:B,2,0)</f>
        <v>493101971496</v>
      </c>
      <c r="C265" s="6" t="s">
        <v>86</v>
      </c>
      <c r="D265" s="6" t="s">
        <v>69</v>
      </c>
      <c r="E265" s="6" t="s">
        <v>35</v>
      </c>
      <c r="F265" s="8">
        <f>VLOOKUP(A265,Tutors!C:D,2,0)</f>
        <v>2732</v>
      </c>
      <c r="G265" s="8" t="str">
        <f>VLOOKUP(A265,Tutors!C:E,3,0)</f>
        <v>EG04-EG05-EG06</v>
      </c>
      <c r="H265" s="8" t="str">
        <f>VLOOKUP(A265,Tutors!A:F,6,0)</f>
        <v>doniaalaaeldeen13@gmail.com</v>
      </c>
      <c r="I265" s="8" t="str">
        <f>VLOOKUP(A265,Tutors!C:G,5,0)</f>
        <v>01127447490</v>
      </c>
      <c r="J265" s="8">
        <f>COUNTIFS(Active!C:C,A265)</f>
        <v>0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" t="s">
        <v>291</v>
      </c>
      <c r="B266" s="7">
        <f>VLOOKUP(A266,Tutors!A:B,2,0)</f>
        <v>706121920140</v>
      </c>
      <c r="C266" s="6" t="s">
        <v>86</v>
      </c>
      <c r="D266" s="6" t="s">
        <v>69</v>
      </c>
      <c r="E266" s="6" t="s">
        <v>13</v>
      </c>
      <c r="F266" s="8">
        <f>VLOOKUP(A266,Tutors!C:D,2,0)</f>
        <v>2724</v>
      </c>
      <c r="G266" s="8" t="str">
        <f>VLOOKUP(A266,Tutors!C:E,3,0)</f>
        <v>EG04-EG05-EG06-EG07</v>
      </c>
      <c r="H266" s="8" t="str">
        <f>VLOOKUP(A266,Tutors!A:F,6,0)</f>
        <v>hanaaelamir7@gmail.com</v>
      </c>
      <c r="I266" s="8" t="str">
        <f>VLOOKUP(A266,Tutors!C:G,5,0)</f>
        <v>01003088300</v>
      </c>
      <c r="J266" s="8">
        <f>COUNTIFS(Active!C:C,A266)</f>
        <v>0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" t="s">
        <v>292</v>
      </c>
      <c r="B267" s="7">
        <f>VLOOKUP(A267,Tutors!A:B,2,0)</f>
        <v>320151393513</v>
      </c>
      <c r="C267" s="6" t="s">
        <v>86</v>
      </c>
      <c r="D267" s="6" t="s">
        <v>69</v>
      </c>
      <c r="E267" s="6" t="s">
        <v>9</v>
      </c>
      <c r="F267" s="8">
        <f>VLOOKUP(A267,Tutors!C:D,2,0)</f>
        <v>2706</v>
      </c>
      <c r="G267" s="8" t="str">
        <f>VLOOKUP(A267,Tutors!C:E,3,0)</f>
        <v>EG01-EG02-EG03-EG04-EG05-EG06</v>
      </c>
      <c r="H267" s="8" t="str">
        <f>VLOOKUP(A267,Tutors!A:F,6,0)</f>
        <v>amalomara78@gmail.com</v>
      </c>
      <c r="I267" s="8" t="str">
        <f>VLOOKUP(A267,Tutors!C:G,5,0)</f>
        <v>01278856104</v>
      </c>
      <c r="J267" s="8">
        <f>COUNTIFS(Active!C:C,A267)</f>
        <v>1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" t="s">
        <v>293</v>
      </c>
      <c r="B268" s="7">
        <f>VLOOKUP(A268,Tutors!A:B,2,0)</f>
        <v>279170372636</v>
      </c>
      <c r="C268" s="6" t="s">
        <v>86</v>
      </c>
      <c r="D268" s="6" t="s">
        <v>69</v>
      </c>
      <c r="E268" s="10" t="s">
        <v>9</v>
      </c>
      <c r="F268" s="8">
        <f>VLOOKUP(A268,Tutors!C:D,2,0)</f>
        <v>2677</v>
      </c>
      <c r="G268" s="8" t="str">
        <f>VLOOKUP(A268,Tutors!C:E,3,0)</f>
        <v>EG03-EG04-EG05-EG06-EG07</v>
      </c>
      <c r="H268" s="8" t="str">
        <f>VLOOKUP(A268,Tutors!A:F,6,0)</f>
        <v>nehadsalahalsakka@gmail.com</v>
      </c>
      <c r="I268" s="8" t="str">
        <f>VLOOKUP(A268,Tutors!C:G,5,0)</f>
        <v>01067349853</v>
      </c>
      <c r="J268" s="8">
        <f>COUNTIFS(Active!C:C,A268)</f>
        <v>1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" t="s">
        <v>294</v>
      </c>
      <c r="B269" s="7">
        <f>VLOOKUP(A269,Tutors!A:B,2,0)</f>
        <v>105143030564</v>
      </c>
      <c r="C269" s="6" t="s">
        <v>86</v>
      </c>
      <c r="D269" s="6" t="s">
        <v>69</v>
      </c>
      <c r="E269" s="6" t="s">
        <v>9</v>
      </c>
      <c r="F269" s="8">
        <f>VLOOKUP(A269,Tutors!C:D,2,0)</f>
        <v>2753</v>
      </c>
      <c r="G269" s="8" t="str">
        <f>VLOOKUP(A269,Tutors!C:E,3,0)</f>
        <v>EG01-EG02-EG03-EG04-EG05-EG06</v>
      </c>
      <c r="H269" s="8" t="str">
        <f>VLOOKUP(A269,Tutors!A:F,6,0)</f>
        <v>asmaa.hashim88@gmail.com</v>
      </c>
      <c r="I269" s="8" t="str">
        <f>VLOOKUP(A269,Tutors!C:G,5,0)</f>
        <v>01098052277</v>
      </c>
      <c r="J269" s="8">
        <f>COUNTIFS(Active!C:C,A269)</f>
        <v>1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 t="s">
        <v>295</v>
      </c>
      <c r="B270" s="7">
        <f>VLOOKUP(A270,Tutors!A:B,2,0)</f>
        <v>706169030428</v>
      </c>
      <c r="C270" s="6" t="s">
        <v>86</v>
      </c>
      <c r="D270" s="6" t="s">
        <v>69</v>
      </c>
      <c r="E270" s="6" t="s">
        <v>9</v>
      </c>
      <c r="F270" s="8">
        <f>VLOOKUP(A270,Tutors!C:D,2,0)</f>
        <v>2610</v>
      </c>
      <c r="G270" s="8" t="str">
        <f>VLOOKUP(A270,Tutors!C:E,3,0)</f>
        <v>EG01-EG02-EG03-EG04-EG05-EG06</v>
      </c>
      <c r="H270" s="8" t="str">
        <f>VLOOKUP(A270,Tutors!A:F,6,0)</f>
        <v>modeayamode@gmail.com</v>
      </c>
      <c r="I270" s="8" t="str">
        <f>VLOOKUP(A270,Tutors!C:G,5,0)</f>
        <v/>
      </c>
      <c r="J270" s="8">
        <f>COUNTIFS(Active!C:C,A270)</f>
        <v>1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" t="s">
        <v>296</v>
      </c>
      <c r="B271" s="7">
        <f>VLOOKUP(A271,Tutors!A:B,2,0)</f>
        <v>415120941851</v>
      </c>
      <c r="C271" s="6" t="s">
        <v>86</v>
      </c>
      <c r="D271" s="6" t="s">
        <v>69</v>
      </c>
      <c r="E271" s="6" t="s">
        <v>9</v>
      </c>
      <c r="F271" s="8">
        <f>VLOOKUP(A271,Tutors!C:D,2,0)</f>
        <v>2699</v>
      </c>
      <c r="G271" s="8" t="str">
        <f>VLOOKUP(A271,Tutors!C:E,3,0)</f>
        <v>EG01-EG02-EG03-EG04-EG05-EG06</v>
      </c>
      <c r="H271" s="8" t="str">
        <f>VLOOKUP(A271,Tutors!A:F,6,0)</f>
        <v>randaelbedaya02@gmail.com</v>
      </c>
      <c r="I271" s="8" t="str">
        <f>VLOOKUP(A271,Tutors!C:G,5,0)</f>
        <v/>
      </c>
      <c r="J271" s="8">
        <f>COUNTIFS(Active!C:C,A271)</f>
        <v>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 t="s">
        <v>297</v>
      </c>
      <c r="B272" s="7">
        <f>VLOOKUP(A272,Tutors!A:B,2,0)</f>
        <v>787132953842</v>
      </c>
      <c r="C272" s="6" t="s">
        <v>86</v>
      </c>
      <c r="D272" s="6" t="s">
        <v>69</v>
      </c>
      <c r="E272" s="10" t="s">
        <v>9</v>
      </c>
      <c r="F272" s="8">
        <f>VLOOKUP(A272,Tutors!C:D,2,0)</f>
        <v>2631</v>
      </c>
      <c r="G272" s="8" t="str">
        <f>VLOOKUP(A272,Tutors!C:E,3,0)</f>
        <v>EG04-EG05-EG06-EG07-EG08</v>
      </c>
      <c r="H272" s="8" t="str">
        <f>VLOOKUP(A272,Tutors!A:F,6,0)</f>
        <v>aymanbesso81@gmail.com</v>
      </c>
      <c r="I272" s="8" t="str">
        <f>VLOOKUP(A272,Tutors!C:G,5,0)</f>
        <v/>
      </c>
      <c r="J272" s="8">
        <f>COUNTIFS(Active!C:C,A272)</f>
        <v>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" t="s">
        <v>298</v>
      </c>
      <c r="B273" s="7">
        <f>VLOOKUP(A273,Tutors!A:B,2,0)</f>
        <v>867195425601</v>
      </c>
      <c r="C273" s="6" t="s">
        <v>86</v>
      </c>
      <c r="D273" s="6" t="s">
        <v>69</v>
      </c>
      <c r="E273" s="6" t="s">
        <v>13</v>
      </c>
      <c r="F273" s="8">
        <f>VLOOKUP(A273,Tutors!C:D,2,0)</f>
        <v>2806</v>
      </c>
      <c r="G273" s="8" t="str">
        <f>VLOOKUP(A273,Tutors!C:E,3,0)</f>
        <v>EG01-EG02-EG03-EG04-EG05-EG06</v>
      </c>
      <c r="H273" s="8" t="str">
        <f>VLOOKUP(A273,Tutors!A:F,6,0)</f>
        <v>naglaaradwan99@gmail.com</v>
      </c>
      <c r="I273" s="8" t="str">
        <f>VLOOKUP(A273,Tutors!C:G,5,0)</f>
        <v/>
      </c>
      <c r="J273" s="8">
        <f>COUNTIFS(Active!C:C,A273)</f>
        <v>0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 t="s">
        <v>299</v>
      </c>
      <c r="B274" s="7">
        <f>VLOOKUP(A274,Tutors!A:B,2,0)</f>
        <v>976123902784</v>
      </c>
      <c r="C274" s="6" t="s">
        <v>86</v>
      </c>
      <c r="D274" s="6" t="s">
        <v>300</v>
      </c>
      <c r="E274" s="6" t="s">
        <v>9</v>
      </c>
      <c r="F274" s="9" t="str">
        <f>VLOOKUP(A274,Tutors!C:D,2,0)</f>
        <v>2296</v>
      </c>
      <c r="G274" s="8" t="str">
        <f>VLOOKUP(A274,Tutors!C:E,3,0)</f>
        <v/>
      </c>
      <c r="H274" s="8" t="str">
        <f>VLOOKUP(A274,Tutors!A:F,6,0)</f>
        <v>hazemabdulrahman99@gmail.com</v>
      </c>
      <c r="I274" s="8" t="str">
        <f>VLOOKUP(A274,Tutors!C:G,5,0)</f>
        <v>01126374221</v>
      </c>
      <c r="J274" s="8">
        <f>COUNTIFS(Active!C:C,A274)</f>
        <v>1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" t="s">
        <v>301</v>
      </c>
      <c r="B275" s="7">
        <f>VLOOKUP(A275,Tutors!A:B,2,0)</f>
        <v>345151236382</v>
      </c>
      <c r="C275" s="6" t="s">
        <v>86</v>
      </c>
      <c r="D275" s="6" t="s">
        <v>300</v>
      </c>
      <c r="E275" s="6" t="s">
        <v>9</v>
      </c>
      <c r="F275" s="9" t="str">
        <f>VLOOKUP(A275,Tutors!C:D,2,0)</f>
        <v>2271</v>
      </c>
      <c r="G275" s="8" t="str">
        <f>VLOOKUP(A275,Tutors!C:E,3,0)</f>
        <v/>
      </c>
      <c r="H275" s="8" t="str">
        <f>VLOOKUP(A275,Tutors!A:F,6,0)</f>
        <v>smahmoudnagaty@gmail.com</v>
      </c>
      <c r="I275" s="8" t="str">
        <f>VLOOKUP(A275,Tutors!C:G,5,0)</f>
        <v>01125927483</v>
      </c>
      <c r="J275" s="8">
        <f>COUNTIFS(Active!C:C,A275)</f>
        <v>1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" t="s">
        <v>302</v>
      </c>
      <c r="B276" s="7">
        <f>VLOOKUP(A276,Tutors!A:B,2,0)</f>
        <v>213156056568</v>
      </c>
      <c r="C276" s="6" t="s">
        <v>303</v>
      </c>
      <c r="D276" s="6" t="s">
        <v>25</v>
      </c>
      <c r="E276" s="6" t="s">
        <v>9</v>
      </c>
      <c r="F276" s="9" t="str">
        <f>VLOOKUP(A276,Tutors!C:D,2,0)</f>
        <v>1911</v>
      </c>
      <c r="G276" s="8" t="str">
        <f>VLOOKUP(A276,Tutors!C:E,3,0)</f>
        <v/>
      </c>
      <c r="H276" s="8" t="str">
        <f>VLOOKUP(A276,Tutors!A:F,6,0)</f>
        <v>jess.hisham@gmail.com</v>
      </c>
      <c r="I276" s="8" t="str">
        <f>VLOOKUP(A276,Tutors!C:G,5,0)</f>
        <v>01000347446</v>
      </c>
      <c r="J276" s="8">
        <f>COUNTIFS(Active!C:C,A276)</f>
        <v>1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 t="s">
        <v>304</v>
      </c>
      <c r="B277" s="7">
        <f>VLOOKUP(A277,Tutors!A:B,2,0)</f>
        <v>718163107616</v>
      </c>
      <c r="C277" s="6" t="s">
        <v>303</v>
      </c>
      <c r="D277" s="6" t="s">
        <v>25</v>
      </c>
      <c r="E277" s="6" t="s">
        <v>9</v>
      </c>
      <c r="F277" s="9" t="str">
        <f>VLOOKUP(A277,Tutors!C:D,2,0)</f>
        <v>1942</v>
      </c>
      <c r="G277" s="8" t="str">
        <f>VLOOKUP(A277,Tutors!C:E,3,0)</f>
        <v/>
      </c>
      <c r="H277" s="8" t="str">
        <f>VLOOKUP(A277,Tutors!A:F,6,0)</f>
        <v>hossamhs2@gmail.com</v>
      </c>
      <c r="I277" s="8" t="str">
        <f>VLOOKUP(A277,Tutors!C:G,5,0)</f>
        <v>01140444210</v>
      </c>
      <c r="J277" s="8">
        <f>COUNTIFS(Active!C:C,A277)</f>
        <v>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" t="s">
        <v>305</v>
      </c>
      <c r="B278" s="7">
        <f>VLOOKUP(A278,Tutors!A:B,2,0)</f>
        <v>506129791876</v>
      </c>
      <c r="C278" s="6" t="s">
        <v>303</v>
      </c>
      <c r="D278" s="6" t="s">
        <v>25</v>
      </c>
      <c r="E278" s="6" t="s">
        <v>13</v>
      </c>
      <c r="F278" s="9">
        <f>VLOOKUP(A278,Tutors!C:D,2,0)</f>
        <v>2306</v>
      </c>
      <c r="G278" s="8" t="str">
        <f>VLOOKUP(A278,Tutors!C:E,3,0)</f>
        <v/>
      </c>
      <c r="H278" s="8" t="str">
        <f>VLOOKUP(A278,Tutors!A:F,6,0)</f>
        <v>etimadwasef.hurg@gmail.com</v>
      </c>
      <c r="I278" s="8" t="str">
        <f>VLOOKUP(A278,Tutors!C:G,5,0)</f>
        <v>01206008424</v>
      </c>
      <c r="J278" s="8">
        <f>COUNTIFS(Active!C:C,A278)</f>
        <v>0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 t="s">
        <v>306</v>
      </c>
      <c r="B279" s="7">
        <f>VLOOKUP(A279,Tutors!A:B,2,0)</f>
        <v>272137480185</v>
      </c>
      <c r="C279" s="6" t="s">
        <v>303</v>
      </c>
      <c r="D279" s="6" t="s">
        <v>25</v>
      </c>
      <c r="E279" s="6" t="s">
        <v>9</v>
      </c>
      <c r="F279" s="8">
        <f>VLOOKUP(A279,Tutors!C:D,2,0)</f>
        <v>2358</v>
      </c>
      <c r="G279" s="8" t="str">
        <f>VLOOKUP(A279,Tutors!C:E,3,0)</f>
        <v>EG07-EG08-EG09-EG10-EG11</v>
      </c>
      <c r="H279" s="8" t="str">
        <f>VLOOKUP(A279,Tutors!A:F,6,0)</f>
        <v>magdi.younis@yahoo.com</v>
      </c>
      <c r="I279" s="8">
        <f>VLOOKUP(A279,Tutors!C:G,5,0)</f>
        <v>1097660471</v>
      </c>
      <c r="J279" s="8">
        <f>COUNTIFS(Active!C:C,A279)</f>
        <v>1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" t="s">
        <v>307</v>
      </c>
      <c r="B280" s="7">
        <f>VLOOKUP(A280,Tutors!A:B,2,0)</f>
        <v>146150758976</v>
      </c>
      <c r="C280" s="6" t="s">
        <v>303</v>
      </c>
      <c r="D280" s="6" t="s">
        <v>25</v>
      </c>
      <c r="E280" s="6" t="s">
        <v>9</v>
      </c>
      <c r="F280" s="8">
        <f>VLOOKUP(A280,Tutors!C:D,2,0)</f>
        <v>2375</v>
      </c>
      <c r="G280" s="8" t="str">
        <f>VLOOKUP(A280,Tutors!C:E,3,0)</f>
        <v>EG04-EG05-EG06-EG07-EG08-EG09</v>
      </c>
      <c r="H280" s="8" t="str">
        <f>VLOOKUP(A280,Tutors!A:F,6,0)</f>
        <v>emanyassen175@gmail.com</v>
      </c>
      <c r="I280" s="8" t="str">
        <f>VLOOKUP(A280,Tutors!C:G,5,0)</f>
        <v>01124999968</v>
      </c>
      <c r="J280" s="8">
        <f>COUNTIFS(Active!C:C,A280)</f>
        <v>1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 t="s">
        <v>308</v>
      </c>
      <c r="B281" s="7">
        <f>VLOOKUP(A281,Tutors!A:B,2,0)</f>
        <v>969125749578</v>
      </c>
      <c r="C281" s="6" t="s">
        <v>303</v>
      </c>
      <c r="D281" s="6" t="s">
        <v>25</v>
      </c>
      <c r="E281" s="6" t="s">
        <v>9</v>
      </c>
      <c r="F281" s="8">
        <f>VLOOKUP(A281,Tutors!C:D,2,0)</f>
        <v>2398</v>
      </c>
      <c r="G281" s="8" t="str">
        <f>VLOOKUP(A281,Tutors!C:E,3,0)</f>
        <v>EG04-EG05-EG06-EG07-EG08-EG09</v>
      </c>
      <c r="H281" s="8" t="str">
        <f>VLOOKUP(A281,Tutors!A:F,6,0)</f>
        <v>greenocean1221@gmail.com</v>
      </c>
      <c r="I281" s="8" t="str">
        <f>VLOOKUP(A281,Tutors!C:G,5,0)</f>
        <v>01004480246</v>
      </c>
      <c r="J281" s="8">
        <f>COUNTIFS(Active!C:C,A281)</f>
        <v>1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" t="s">
        <v>309</v>
      </c>
      <c r="B282" s="7">
        <f>VLOOKUP(A282,Tutors!A:B,2,0)</f>
        <v>304190123013</v>
      </c>
      <c r="C282" s="6" t="s">
        <v>303</v>
      </c>
      <c r="D282" s="6" t="s">
        <v>25</v>
      </c>
      <c r="E282" s="10" t="s">
        <v>9</v>
      </c>
      <c r="F282" s="8">
        <f>VLOOKUP(A282,Tutors!C:D,2,0)</f>
        <v>2420</v>
      </c>
      <c r="G282" s="8" t="str">
        <f>VLOOKUP(A282,Tutors!C:E,3,0)</f>
        <v>EG04-EG05-EG06-EG07-EG08-EG09-EG10</v>
      </c>
      <c r="H282" s="8" t="str">
        <f>VLOOKUP(A282,Tutors!A:F,6,0)</f>
        <v>abderrahman.adel1994@gmail.com</v>
      </c>
      <c r="I282" s="8" t="str">
        <f>VLOOKUP(A282,Tutors!C:G,5,0)</f>
        <v>01023436456 - 01121192433</v>
      </c>
      <c r="J282" s="8">
        <f>COUNTIFS(Active!C:C,A282)</f>
        <v>1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" t="s">
        <v>310</v>
      </c>
      <c r="B283" s="7">
        <f>VLOOKUP(A283,Tutors!A:B,2,0)</f>
        <v>618181648630</v>
      </c>
      <c r="C283" s="6" t="s">
        <v>303</v>
      </c>
      <c r="D283" s="6" t="s">
        <v>25</v>
      </c>
      <c r="E283" s="6" t="s">
        <v>9</v>
      </c>
      <c r="F283" s="8">
        <f>VLOOKUP(A283,Tutors!C:D,2,0)</f>
        <v>2373</v>
      </c>
      <c r="G283" s="8" t="str">
        <f>VLOOKUP(A283,Tutors!C:E,3,0)</f>
        <v>EG04-EG05-EG06-EG07-EG08-EG09</v>
      </c>
      <c r="H283" s="8" t="str">
        <f>VLOOKUP(A283,Tutors!A:F,6,0)</f>
        <v>samyalhadad1971@gmail.com</v>
      </c>
      <c r="I283" s="8" t="str">
        <f>VLOOKUP(A283,Tutors!C:G,5,0)</f>
        <v>0127 6656531</v>
      </c>
      <c r="J283" s="8">
        <f>COUNTIFS(Active!C:C,A283)</f>
        <v>1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" t="s">
        <v>311</v>
      </c>
      <c r="B284" s="7">
        <f>VLOOKUP(A284,Tutors!A:B,2,0)</f>
        <v>864160753024</v>
      </c>
      <c r="C284" s="6" t="s">
        <v>303</v>
      </c>
      <c r="D284" s="6" t="s">
        <v>25</v>
      </c>
      <c r="E284" s="6" t="s">
        <v>9</v>
      </c>
      <c r="F284" s="8">
        <f>VLOOKUP(A284,Tutors!C:D,2,0)</f>
        <v>2424</v>
      </c>
      <c r="G284" s="8" t="str">
        <f>VLOOKUP(A284,Tutors!C:E,3,0)</f>
        <v>EG07-EG08-EG09-EG10-EG11</v>
      </c>
      <c r="H284" s="8" t="str">
        <f>VLOOKUP(A284,Tutors!A:F,6,0)</f>
        <v>abdollahbakry84@gmail.com</v>
      </c>
      <c r="I284" s="8" t="str">
        <f>VLOOKUP(A284,Tutors!C:G,5,0)</f>
        <v>01280483249</v>
      </c>
      <c r="J284" s="8">
        <f>COUNTIFS(Active!C:C,A284)</f>
        <v>1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" t="s">
        <v>312</v>
      </c>
      <c r="B285" s="7">
        <f>VLOOKUP(A285,Tutors!A:B,2,0)</f>
        <v>707135059424</v>
      </c>
      <c r="C285" s="6" t="s">
        <v>303</v>
      </c>
      <c r="D285" s="6" t="s">
        <v>25</v>
      </c>
      <c r="E285" s="6" t="s">
        <v>9</v>
      </c>
      <c r="F285" s="8">
        <f>VLOOKUP(A285,Tutors!C:D,2,0)</f>
        <v>2497</v>
      </c>
      <c r="G285" s="8" t="str">
        <f>VLOOKUP(A285,Tutors!C:E,3,0)</f>
        <v>EG07-EG08-EG09-EG10-EG11-EG12</v>
      </c>
      <c r="H285" s="8" t="str">
        <f>VLOOKUP(A285,Tutors!A:F,6,0)</f>
        <v>rzsa33@gmail.com</v>
      </c>
      <c r="I285" s="8" t="str">
        <f>VLOOKUP(A285,Tutors!C:G,5,0)</f>
        <v>01228046146</v>
      </c>
      <c r="J285" s="8">
        <f>COUNTIFS(Active!C:C,A285)</f>
        <v>1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" t="s">
        <v>313</v>
      </c>
      <c r="B286" s="7">
        <f>VLOOKUP(A286,Tutors!A:B,2,0)</f>
        <v>206148501987</v>
      </c>
      <c r="C286" s="6" t="s">
        <v>303</v>
      </c>
      <c r="D286" s="6" t="s">
        <v>25</v>
      </c>
      <c r="E286" s="6" t="s">
        <v>9</v>
      </c>
      <c r="F286" s="8">
        <f>VLOOKUP(A286,Tutors!C:D,2,0)</f>
        <v>2496</v>
      </c>
      <c r="G286" s="8" t="str">
        <f>VLOOKUP(A286,Tutors!C:E,3,0)</f>
        <v>EG07-EG08-EG09-EG10</v>
      </c>
      <c r="H286" s="8" t="str">
        <f>VLOOKUP(A286,Tutors!A:F,6,0)</f>
        <v>aabdelwanis10@gmail.com</v>
      </c>
      <c r="I286" s="8" t="str">
        <f>VLOOKUP(A286,Tutors!C:G,5,0)</f>
        <v>01277938694</v>
      </c>
      <c r="J286" s="8">
        <f>COUNTIFS(Active!C:C,A286)</f>
        <v>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" t="s">
        <v>314</v>
      </c>
      <c r="B287" s="7">
        <f>VLOOKUP(A287,Tutors!A:B,2,0)</f>
        <v>809150758018</v>
      </c>
      <c r="C287" s="6" t="s">
        <v>303</v>
      </c>
      <c r="D287" s="6" t="s">
        <v>25</v>
      </c>
      <c r="E287" s="6" t="s">
        <v>9</v>
      </c>
      <c r="F287" s="8">
        <f>VLOOKUP(A287,Tutors!C:D,2,0)</f>
        <v>2564</v>
      </c>
      <c r="G287" s="8" t="str">
        <f>VLOOKUP(A287,Tutors!C:E,3,0)</f>
        <v>EG07-EG08-EG09-EG10-EG11-EG12</v>
      </c>
      <c r="H287" s="8" t="str">
        <f>VLOOKUP(A287,Tutors!A:F,6,0)</f>
        <v>mm.hh7238@gmail.com</v>
      </c>
      <c r="I287" s="8" t="str">
        <f>VLOOKUP(A287,Tutors!C:G,5,0)</f>
        <v>01098964450</v>
      </c>
      <c r="J287" s="8">
        <f>COUNTIFS(Active!C:C,A287)</f>
        <v>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 t="s">
        <v>315</v>
      </c>
      <c r="B288" s="7">
        <f>VLOOKUP(A288,Tutors!A:B,2,0)</f>
        <v>816138159850</v>
      </c>
      <c r="C288" s="6" t="s">
        <v>303</v>
      </c>
      <c r="D288" s="6" t="s">
        <v>25</v>
      </c>
      <c r="E288" s="6" t="s">
        <v>9</v>
      </c>
      <c r="F288" s="8">
        <f>VLOOKUP(A288,Tutors!C:D,2,0)</f>
        <v>2661</v>
      </c>
      <c r="G288" s="8" t="str">
        <f>VLOOKUP(A288,Tutors!C:E,3,0)</f>
        <v>EG07-EG08-EG09-EG10-EG11</v>
      </c>
      <c r="H288" s="8" t="str">
        <f>VLOOKUP(A288,Tutors!A:F,6,0)</f>
        <v>abouelhassan777@gmail.com</v>
      </c>
      <c r="I288" s="8" t="str">
        <f>VLOOKUP(A288,Tutors!C:G,5,0)</f>
        <v>01143319486</v>
      </c>
      <c r="J288" s="8">
        <f>COUNTIFS(Active!C:C,A288)</f>
        <v>1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" t="s">
        <v>316</v>
      </c>
      <c r="B289" s="7">
        <f>VLOOKUP(A289,Tutors!A:B,2,0)</f>
        <v>840176714634</v>
      </c>
      <c r="C289" s="6" t="s">
        <v>303</v>
      </c>
      <c r="D289" s="6" t="s">
        <v>25</v>
      </c>
      <c r="E289" s="6" t="s">
        <v>35</v>
      </c>
      <c r="F289" s="8">
        <f>VLOOKUP(A289,Tutors!C:D,2,0)</f>
        <v>2584</v>
      </c>
      <c r="G289" s="8" t="str">
        <f>VLOOKUP(A289,Tutors!C:E,3,0)</f>
        <v>EG07-EG08-EG09-EG10-EG11-EG12</v>
      </c>
      <c r="H289" s="8" t="str">
        <f>VLOOKUP(A289,Tutors!A:F,6,0)</f>
        <v>ali.tantawy10@icloud.com</v>
      </c>
      <c r="I289" s="8" t="str">
        <f>VLOOKUP(A289,Tutors!C:G,5,0)</f>
        <v>01069571410</v>
      </c>
      <c r="J289" s="8">
        <f>COUNTIFS(Active!C:C,A289)</f>
        <v>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 t="s">
        <v>317</v>
      </c>
      <c r="B290" s="7">
        <f>VLOOKUP(A290,Tutors!A:B,2,0)</f>
        <v>270138641795</v>
      </c>
      <c r="C290" s="6" t="s">
        <v>303</v>
      </c>
      <c r="D290" s="6" t="s">
        <v>25</v>
      </c>
      <c r="E290" s="6" t="s">
        <v>9</v>
      </c>
      <c r="F290" s="8">
        <f>VLOOKUP(A290,Tutors!C:D,2,0)</f>
        <v>2612</v>
      </c>
      <c r="G290" s="8" t="str">
        <f>VLOOKUP(A290,Tutors!C:E,3,0)</f>
        <v>EG07-EG08-EG09</v>
      </c>
      <c r="H290" s="8" t="str">
        <f>VLOOKUP(A290,Tutors!A:F,6,0)</f>
        <v>dr.english007@gmail.com</v>
      </c>
      <c r="I290" s="8" t="str">
        <f>VLOOKUP(A290,Tutors!C:G,5,0)</f>
        <v/>
      </c>
      <c r="J290" s="8">
        <f>COUNTIFS(Active!C:C,A290)</f>
        <v>1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 t="s">
        <v>318</v>
      </c>
      <c r="B291" s="7">
        <f>VLOOKUP(A291,Tutors!A:B,2,0)</f>
        <v>623198675307</v>
      </c>
      <c r="C291" s="6" t="s">
        <v>303</v>
      </c>
      <c r="D291" s="6" t="s">
        <v>25</v>
      </c>
      <c r="E291" s="10" t="s">
        <v>9</v>
      </c>
      <c r="F291" s="8">
        <f>VLOOKUP(A291,Tutors!C:D,2,0)</f>
        <v>2613</v>
      </c>
      <c r="G291" s="8" t="str">
        <f>VLOOKUP(A291,Tutors!C:E,3,0)</f>
        <v>EG07-EG08-EG09</v>
      </c>
      <c r="H291" s="8" t="str">
        <f>VLOOKUP(A291,Tutors!A:F,6,0)</f>
        <v>emanalaahassan@gmail.com</v>
      </c>
      <c r="I291" s="8" t="str">
        <f>VLOOKUP(A291,Tutors!C:G,5,0)</f>
        <v>01092570623</v>
      </c>
      <c r="J291" s="8">
        <f>COUNTIFS(Active!C:C,A291)</f>
        <v>1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" t="s">
        <v>319</v>
      </c>
      <c r="B292" s="7">
        <f>VLOOKUP(A292,Tutors!A:B,2,0)</f>
        <v>972107636075</v>
      </c>
      <c r="C292" s="6" t="s">
        <v>303</v>
      </c>
      <c r="D292" s="6" t="s">
        <v>25</v>
      </c>
      <c r="E292" s="6" t="s">
        <v>9</v>
      </c>
      <c r="F292" s="8">
        <f>VLOOKUP(A292,Tutors!C:D,2,0)</f>
        <v>2621</v>
      </c>
      <c r="G292" s="8" t="str">
        <f>VLOOKUP(A292,Tutors!C:E,3,0)</f>
        <v>EG07-EG08-EG09-EG10-EG11-EG12</v>
      </c>
      <c r="H292" s="8" t="str">
        <f>VLOOKUP(A292,Tutors!A:F,6,0)</f>
        <v>nohaabdelrahman840@gmail.com</v>
      </c>
      <c r="I292" s="8" t="str">
        <f>VLOOKUP(A292,Tutors!C:G,5,0)</f>
        <v/>
      </c>
      <c r="J292" s="8">
        <f>COUNTIFS(Active!C:C,A292)</f>
        <v>0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 t="s">
        <v>320</v>
      </c>
      <c r="B293" s="7">
        <f>VLOOKUP(A293,Tutors!A:B,2,0)</f>
        <v>164181742498</v>
      </c>
      <c r="C293" s="6" t="s">
        <v>303</v>
      </c>
      <c r="D293" s="6" t="s">
        <v>25</v>
      </c>
      <c r="E293" s="6" t="s">
        <v>9</v>
      </c>
      <c r="F293" s="8">
        <f>VLOOKUP(A293,Tutors!C:D,2,0)</f>
        <v>2554</v>
      </c>
      <c r="G293" s="8" t="str">
        <f>VLOOKUP(A293,Tutors!C:E,3,0)</f>
        <v>EG07-EG08</v>
      </c>
      <c r="H293" s="8" t="str">
        <f>VLOOKUP(A293,Tutors!A:F,6,0)</f>
        <v>catherinezaki90@gmail.com</v>
      </c>
      <c r="I293" s="8" t="str">
        <f>VLOOKUP(A293,Tutors!C:G,5,0)</f>
        <v/>
      </c>
      <c r="J293" s="8">
        <f>COUNTIFS(Active!C:C,A293)</f>
        <v>0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" t="s">
        <v>321</v>
      </c>
      <c r="B294" s="7">
        <f>VLOOKUP(A294,Tutors!A:B,2,0)</f>
        <v>576150576975</v>
      </c>
      <c r="C294" s="6" t="s">
        <v>303</v>
      </c>
      <c r="D294" s="6" t="s">
        <v>25</v>
      </c>
      <c r="E294" s="6" t="s">
        <v>9</v>
      </c>
      <c r="F294" s="8">
        <f>VLOOKUP(A294,Tutors!C:D,2,0)</f>
        <v>2615</v>
      </c>
      <c r="G294" s="8" t="str">
        <f>VLOOKUP(A294,Tutors!C:E,3,0)</f>
        <v>EG07-EG08-EG09</v>
      </c>
      <c r="H294" s="8" t="str">
        <f>VLOOKUP(A294,Tutors!A:F,6,0)</f>
        <v>michel.emad17@gmail.com</v>
      </c>
      <c r="I294" s="8" t="str">
        <f>VLOOKUP(A294,Tutors!C:G,5,0)</f>
        <v/>
      </c>
      <c r="J294" s="8">
        <f>COUNTIFS(Active!C:C,A294)</f>
        <v>1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" t="s">
        <v>322</v>
      </c>
      <c r="B295" s="7">
        <f>VLOOKUP(A295,Tutors!A:B,2,0)</f>
        <v>430136109307</v>
      </c>
      <c r="C295" s="6" t="s">
        <v>303</v>
      </c>
      <c r="D295" s="6" t="s">
        <v>25</v>
      </c>
      <c r="E295" s="6" t="s">
        <v>9</v>
      </c>
      <c r="F295" s="8">
        <f>VLOOKUP(A295,Tutors!C:D,2,0)</f>
        <v>2664</v>
      </c>
      <c r="G295" s="8" t="str">
        <f>VLOOKUP(A295,Tutors!C:E,3,0)</f>
        <v>EG07-EG08-EG09 </v>
      </c>
      <c r="H295" s="8" t="str">
        <f>VLOOKUP(A295,Tutors!A:F,6,0)</f>
        <v>abdelaalhalawa@gmail.com</v>
      </c>
      <c r="I295" s="8" t="str">
        <f>VLOOKUP(A295,Tutors!C:G,5,0)</f>
        <v>01227050389</v>
      </c>
      <c r="J295" s="8">
        <f>COUNTIFS(Active!C:C,A295)</f>
        <v>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" t="s">
        <v>323</v>
      </c>
      <c r="B296" s="7">
        <f>VLOOKUP(A296,Tutors!A:B,2,0)</f>
        <v>147134575647</v>
      </c>
      <c r="C296" s="6" t="s">
        <v>303</v>
      </c>
      <c r="D296" s="6" t="s">
        <v>25</v>
      </c>
      <c r="E296" s="6" t="s">
        <v>9</v>
      </c>
      <c r="F296" s="8">
        <f>VLOOKUP(A296,Tutors!C:D,2,0)</f>
        <v>2611</v>
      </c>
      <c r="G296" s="8" t="str">
        <f>VLOOKUP(A296,Tutors!C:E,3,0)</f>
        <v>EG07-EG08-EG09</v>
      </c>
      <c r="H296" s="8" t="str">
        <f>VLOOKUP(A296,Tutors!A:F,6,0)</f>
        <v>hebagamal121@gmail.com</v>
      </c>
      <c r="I296" s="8" t="str">
        <f>VLOOKUP(A296,Tutors!C:G,5,0)</f>
        <v/>
      </c>
      <c r="J296" s="8">
        <f>COUNTIFS(Active!C:C,A296)</f>
        <v>1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" t="s">
        <v>324</v>
      </c>
      <c r="B297" s="7">
        <f>VLOOKUP(A297,Tutors!A:B,2,0)</f>
        <v>615125769823</v>
      </c>
      <c r="C297" s="6" t="s">
        <v>303</v>
      </c>
      <c r="D297" s="6" t="s">
        <v>25</v>
      </c>
      <c r="E297" s="6" t="s">
        <v>9</v>
      </c>
      <c r="F297" s="8">
        <f>VLOOKUP(A297,Tutors!C:D,2,0)</f>
        <v>2660</v>
      </c>
      <c r="G297" s="8" t="str">
        <f>VLOOKUP(A297,Tutors!C:E,3,0)</f>
        <v>EG07-EG08-EG09-EG10-EG11-EG12</v>
      </c>
      <c r="H297" s="8" t="str">
        <f>VLOOKUP(A297,Tutors!A:F,6,0)</f>
        <v>suzanabdelfattah997@gmail.com</v>
      </c>
      <c r="I297" s="8" t="str">
        <f>VLOOKUP(A297,Tutors!C:G,5,0)</f>
        <v/>
      </c>
      <c r="J297" s="8">
        <f>COUNTIFS(Active!C:C,A297)</f>
        <v>1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" t="s">
        <v>325</v>
      </c>
      <c r="B298" s="7">
        <f>VLOOKUP(A298,Tutors!A:B,2,0)</f>
        <v>502143048426</v>
      </c>
      <c r="C298" s="6" t="s">
        <v>303</v>
      </c>
      <c r="D298" s="6" t="s">
        <v>25</v>
      </c>
      <c r="E298" s="6" t="s">
        <v>9</v>
      </c>
      <c r="F298" s="8">
        <f>VLOOKUP(A298,Tutors!C:D,2,0)</f>
        <v>2700</v>
      </c>
      <c r="G298" s="8" t="str">
        <f>VLOOKUP(A298,Tutors!C:E,3,0)</f>
        <v>EG07-EG08-EG09-EG10-EG11-EG12</v>
      </c>
      <c r="H298" s="8" t="str">
        <f>VLOOKUP(A298,Tutors!A:F,6,0)</f>
        <v>amirayounes800@gmail.com</v>
      </c>
      <c r="I298" s="8" t="str">
        <f>VLOOKUP(A298,Tutors!C:G,5,0)</f>
        <v/>
      </c>
      <c r="J298" s="8">
        <f>COUNTIFS(Active!C:C,A298)</f>
        <v>0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" t="s">
        <v>326</v>
      </c>
      <c r="B299" s="7">
        <f>VLOOKUP(A299,Tutors!A:B,2,0)</f>
        <v>625156230340</v>
      </c>
      <c r="C299" s="6" t="s">
        <v>303</v>
      </c>
      <c r="D299" s="6" t="s">
        <v>25</v>
      </c>
      <c r="E299" s="10" t="s">
        <v>9</v>
      </c>
      <c r="F299" s="8">
        <f>VLOOKUP(A299,Tutors!C:D,2,0)</f>
        <v>2620</v>
      </c>
      <c r="G299" s="8" t="str">
        <f>VLOOKUP(A299,Tutors!C:E,3,0)</f>
        <v>EG07-EG08-EG09</v>
      </c>
      <c r="H299" s="8" t="str">
        <f>VLOOKUP(A299,Tutors!A:F,6,0)</f>
        <v>7kheir@gmail.com</v>
      </c>
      <c r="I299" s="8" t="str">
        <f>VLOOKUP(A299,Tutors!C:G,5,0)</f>
        <v>01040261145</v>
      </c>
      <c r="J299" s="8">
        <f>COUNTIFS(Active!C:C,A299)</f>
        <v>1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" t="s">
        <v>327</v>
      </c>
      <c r="B300" s="7">
        <f>VLOOKUP(A300,Tutors!A:B,2,0)</f>
        <v>698108096794</v>
      </c>
      <c r="C300" s="6" t="s">
        <v>303</v>
      </c>
      <c r="D300" s="6" t="s">
        <v>47</v>
      </c>
      <c r="E300" s="6" t="s">
        <v>9</v>
      </c>
      <c r="F300" s="9" t="str">
        <f>VLOOKUP(A300,Tutors!C:D,2,0)</f>
        <v>1776</v>
      </c>
      <c r="G300" s="8" t="str">
        <f>VLOOKUP(A300,Tutors!C:E,3,0)</f>
        <v/>
      </c>
      <c r="H300" s="8" t="str">
        <f>VLOOKUP(A300,Tutors!A:F,6,0)</f>
        <v>seniormaths25@gmail.com</v>
      </c>
      <c r="I300" s="8" t="str">
        <f>VLOOKUP(A300,Tutors!C:G,5,0)</f>
        <v>01129242524</v>
      </c>
      <c r="J300" s="8">
        <f>COUNTIFS(Active!C:C,A300)</f>
        <v>1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" t="s">
        <v>328</v>
      </c>
      <c r="B301" s="7">
        <f>VLOOKUP(A301,Tutors!A:B,2,0)</f>
        <v>493132436783</v>
      </c>
      <c r="C301" s="6" t="s">
        <v>303</v>
      </c>
      <c r="D301" s="6" t="s">
        <v>47</v>
      </c>
      <c r="E301" s="10" t="s">
        <v>9</v>
      </c>
      <c r="F301" s="9" t="str">
        <f>VLOOKUP(A301,Tutors!C:D,2,0)</f>
        <v>1847</v>
      </c>
      <c r="G301" s="8" t="str">
        <f>VLOOKUP(A301,Tutors!C:E,3,0)</f>
        <v/>
      </c>
      <c r="H301" s="8" t="str">
        <f>VLOOKUP(A301,Tutors!A:F,6,0)</f>
        <v>mathteacher37age@gmail.com</v>
      </c>
      <c r="I301" s="8" t="str">
        <f>VLOOKUP(A301,Tutors!C:G,5,0)</f>
        <v>01068212833</v>
      </c>
      <c r="J301" s="8">
        <f>COUNTIFS(Active!C:C,A301)</f>
        <v>1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" t="s">
        <v>329</v>
      </c>
      <c r="B302" s="7">
        <f>VLOOKUP(A302,Tutors!A:B,2,0)</f>
        <v>490182879383</v>
      </c>
      <c r="C302" s="6" t="s">
        <v>303</v>
      </c>
      <c r="D302" s="6" t="s">
        <v>47</v>
      </c>
      <c r="E302" s="6" t="s">
        <v>9</v>
      </c>
      <c r="F302" s="9" t="str">
        <f>VLOOKUP(A302,Tutors!C:D,2,0)</f>
        <v>1848</v>
      </c>
      <c r="G302" s="8" t="str">
        <f>VLOOKUP(A302,Tutors!C:E,3,0)</f>
        <v/>
      </c>
      <c r="H302" s="8" t="str">
        <f>VLOOKUP(A302,Tutors!A:F,6,0)</f>
        <v>ahmad.azaba@yahoo.com</v>
      </c>
      <c r="I302" s="8" t="str">
        <f>VLOOKUP(A302,Tutors!C:G,5,0)</f>
        <v>01154891562</v>
      </c>
      <c r="J302" s="8">
        <f>COUNTIFS(Active!C:C,A302)</f>
        <v>1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" t="s">
        <v>330</v>
      </c>
      <c r="B303" s="7">
        <f>VLOOKUP(A303,Tutors!A:B,2,0)</f>
        <v>512143279207</v>
      </c>
      <c r="C303" s="6" t="s">
        <v>303</v>
      </c>
      <c r="D303" s="6" t="s">
        <v>47</v>
      </c>
      <c r="E303" s="6" t="s">
        <v>9</v>
      </c>
      <c r="F303" s="9" t="str">
        <f>VLOOKUP(A303,Tutors!C:D,2,0)</f>
        <v>1901</v>
      </c>
      <c r="G303" s="8" t="str">
        <f>VLOOKUP(A303,Tutors!C:E,3,0)</f>
        <v/>
      </c>
      <c r="H303" s="8" t="str">
        <f>VLOOKUP(A303,Tutors!A:F,6,0)</f>
        <v>mr.eslamelsyed@gmail.com</v>
      </c>
      <c r="I303" s="8" t="str">
        <f>VLOOKUP(A303,Tutors!C:G,5,0)</f>
        <v>01004928895</v>
      </c>
      <c r="J303" s="8">
        <f>COUNTIFS(Active!C:C,A303)</f>
        <v>1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" t="s">
        <v>331</v>
      </c>
      <c r="B304" s="7">
        <f>VLOOKUP(A304,Tutors!A:B,2,0)</f>
        <v>289190751325</v>
      </c>
      <c r="C304" s="6" t="s">
        <v>303</v>
      </c>
      <c r="D304" s="6" t="s">
        <v>47</v>
      </c>
      <c r="E304" s="6" t="s">
        <v>9</v>
      </c>
      <c r="F304" s="9" t="str">
        <f>VLOOKUP(A304,Tutors!C:D,2,0)</f>
        <v>1959</v>
      </c>
      <c r="G304" s="8" t="str">
        <f>VLOOKUP(A304,Tutors!C:E,3,0)</f>
        <v/>
      </c>
      <c r="H304" s="8" t="str">
        <f>VLOOKUP(A304,Tutors!A:F,6,0)</f>
        <v>maged0bebawy@gmail.com</v>
      </c>
      <c r="I304" s="8" t="str">
        <f>VLOOKUP(A304,Tutors!C:G,5,0)</f>
        <v>01271303012</v>
      </c>
      <c r="J304" s="8">
        <f>COUNTIFS(Active!C:C,A304)</f>
        <v>1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" t="s">
        <v>332</v>
      </c>
      <c r="B305" s="7">
        <f>VLOOKUP(A305,Tutors!A:B,2,0)</f>
        <v>270108515474</v>
      </c>
      <c r="C305" s="6" t="s">
        <v>303</v>
      </c>
      <c r="D305" s="6" t="s">
        <v>47</v>
      </c>
      <c r="E305" s="6" t="s">
        <v>9</v>
      </c>
      <c r="F305" s="9" t="str">
        <f>VLOOKUP(A305,Tutors!C:D,2,0)</f>
        <v>2052</v>
      </c>
      <c r="G305" s="8" t="str">
        <f>VLOOKUP(A305,Tutors!C:E,3,0)</f>
        <v/>
      </c>
      <c r="H305" s="8" t="str">
        <f>VLOOKUP(A305,Tutors!A:F,6,0)</f>
        <v>galalmohamed33@gmail.com</v>
      </c>
      <c r="I305" s="8" t="str">
        <f>VLOOKUP(A305,Tutors!C:G,5,0)</f>
        <v>+201069423949</v>
      </c>
      <c r="J305" s="8">
        <f>COUNTIFS(Active!C:C,A305)</f>
        <v>1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" t="s">
        <v>333</v>
      </c>
      <c r="B306" s="7">
        <f>VLOOKUP(A306,Tutors!A:B,2,0)</f>
        <v>134186426410</v>
      </c>
      <c r="C306" s="6" t="s">
        <v>303</v>
      </c>
      <c r="D306" s="6" t="s">
        <v>47</v>
      </c>
      <c r="E306" s="6" t="s">
        <v>9</v>
      </c>
      <c r="F306" s="8">
        <f>VLOOKUP(A306,Tutors!C:D,2,0)</f>
        <v>2046</v>
      </c>
      <c r="G306" s="8" t="str">
        <f>VLOOKUP(A306,Tutors!C:E,3,0)</f>
        <v>EG07-EG08-EG09</v>
      </c>
      <c r="H306" s="8" t="str">
        <f>VLOOKUP(A306,Tutors!A:F,6,0)</f>
        <v>a0112020620@gmail.com</v>
      </c>
      <c r="I306" s="8" t="str">
        <f>VLOOKUP(A306,Tutors!C:G,5,0)</f>
        <v>01224567255</v>
      </c>
      <c r="J306" s="8">
        <f>COUNTIFS(Active!C:C,A306)</f>
        <v>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" t="s">
        <v>334</v>
      </c>
      <c r="B307" s="7">
        <f>VLOOKUP(A307,Tutors!A:B,2,0)</f>
        <v>402149131917</v>
      </c>
      <c r="C307" s="6" t="s">
        <v>303</v>
      </c>
      <c r="D307" s="6" t="s">
        <v>47</v>
      </c>
      <c r="E307" s="6" t="s">
        <v>9</v>
      </c>
      <c r="F307" s="8">
        <f>VLOOKUP(A307,Tutors!C:D,2,0)</f>
        <v>2073</v>
      </c>
      <c r="G307" s="8" t="str">
        <f>VLOOKUP(A307,Tutors!C:E,3,0)</f>
        <v/>
      </c>
      <c r="H307" s="8" t="str">
        <f>VLOOKUP(A307,Tutors!A:F,6,0)</f>
        <v>hodaaly3008@gmail.com</v>
      </c>
      <c r="I307" s="8" t="str">
        <f>VLOOKUP(A307,Tutors!C:G,5,0)</f>
        <v>01208548997</v>
      </c>
      <c r="J307" s="8">
        <f>COUNTIFS(Active!C:C,A307)</f>
        <v>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" t="s">
        <v>335</v>
      </c>
      <c r="B308" s="7">
        <f>VLOOKUP(A308,Tutors!A:B,2,0)</f>
        <v>462139893202</v>
      </c>
      <c r="C308" s="6" t="s">
        <v>303</v>
      </c>
      <c r="D308" s="6" t="s">
        <v>47</v>
      </c>
      <c r="E308" s="6" t="s">
        <v>9</v>
      </c>
      <c r="F308" s="8">
        <f>VLOOKUP(A308,Tutors!C:D,2,0)</f>
        <v>2413</v>
      </c>
      <c r="G308" s="8" t="str">
        <f>VLOOKUP(A308,Tutors!C:E,3,0)</f>
        <v>EG07-EG08-EG09</v>
      </c>
      <c r="H308" s="8" t="str">
        <f>VLOOKUP(A308,Tutors!A:F,6,0)</f>
        <v>marwa.kamal.core@gmail.com</v>
      </c>
      <c r="I308" s="8" t="str">
        <f>VLOOKUP(A308,Tutors!C:G,5,0)</f>
        <v>01112024700</v>
      </c>
      <c r="J308" s="8">
        <f>COUNTIFS(Active!C:C,A308)</f>
        <v>1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" t="s">
        <v>336</v>
      </c>
      <c r="B309" s="7">
        <f>VLOOKUP(A309,Tutors!A:B,2,0)</f>
        <v>828145048729</v>
      </c>
      <c r="C309" s="6" t="s">
        <v>303</v>
      </c>
      <c r="D309" s="6" t="s">
        <v>47</v>
      </c>
      <c r="E309" s="6" t="s">
        <v>9</v>
      </c>
      <c r="F309" s="8">
        <f>VLOOKUP(A309,Tutors!C:D,2,0)</f>
        <v>2429</v>
      </c>
      <c r="G309" s="8" t="str">
        <f>VLOOKUP(A309,Tutors!C:E,3,0)</f>
        <v>EG07-EG08-EG09</v>
      </c>
      <c r="H309" s="8" t="str">
        <f>VLOOKUP(A309,Tutors!A:F,6,0)</f>
        <v>arakha119@gmail.com</v>
      </c>
      <c r="I309" s="8" t="str">
        <f>VLOOKUP(A309,Tutors!C:G,5,0)</f>
        <v>01062336833 - 01229867543</v>
      </c>
      <c r="J309" s="8">
        <f>COUNTIFS(Active!C:C,A309)</f>
        <v>1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" t="s">
        <v>337</v>
      </c>
      <c r="B310" s="7">
        <f>VLOOKUP(A310,Tutors!A:B,2,0)</f>
        <v>619178602629</v>
      </c>
      <c r="C310" s="6" t="s">
        <v>303</v>
      </c>
      <c r="D310" s="6" t="s">
        <v>47</v>
      </c>
      <c r="E310" s="6" t="s">
        <v>13</v>
      </c>
      <c r="F310" s="8">
        <f>VLOOKUP(A310,Tutors!C:D,2,0)</f>
        <v>2470</v>
      </c>
      <c r="G310" s="8" t="str">
        <f>VLOOKUP(A310,Tutors!C:E,3,0)</f>
        <v>EG07-EG08-EG09</v>
      </c>
      <c r="H310" s="8" t="str">
        <f>VLOOKUP(A310,Tutors!A:F,6,0)</f>
        <v>shaymaagaber.sg@gmail.com</v>
      </c>
      <c r="I310" s="8" t="str">
        <f>VLOOKUP(A310,Tutors!C:G,5,0)</f>
        <v/>
      </c>
      <c r="J310" s="8">
        <f>COUNTIFS(Active!C:C,A310)</f>
        <v>0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" t="s">
        <v>338</v>
      </c>
      <c r="B311" s="7">
        <f>VLOOKUP(A311,Tutors!A:B,2,0)</f>
        <v>718123675934</v>
      </c>
      <c r="C311" s="6" t="s">
        <v>303</v>
      </c>
      <c r="D311" s="6" t="s">
        <v>47</v>
      </c>
      <c r="E311" s="6" t="s">
        <v>9</v>
      </c>
      <c r="F311" s="8">
        <f>VLOOKUP(A311,Tutors!C:D,2,0)</f>
        <v>2449</v>
      </c>
      <c r="G311" s="8" t="str">
        <f>VLOOKUP(A311,Tutors!C:E,3,0)</f>
        <v>EG07-EG08-EG09</v>
      </c>
      <c r="H311" s="8" t="str">
        <f>VLOOKUP(A311,Tutors!A:F,6,0)</f>
        <v>mohamed.fahmy0190@gmail.com</v>
      </c>
      <c r="I311" s="8" t="str">
        <f>VLOOKUP(A311,Tutors!C:G,5,0)</f>
        <v>01110995621</v>
      </c>
      <c r="J311" s="8">
        <f>COUNTIFS(Active!C:C,A311)</f>
        <v>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" t="s">
        <v>339</v>
      </c>
      <c r="B312" s="7">
        <f>VLOOKUP(A312,Tutors!A:B,2,0)</f>
        <v>796147347235</v>
      </c>
      <c r="C312" s="6" t="s">
        <v>303</v>
      </c>
      <c r="D312" s="6" t="s">
        <v>47</v>
      </c>
      <c r="E312" s="6" t="s">
        <v>9</v>
      </c>
      <c r="F312" s="8">
        <f>VLOOKUP(A312,Tutors!C:D,2,0)</f>
        <v>2457</v>
      </c>
      <c r="G312" s="8" t="str">
        <f>VLOOKUP(A312,Tutors!C:E,3,0)</f>
        <v>EG07-EG08-EG09</v>
      </c>
      <c r="H312" s="8" t="str">
        <f>VLOOKUP(A312,Tutors!A:F,6,0)</f>
        <v>rabiea1222@gmail.com</v>
      </c>
      <c r="I312" s="8" t="str">
        <f>VLOOKUP(A312,Tutors!C:G,5,0)</f>
        <v>01095228365</v>
      </c>
      <c r="J312" s="8">
        <f>COUNTIFS(Active!C:C,A312)</f>
        <v>0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" t="s">
        <v>340</v>
      </c>
      <c r="B313" s="7">
        <f>VLOOKUP(A313,Tutors!A:B,2,0)</f>
        <v>186169282803</v>
      </c>
      <c r="C313" s="6" t="s">
        <v>303</v>
      </c>
      <c r="D313" s="6" t="s">
        <v>47</v>
      </c>
      <c r="E313" s="6" t="s">
        <v>9</v>
      </c>
      <c r="F313" s="8">
        <f>VLOOKUP(A313,Tutors!C:D,2,0)</f>
        <v>2044</v>
      </c>
      <c r="G313" s="8" t="str">
        <f>VLOOKUP(A313,Tutors!C:E,3,0)</f>
        <v>EG07-EG08-EG09</v>
      </c>
      <c r="H313" s="8" t="str">
        <f>VLOOKUP(A313,Tutors!A:F,6,0)</f>
        <v>hossammath@yahoo.com</v>
      </c>
      <c r="I313" s="8" t="str">
        <f>VLOOKUP(A313,Tutors!C:G,5,0)</f>
        <v>01006233576</v>
      </c>
      <c r="J313" s="8">
        <f>COUNTIFS(Active!C:C,A313)</f>
        <v>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" t="s">
        <v>341</v>
      </c>
      <c r="B314" s="7">
        <f>VLOOKUP(A314,Tutors!A:B,2,0)</f>
        <v>403198357923</v>
      </c>
      <c r="C314" s="6" t="s">
        <v>303</v>
      </c>
      <c r="D314" s="6" t="s">
        <v>47</v>
      </c>
      <c r="E314" s="6" t="s">
        <v>13</v>
      </c>
      <c r="F314" s="8">
        <f>VLOOKUP(A314,Tutors!C:D,2,0)</f>
        <v>2516</v>
      </c>
      <c r="G314" s="8" t="str">
        <f>VLOOKUP(A314,Tutors!C:E,3,0)</f>
        <v>EG07-EG08-EG09</v>
      </c>
      <c r="H314" s="8" t="str">
        <f>VLOOKUP(A314,Tutors!A:F,6,0)</f>
        <v>galalgalal185@gmail.com</v>
      </c>
      <c r="I314" s="8" t="str">
        <f>VLOOKUP(A314,Tutors!C:G,5,0)</f>
        <v>01006486535</v>
      </c>
      <c r="J314" s="8">
        <f>COUNTIFS(Active!C:C,A314)</f>
        <v>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" t="s">
        <v>342</v>
      </c>
      <c r="B315" s="7">
        <f>VLOOKUP(A315,Tutors!A:B,2,0)</f>
        <v>125147363253</v>
      </c>
      <c r="C315" s="6" t="s">
        <v>303</v>
      </c>
      <c r="D315" s="6" t="s">
        <v>47</v>
      </c>
      <c r="E315" s="6" t="s">
        <v>9</v>
      </c>
      <c r="F315" s="8">
        <f>VLOOKUP(A315,Tutors!C:D,2,0)</f>
        <v>2050</v>
      </c>
      <c r="G315" s="8" t="str">
        <f>VLOOKUP(A315,Tutors!C:E,3,0)</f>
        <v>EG07-EG08-EG09</v>
      </c>
      <c r="H315" s="8" t="str">
        <f>VLOOKUP(A315,Tutors!A:F,6,0)</f>
        <v>mrsherifsalah85@gmail.com</v>
      </c>
      <c r="I315" s="8" t="str">
        <f>VLOOKUP(A315,Tutors!C:G,5,0)</f>
        <v>01020165124</v>
      </c>
      <c r="J315" s="8">
        <f>COUNTIFS(Active!C:C,A315)</f>
        <v>1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" t="s">
        <v>343</v>
      </c>
      <c r="B316" s="7">
        <f>VLOOKUP(A316,Tutors!A:B,2,0)</f>
        <v>485171368085</v>
      </c>
      <c r="C316" s="6" t="s">
        <v>303</v>
      </c>
      <c r="D316" s="6" t="s">
        <v>47</v>
      </c>
      <c r="E316" s="6" t="s">
        <v>13</v>
      </c>
      <c r="F316" s="8">
        <f>VLOOKUP(A316,Tutors!C:D,2,0)</f>
        <v>2566</v>
      </c>
      <c r="G316" s="8" t="str">
        <f>VLOOKUP(A316,Tutors!C:E,3,0)</f>
        <v>EG07-EG08-EG09</v>
      </c>
      <c r="H316" s="8" t="str">
        <f>VLOOKUP(A316,Tutors!A:F,6,0)</f>
        <v>sally.khalledsamy@outlook.com</v>
      </c>
      <c r="I316" s="8" t="str">
        <f>VLOOKUP(A316,Tutors!C:G,5,0)</f>
        <v>01149979990</v>
      </c>
      <c r="J316" s="8">
        <f>COUNTIFS(Active!C:C,A316)</f>
        <v>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" t="s">
        <v>344</v>
      </c>
      <c r="B317" s="7">
        <f>VLOOKUP(A317,Tutors!A:B,2,0)</f>
        <v>876195784914</v>
      </c>
      <c r="C317" s="6" t="s">
        <v>303</v>
      </c>
      <c r="D317" s="6" t="s">
        <v>47</v>
      </c>
      <c r="E317" s="6" t="s">
        <v>13</v>
      </c>
      <c r="F317" s="8">
        <f>VLOOKUP(A317,Tutors!C:D,2,0)</f>
        <v>2553</v>
      </c>
      <c r="G317" s="8" t="str">
        <f>VLOOKUP(A317,Tutors!C:E,3,0)</f>
        <v>EG07-EG08-EG09</v>
      </c>
      <c r="H317" s="8" t="str">
        <f>VLOOKUP(A317,Tutors!A:F,6,0)</f>
        <v>dr.eslam.h.i@gmail.com</v>
      </c>
      <c r="I317" s="8" t="str">
        <f>VLOOKUP(A317,Tutors!C:G,5,0)</f>
        <v>01002501821</v>
      </c>
      <c r="J317" s="8">
        <f>COUNTIFS(Active!C:C,A317)</f>
        <v>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" t="s">
        <v>345</v>
      </c>
      <c r="B318" s="7">
        <f>VLOOKUP(A318,Tutors!A:B,2,0)</f>
        <v>472125058909</v>
      </c>
      <c r="C318" s="6" t="s">
        <v>303</v>
      </c>
      <c r="D318" s="6" t="s">
        <v>47</v>
      </c>
      <c r="E318" s="6" t="s">
        <v>9</v>
      </c>
      <c r="F318" s="8">
        <f>VLOOKUP(A318,Tutors!C:D,2,0)</f>
        <v>2578</v>
      </c>
      <c r="G318" s="8" t="str">
        <f>VLOOKUP(A318,Tutors!C:E,3,0)</f>
        <v>EG04-EG06-EG07-EG08-EG09</v>
      </c>
      <c r="H318" s="8" t="str">
        <f>VLOOKUP(A318,Tutors!A:F,6,0)</f>
        <v>a.abdallah.depd@gmail.com</v>
      </c>
      <c r="I318" s="8" t="str">
        <f>VLOOKUP(A318,Tutors!C:G,5,0)</f>
        <v>01118300659 - 01225781819</v>
      </c>
      <c r="J318" s="8">
        <f>COUNTIFS(Active!C:C,A318)</f>
        <v>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" t="s">
        <v>346</v>
      </c>
      <c r="B319" s="7">
        <f>VLOOKUP(A319,Tutors!A:B,2,0)</f>
        <v>463137028567</v>
      </c>
      <c r="C319" s="6" t="s">
        <v>303</v>
      </c>
      <c r="D319" s="6" t="s">
        <v>47</v>
      </c>
      <c r="E319" s="6" t="s">
        <v>13</v>
      </c>
      <c r="F319" s="8">
        <f>VLOOKUP(A319,Tutors!C:D,2,0)</f>
        <v>2563</v>
      </c>
      <c r="G319" s="8" t="str">
        <f>VLOOKUP(A319,Tutors!C:E,3,0)</f>
        <v>EG07-EG08</v>
      </c>
      <c r="H319" s="8" t="str">
        <f>VLOOKUP(A319,Tutors!A:F,6,0)</f>
        <v>nouranlotfy63@gmail.com</v>
      </c>
      <c r="I319" s="8" t="str">
        <f>VLOOKUP(A319,Tutors!C:G,5,0)</f>
        <v>01001625777</v>
      </c>
      <c r="J319" s="8">
        <f>COUNTIFS(Active!C:C,A319)</f>
        <v>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" t="s">
        <v>347</v>
      </c>
      <c r="B320" s="7">
        <f>VLOOKUP(A320,Tutors!A:B,2,0)</f>
        <v>697109284394</v>
      </c>
      <c r="C320" s="6" t="s">
        <v>303</v>
      </c>
      <c r="D320" s="6" t="s">
        <v>47</v>
      </c>
      <c r="E320" s="6" t="s">
        <v>13</v>
      </c>
      <c r="F320" s="8">
        <f>VLOOKUP(A320,Tutors!C:D,2,0)</f>
        <v>2586</v>
      </c>
      <c r="G320" s="8" t="str">
        <f>VLOOKUP(A320,Tutors!C:E,3,0)</f>
        <v>EG07-EG08-EG09</v>
      </c>
      <c r="H320" s="8" t="str">
        <f>VLOOKUP(A320,Tutors!A:F,6,0)</f>
        <v>rehamaly.76@gmail.com</v>
      </c>
      <c r="I320" s="8" t="str">
        <f>VLOOKUP(A320,Tutors!C:G,5,0)</f>
        <v>01206255208</v>
      </c>
      <c r="J320" s="8">
        <f>COUNTIFS(Active!C:C,A320)</f>
        <v>0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" t="s">
        <v>348</v>
      </c>
      <c r="B321" s="7">
        <f>VLOOKUP(A321,Tutors!A:B,2,0)</f>
        <v>897136858074</v>
      </c>
      <c r="C321" s="6" t="s">
        <v>303</v>
      </c>
      <c r="D321" s="6" t="s">
        <v>47</v>
      </c>
      <c r="E321" s="6" t="s">
        <v>9</v>
      </c>
      <c r="F321" s="8">
        <f>VLOOKUP(A321,Tutors!C:D,2,0)</f>
        <v>2768</v>
      </c>
      <c r="G321" s="8" t="str">
        <f>VLOOKUP(A321,Tutors!C:E,3,0)</f>
        <v>EG07-EG08-EG09</v>
      </c>
      <c r="H321" s="8" t="str">
        <f>VLOOKUP(A321,Tutors!A:F,6,0)</f>
        <v>elsaiid99@live.com</v>
      </c>
      <c r="I321" s="8" t="str">
        <f>VLOOKUP(A321,Tutors!C:G,5,0)</f>
        <v>01126789926</v>
      </c>
      <c r="J321" s="8">
        <f>COUNTIFS(Active!C:C,A321)</f>
        <v>1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" t="s">
        <v>349</v>
      </c>
      <c r="B322" s="7">
        <f>VLOOKUP(A322,Tutors!A:B,2,0)</f>
        <v>396138480561</v>
      </c>
      <c r="C322" s="6" t="s">
        <v>303</v>
      </c>
      <c r="D322" s="6" t="s">
        <v>47</v>
      </c>
      <c r="E322" s="6" t="s">
        <v>13</v>
      </c>
      <c r="F322" s="8">
        <f>VLOOKUP(A322,Tutors!C:D,2,0)</f>
        <v>2047</v>
      </c>
      <c r="G322" s="8" t="str">
        <f>VLOOKUP(A322,Tutors!C:E,3,0)</f>
        <v>EG07-EG08-EG09</v>
      </c>
      <c r="H322" s="8" t="str">
        <f>VLOOKUP(A322,Tutors!A:F,6,0)</f>
        <v>sherifzaiton218@gmail.com</v>
      </c>
      <c r="I322" s="8" t="str">
        <f>VLOOKUP(A322,Tutors!C:G,5,0)</f>
        <v/>
      </c>
      <c r="J322" s="8">
        <f>COUNTIFS(Active!C:C,A322)</f>
        <v>0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" t="s">
        <v>350</v>
      </c>
      <c r="B323" s="7">
        <f>VLOOKUP(A323,Tutors!A:B,2,0)</f>
        <v>417127195646</v>
      </c>
      <c r="C323" s="6" t="s">
        <v>303</v>
      </c>
      <c r="D323" s="6" t="s">
        <v>172</v>
      </c>
      <c r="E323" s="6" t="s">
        <v>9</v>
      </c>
      <c r="F323" s="9" t="str">
        <f>VLOOKUP(A323,Tutors!C:D,2,0)</f>
        <v>1788</v>
      </c>
      <c r="G323" s="8" t="str">
        <f>VLOOKUP(A323,Tutors!C:E,3,0)</f>
        <v>EG07-EG08-EG09</v>
      </c>
      <c r="H323" s="8" t="str">
        <f>VLOOKUP(A323,Tutors!A:F,6,0)</f>
        <v>andrewtharwatfikry@gmail.com</v>
      </c>
      <c r="I323" s="8" t="str">
        <f>VLOOKUP(A323,Tutors!C:G,5,0)</f>
        <v>01205947696</v>
      </c>
      <c r="J323" s="8">
        <f>COUNTIFS(Active!C:C,A323)</f>
        <v>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" t="s">
        <v>351</v>
      </c>
      <c r="B324" s="7">
        <f>VLOOKUP(A324,Tutors!A:B,2,0)</f>
        <v>980198527154</v>
      </c>
      <c r="C324" s="6" t="s">
        <v>303</v>
      </c>
      <c r="D324" s="6" t="s">
        <v>172</v>
      </c>
      <c r="E324" s="6" t="s">
        <v>9</v>
      </c>
      <c r="F324" s="9" t="str">
        <f>VLOOKUP(A324,Tutors!C:D,2,0)</f>
        <v>1851</v>
      </c>
      <c r="G324" s="8" t="str">
        <f>VLOOKUP(A324,Tutors!C:E,3,0)</f>
        <v>EG07-EG08-EG09</v>
      </c>
      <c r="H324" s="8" t="str">
        <f>VLOOKUP(A324,Tutors!A:F,6,0)</f>
        <v>zahraasawy@gmail.com</v>
      </c>
      <c r="I324" s="8" t="str">
        <f>VLOOKUP(A324,Tutors!C:G,5,0)</f>
        <v>01146935411</v>
      </c>
      <c r="J324" s="8">
        <f>COUNTIFS(Active!C:C,A324)</f>
        <v>1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" t="s">
        <v>352</v>
      </c>
      <c r="B325" s="7">
        <f>VLOOKUP(A325,Tutors!A:B,2,0)</f>
        <v>630168374236</v>
      </c>
      <c r="C325" s="6" t="s">
        <v>303</v>
      </c>
      <c r="D325" s="6" t="s">
        <v>172</v>
      </c>
      <c r="E325" s="6" t="s">
        <v>9</v>
      </c>
      <c r="F325" s="9" t="str">
        <f>VLOOKUP(A325,Tutors!C:D,2,0)</f>
        <v>1930</v>
      </c>
      <c r="G325" s="8" t="str">
        <f>VLOOKUP(A325,Tutors!C:E,3,0)</f>
        <v>EG06-EG07-EG08-EG09-EG10</v>
      </c>
      <c r="H325" s="8" t="str">
        <f>VLOOKUP(A325,Tutors!A:F,6,0)</f>
        <v>veroniamamdouh332@gmail.com</v>
      </c>
      <c r="I325" s="8" t="str">
        <f>VLOOKUP(A325,Tutors!C:G,5,0)</f>
        <v>01285314528</v>
      </c>
      <c r="J325" s="8">
        <f>COUNTIFS(Active!C:C,A325)</f>
        <v>1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" t="s">
        <v>353</v>
      </c>
      <c r="B326" s="7">
        <f>VLOOKUP(A326,Tutors!A:B,2,0)</f>
        <v>586171628191</v>
      </c>
      <c r="C326" s="6" t="s">
        <v>303</v>
      </c>
      <c r="D326" s="6" t="s">
        <v>172</v>
      </c>
      <c r="E326" s="6" t="s">
        <v>9</v>
      </c>
      <c r="F326" s="9" t="str">
        <f>VLOOKUP(A326,Tutors!C:D,2,0)</f>
        <v>2042</v>
      </c>
      <c r="G326" s="8" t="str">
        <f>VLOOKUP(A326,Tutors!C:E,3,0)</f>
        <v>EG07-EG08-EG09</v>
      </c>
      <c r="H326" s="8" t="str">
        <f>VLOOKUP(A326,Tutors!A:F,6,0)</f>
        <v>meneimpharma@gmail.com</v>
      </c>
      <c r="I326" s="8" t="str">
        <f>VLOOKUP(A326,Tutors!C:G,5,0)</f>
        <v>01225606274</v>
      </c>
      <c r="J326" s="8">
        <f>COUNTIFS(Active!C:C,A326)</f>
        <v>1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" t="s">
        <v>354</v>
      </c>
      <c r="B327" s="7">
        <f>VLOOKUP(A327,Tutors!A:B,2,0)</f>
        <v>769151943943</v>
      </c>
      <c r="C327" s="6" t="s">
        <v>303</v>
      </c>
      <c r="D327" s="6" t="s">
        <v>172</v>
      </c>
      <c r="E327" s="6" t="s">
        <v>9</v>
      </c>
      <c r="F327" s="9" t="str">
        <f>VLOOKUP(A327,Tutors!C:D,2,0)</f>
        <v>2098</v>
      </c>
      <c r="G327" s="8" t="str">
        <f>VLOOKUP(A327,Tutors!C:E,3,0)</f>
        <v>EG04-EG05-EG06-EG07-EG08-EG09</v>
      </c>
      <c r="H327" s="8" t="str">
        <f>VLOOKUP(A327,Tutors!A:F,6,0)</f>
        <v>theresanaguib84@gmail.com</v>
      </c>
      <c r="I327" s="8" t="str">
        <f>VLOOKUP(A327,Tutors!C:G,5,0)</f>
        <v>01272245620</v>
      </c>
      <c r="J327" s="8">
        <f>COUNTIFS(Active!C:C,A327)</f>
        <v>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" t="s">
        <v>355</v>
      </c>
      <c r="B328" s="7">
        <f>VLOOKUP(A328,Tutors!A:B,2,0)</f>
        <v>258179016380</v>
      </c>
      <c r="C328" s="6" t="s">
        <v>303</v>
      </c>
      <c r="D328" s="6" t="s">
        <v>172</v>
      </c>
      <c r="E328" s="6" t="s">
        <v>9</v>
      </c>
      <c r="F328" s="9" t="str">
        <f>VLOOKUP(A328,Tutors!C:D,2,0)</f>
        <v>2174</v>
      </c>
      <c r="G328" s="8" t="str">
        <f>VLOOKUP(A328,Tutors!C:E,3,0)</f>
        <v>EG07-EG08-EG09-EG10</v>
      </c>
      <c r="H328" s="8" t="str">
        <f>VLOOKUP(A328,Tutors!A:F,6,0)</f>
        <v>yumna_elnennah@yahoo.com</v>
      </c>
      <c r="I328" s="8" t="str">
        <f>VLOOKUP(A328,Tutors!C:G,5,0)</f>
        <v>01013423508</v>
      </c>
      <c r="J328" s="8">
        <f>COUNTIFS(Active!C:C,A328)</f>
        <v>1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" t="s">
        <v>356</v>
      </c>
      <c r="B329" s="7">
        <f>VLOOKUP(A329,Tutors!A:B,2,0)</f>
        <v>862161701563</v>
      </c>
      <c r="C329" s="6" t="s">
        <v>303</v>
      </c>
      <c r="D329" s="6" t="s">
        <v>172</v>
      </c>
      <c r="E329" s="6" t="s">
        <v>9</v>
      </c>
      <c r="F329" s="9" t="str">
        <f>VLOOKUP(A329,Tutors!C:D,2,0)</f>
        <v>2213</v>
      </c>
      <c r="G329" s="8" t="str">
        <f>VLOOKUP(A329,Tutors!C:E,3,0)</f>
        <v>EG07-EG08-EG09</v>
      </c>
      <c r="H329" s="8" t="str">
        <f>VLOOKUP(A329,Tutors!A:F,6,0)</f>
        <v>enabil24@gmail.com</v>
      </c>
      <c r="I329" s="8" t="str">
        <f>VLOOKUP(A329,Tutors!C:G,5,0)</f>
        <v>01204477722</v>
      </c>
      <c r="J329" s="8">
        <f>COUNTIFS(Active!C:C,A329)</f>
        <v>1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" t="s">
        <v>357</v>
      </c>
      <c r="B330" s="7">
        <f>VLOOKUP(A330,Tutors!A:B,2,0)</f>
        <v>240148989127</v>
      </c>
      <c r="C330" s="6" t="s">
        <v>303</v>
      </c>
      <c r="D330" s="6" t="s">
        <v>172</v>
      </c>
      <c r="E330" s="6" t="s">
        <v>13</v>
      </c>
      <c r="F330" s="9" t="str">
        <f>VLOOKUP(A330,Tutors!C:D,2,0)</f>
        <v>2282</v>
      </c>
      <c r="G330" s="8" t="str">
        <f>VLOOKUP(A330,Tutors!C:E,3,0)</f>
        <v>EG07-EG08-EG09-EG10</v>
      </c>
      <c r="H330" s="8" t="str">
        <f>VLOOKUP(A330,Tutors!A:F,6,0)</f>
        <v>ayaserry@hotmail.com</v>
      </c>
      <c r="I330" s="8" t="str">
        <f>VLOOKUP(A330,Tutors!C:G,5,0)</f>
        <v>01033449440</v>
      </c>
      <c r="J330" s="8">
        <f>COUNTIFS(Active!C:C,A330)</f>
        <v>0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" t="s">
        <v>358</v>
      </c>
      <c r="B331" s="7">
        <f>VLOOKUP(A331,Tutors!A:B,2,0)</f>
        <v>817125197474</v>
      </c>
      <c r="C331" s="6" t="s">
        <v>303</v>
      </c>
      <c r="D331" s="6" t="s">
        <v>172</v>
      </c>
      <c r="E331" s="6" t="s">
        <v>9</v>
      </c>
      <c r="F331" s="9" t="str">
        <f>VLOOKUP(A331,Tutors!C:D,2,0)</f>
        <v>2281</v>
      </c>
      <c r="G331" s="8" t="str">
        <f>VLOOKUP(A331,Tutors!C:E,3,0)</f>
        <v>EG07-EG08-EG09</v>
      </c>
      <c r="H331" s="8" t="str">
        <f>VLOOKUP(A331,Tutors!A:F,6,0)</f>
        <v>mhmodasem@yahoo.com</v>
      </c>
      <c r="I331" s="8" t="str">
        <f>VLOOKUP(A331,Tutors!C:G,5,0)</f>
        <v>01555039810</v>
      </c>
      <c r="J331" s="8">
        <f>COUNTIFS(Active!C:C,A331)</f>
        <v>1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" t="s">
        <v>359</v>
      </c>
      <c r="B332" s="7">
        <f>VLOOKUP(A332,Tutors!A:B,2,0)</f>
        <v>806123732506</v>
      </c>
      <c r="C332" s="6" t="s">
        <v>303</v>
      </c>
      <c r="D332" s="6" t="s">
        <v>172</v>
      </c>
      <c r="E332" s="6" t="s">
        <v>9</v>
      </c>
      <c r="F332" s="8">
        <f>VLOOKUP(A332,Tutors!C:D,2,0)</f>
        <v>2308</v>
      </c>
      <c r="G332" s="8" t="str">
        <f>VLOOKUP(A332,Tutors!C:E,3,0)</f>
        <v>EG07-EG08-EG09</v>
      </c>
      <c r="H332" s="8" t="str">
        <f>VLOOKUP(A332,Tutors!A:F,6,0)</f>
        <v>sohilayousry160@gmail.com</v>
      </c>
      <c r="I332" s="8" t="str">
        <f>VLOOKUP(A332,Tutors!C:G,5,0)</f>
        <v>01147701242</v>
      </c>
      <c r="J332" s="8">
        <f>COUNTIFS(Active!C:C,A332)</f>
        <v>1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" t="s">
        <v>360</v>
      </c>
      <c r="B333" s="7">
        <f>VLOOKUP(A333,Tutors!A:B,2,0)</f>
        <v>543195809524</v>
      </c>
      <c r="C333" s="6" t="s">
        <v>303</v>
      </c>
      <c r="D333" s="6" t="s">
        <v>172</v>
      </c>
      <c r="E333" s="6" t="s">
        <v>9</v>
      </c>
      <c r="F333" s="8">
        <f>VLOOKUP(A333,Tutors!C:D,2,0)</f>
        <v>2352</v>
      </c>
      <c r="G333" s="8" t="str">
        <f>VLOOKUP(A333,Tutors!C:E,3,0)</f>
        <v>EG07-EG08-EG09</v>
      </c>
      <c r="H333" s="8" t="str">
        <f>VLOOKUP(A333,Tutors!A:F,6,0)</f>
        <v>albertibrahim30@gmail.com</v>
      </c>
      <c r="I333" s="8" t="str">
        <f>VLOOKUP(A333,Tutors!C:G,5,0)</f>
        <v>01276626044</v>
      </c>
      <c r="J333" s="8">
        <f>COUNTIFS(Active!C:C,A333)</f>
        <v>1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" t="s">
        <v>361</v>
      </c>
      <c r="B334" s="7">
        <f>VLOOKUP(A334,Tutors!A:B,2,0)</f>
        <v>373148148671</v>
      </c>
      <c r="C334" s="6" t="s">
        <v>303</v>
      </c>
      <c r="D334" s="6" t="s">
        <v>172</v>
      </c>
      <c r="E334" s="10" t="s">
        <v>9</v>
      </c>
      <c r="F334" s="8">
        <f>VLOOKUP(A334,Tutors!C:D,2,0)</f>
        <v>2396</v>
      </c>
      <c r="G334" s="8" t="str">
        <f>VLOOKUP(A334,Tutors!C:E,3,0)</f>
        <v>EG07-EG08-EG09</v>
      </c>
      <c r="H334" s="8" t="str">
        <f>VLOOKUP(A334,Tutors!A:F,6,0)</f>
        <v>johnmalakzaki@gmail.com</v>
      </c>
      <c r="I334" s="8" t="str">
        <f>VLOOKUP(A334,Tutors!C:G,5,0)</f>
        <v>01021748033</v>
      </c>
      <c r="J334" s="8">
        <f>COUNTIFS(Active!C:C,A334)</f>
        <v>1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" t="s">
        <v>362</v>
      </c>
      <c r="B335" s="7">
        <f>VLOOKUP(A335,Tutors!A:B,2,0)</f>
        <v>697164912817</v>
      </c>
      <c r="C335" s="6" t="s">
        <v>303</v>
      </c>
      <c r="D335" s="6" t="s">
        <v>172</v>
      </c>
      <c r="E335" s="6" t="s">
        <v>9</v>
      </c>
      <c r="F335" s="8">
        <f>VLOOKUP(A335,Tutors!C:D,2,0)</f>
        <v>2455</v>
      </c>
      <c r="G335" s="8" t="str">
        <f>VLOOKUP(A335,Tutors!C:E,3,0)</f>
        <v>EG07-EG08-EG09</v>
      </c>
      <c r="H335" s="8" t="str">
        <f>VLOOKUP(A335,Tutors!A:F,6,0)</f>
        <v>ahmeddeif79@gmail.com</v>
      </c>
      <c r="I335" s="8" t="str">
        <f>VLOOKUP(A335,Tutors!C:G,5,0)</f>
        <v>01552762209</v>
      </c>
      <c r="J335" s="8">
        <f>COUNTIFS(Active!C:C,A335)</f>
        <v>1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" t="s">
        <v>363</v>
      </c>
      <c r="B336" s="7">
        <f>VLOOKUP(A336,Tutors!A:B,2,0)</f>
        <v>983140839457</v>
      </c>
      <c r="C336" s="6" t="s">
        <v>303</v>
      </c>
      <c r="D336" s="6" t="s">
        <v>172</v>
      </c>
      <c r="E336" s="10" t="s">
        <v>9</v>
      </c>
      <c r="F336" s="8">
        <f>VLOOKUP(A336,Tutors!C:D,2,0)</f>
        <v>2482</v>
      </c>
      <c r="G336" s="8" t="str">
        <f>VLOOKUP(A336,Tutors!C:E,3,0)</f>
        <v>EG07-EG08-EG09</v>
      </c>
      <c r="H336" s="8" t="str">
        <f>VLOOKUP(A336,Tutors!A:F,6,0)</f>
        <v>shimaamaged436@gmail.com</v>
      </c>
      <c r="I336" s="8" t="str">
        <f>VLOOKUP(A336,Tutors!C:G,5,0)</f>
        <v>01271024461</v>
      </c>
      <c r="J336" s="8">
        <f>COUNTIFS(Active!C:C,A336)</f>
        <v>1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" t="s">
        <v>364</v>
      </c>
      <c r="B337" s="7">
        <f>VLOOKUP(A337,Tutors!A:B,2,0)</f>
        <v>434196242350</v>
      </c>
      <c r="C337" s="6" t="s">
        <v>303</v>
      </c>
      <c r="D337" s="6" t="s">
        <v>172</v>
      </c>
      <c r="E337" s="6" t="s">
        <v>13</v>
      </c>
      <c r="F337" s="8">
        <f>VLOOKUP(A337,Tutors!C:D,2,0)</f>
        <v>2478</v>
      </c>
      <c r="G337" s="8" t="str">
        <f>VLOOKUP(A337,Tutors!C:E,3,0)</f>
        <v>EG07-EG08-EG09</v>
      </c>
      <c r="H337" s="8" t="str">
        <f>VLOOKUP(A337,Tutors!A:F,6,0)</f>
        <v>nm1238991@gmail.com</v>
      </c>
      <c r="I337" s="8" t="str">
        <f>VLOOKUP(A337,Tutors!C:G,5,0)</f>
        <v>01069534013</v>
      </c>
      <c r="J337" s="8">
        <f>COUNTIFS(Active!C:C,A337)</f>
        <v>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" t="s">
        <v>365</v>
      </c>
      <c r="B338" s="7">
        <f>VLOOKUP(A338,Tutors!A:B,2,0)</f>
        <v>982159721983</v>
      </c>
      <c r="C338" s="6" t="s">
        <v>303</v>
      </c>
      <c r="D338" s="6" t="s">
        <v>172</v>
      </c>
      <c r="E338" s="6" t="s">
        <v>9</v>
      </c>
      <c r="F338" s="8">
        <f>VLOOKUP(A338,Tutors!C:D,2,0)</f>
        <v>2658</v>
      </c>
      <c r="G338" s="8" t="str">
        <f>VLOOKUP(A338,Tutors!C:E,3,0)</f>
        <v>EG07-EG08-EG09-EG10</v>
      </c>
      <c r="H338" s="8" t="str">
        <f>VLOOKUP(A338,Tutors!A:F,6,0)</f>
        <v>melfar836@gmail.com</v>
      </c>
      <c r="I338" s="8" t="str">
        <f>VLOOKUP(A338,Tutors!C:G,5,0)</f>
        <v>+201289807074</v>
      </c>
      <c r="J338" s="8">
        <f>COUNTIFS(Active!C:C,A338)</f>
        <v>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" t="s">
        <v>366</v>
      </c>
      <c r="B339" s="7">
        <f>VLOOKUP(A339,Tutors!A:B,2,0)</f>
        <v>782154150214</v>
      </c>
      <c r="C339" s="6" t="s">
        <v>303</v>
      </c>
      <c r="D339" s="6" t="s">
        <v>172</v>
      </c>
      <c r="E339" s="6" t="s">
        <v>9</v>
      </c>
      <c r="F339" s="8">
        <f>VLOOKUP(A339,Tutors!C:D,2,0)</f>
        <v>2678</v>
      </c>
      <c r="G339" s="8" t="str">
        <f>VLOOKUP(A339,Tutors!C:E,3,0)</f>
        <v>EG07-EG08-EG09</v>
      </c>
      <c r="H339" s="8" t="str">
        <f>VLOOKUP(A339,Tutors!A:F,6,0)</f>
        <v>eng.nasrsaleh@gmail.com</v>
      </c>
      <c r="I339" s="8" t="str">
        <f>VLOOKUP(A339,Tutors!C:G,5,0)</f>
        <v>01008960199</v>
      </c>
      <c r="J339" s="8">
        <f>COUNTIFS(Active!C:C,A339)</f>
        <v>1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" t="s">
        <v>367</v>
      </c>
      <c r="B340" s="7">
        <f>VLOOKUP(A340,Tutors!A:B,2,0)</f>
        <v>393183180213</v>
      </c>
      <c r="C340" s="6" t="s">
        <v>303</v>
      </c>
      <c r="D340" s="6" t="s">
        <v>172</v>
      </c>
      <c r="E340" s="6" t="s">
        <v>9</v>
      </c>
      <c r="F340" s="8">
        <f>VLOOKUP(A340,Tutors!C:D,2,0)</f>
        <v>2602</v>
      </c>
      <c r="G340" s="8" t="str">
        <f>VLOOKUP(A340,Tutors!C:E,3,0)</f>
        <v>EG07-EG08-EG09-EG10</v>
      </c>
      <c r="H340" s="8" t="str">
        <f>VLOOKUP(A340,Tutors!A:F,6,0)</f>
        <v>hebahamza662202@gmail.com</v>
      </c>
      <c r="I340" s="8" t="str">
        <f>VLOOKUP(A340,Tutors!C:G,5,0)</f>
        <v/>
      </c>
      <c r="J340" s="8">
        <f>COUNTIFS(Active!C:C,A340)</f>
        <v>1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" t="s">
        <v>368</v>
      </c>
      <c r="B341" s="7">
        <f>VLOOKUP(A341,Tutors!A:B,2,0)</f>
        <v>856163762784</v>
      </c>
      <c r="C341" s="6" t="s">
        <v>303</v>
      </c>
      <c r="D341" s="6" t="s">
        <v>172</v>
      </c>
      <c r="E341" s="10" t="s">
        <v>9</v>
      </c>
      <c r="F341" s="8">
        <f>VLOOKUP(A341,Tutors!C:D,2,0)</f>
        <v>2710</v>
      </c>
      <c r="G341" s="8" t="str">
        <f>VLOOKUP(A341,Tutors!C:E,3,0)</f>
        <v>EG04-EG05-EG06-EG07-EG08-EG09</v>
      </c>
      <c r="H341" s="8" t="str">
        <f>VLOOKUP(A341,Tutors!A:F,6,0)</f>
        <v>sci.epistimi@gmail.com</v>
      </c>
      <c r="I341" s="8" t="str">
        <f>VLOOKUP(A341,Tutors!C:G,5,0)</f>
        <v/>
      </c>
      <c r="J341" s="8">
        <f>COUNTIFS(Active!C:C,A341)</f>
        <v>1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" t="s">
        <v>369</v>
      </c>
      <c r="B342" s="7">
        <f>VLOOKUP(A342,Tutors!A:B,2,0)</f>
        <v>609168138349</v>
      </c>
      <c r="C342" s="6" t="s">
        <v>303</v>
      </c>
      <c r="D342" s="6" t="s">
        <v>172</v>
      </c>
      <c r="E342" s="6" t="s">
        <v>13</v>
      </c>
      <c r="F342" s="8">
        <f>VLOOKUP(A342,Tutors!C:D,2,0)</f>
        <v>2630</v>
      </c>
      <c r="G342" s="8" t="str">
        <f>VLOOKUP(A342,Tutors!C:E,3,0)</f>
        <v>EG07-EG08-EG09</v>
      </c>
      <c r="H342" s="8" t="str">
        <f>VLOOKUP(A342,Tutors!A:F,6,0)</f>
        <v>soheirmamdouh4190@gmail.com</v>
      </c>
      <c r="I342" s="8" t="str">
        <f>VLOOKUP(A342,Tutors!C:G,5,0)</f>
        <v/>
      </c>
      <c r="J342" s="8">
        <f>COUNTIFS(Active!C:C,A342)</f>
        <v>0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" t="s">
        <v>370</v>
      </c>
      <c r="B343" s="7">
        <f>VLOOKUP(A343,Tutors!A:B,2,0)</f>
        <v>729109646242</v>
      </c>
      <c r="C343" s="6" t="s">
        <v>303</v>
      </c>
      <c r="D343" s="6" t="s">
        <v>172</v>
      </c>
      <c r="E343" s="6" t="s">
        <v>13</v>
      </c>
      <c r="F343" s="8">
        <f>VLOOKUP(A343,Tutors!C:D,2,0)</f>
        <v>2697</v>
      </c>
      <c r="G343" s="8" t="str">
        <f>VLOOKUP(A343,Tutors!C:E,3,0)</f>
        <v>EG07-EG08-EG09</v>
      </c>
      <c r="H343" s="8" t="str">
        <f>VLOOKUP(A343,Tutors!A:F,6,0)</f>
        <v>mennamohamed89166@gmail.com</v>
      </c>
      <c r="I343" s="8" t="str">
        <f>VLOOKUP(A343,Tutors!C:G,5,0)</f>
        <v/>
      </c>
      <c r="J343" s="8">
        <f>COUNTIFS(Active!C:C,A343)</f>
        <v>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" t="s">
        <v>371</v>
      </c>
      <c r="B344" s="7">
        <f>VLOOKUP(A344,Tutors!A:B,2,0)</f>
        <v>715147613634</v>
      </c>
      <c r="C344" s="6" t="s">
        <v>303</v>
      </c>
      <c r="D344" s="6" t="s">
        <v>172</v>
      </c>
      <c r="E344" s="10" t="s">
        <v>9</v>
      </c>
      <c r="F344" s="8">
        <f>VLOOKUP(A344,Tutors!C:D,2,0)</f>
        <v>2721</v>
      </c>
      <c r="G344" s="8" t="str">
        <f>VLOOKUP(A344,Tutors!C:E,3,0)</f>
        <v>EG07-EG08-EG09</v>
      </c>
      <c r="H344" s="8" t="str">
        <f>VLOOKUP(A344,Tutors!A:F,6,0)</f>
        <v>rowida.fekri.3325@gmail.com</v>
      </c>
      <c r="I344" s="8" t="str">
        <f>VLOOKUP(A344,Tutors!C:G,5,0)</f>
        <v/>
      </c>
      <c r="J344" s="8">
        <f>COUNTIFS(Active!C:C,A344)</f>
        <v>1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" t="s">
        <v>372</v>
      </c>
      <c r="B345" s="7">
        <f>VLOOKUP(A345,Tutors!A:B,2,0)</f>
        <v>986159246809</v>
      </c>
      <c r="C345" s="6" t="s">
        <v>303</v>
      </c>
      <c r="D345" s="6" t="s">
        <v>203</v>
      </c>
      <c r="E345" s="6" t="s">
        <v>9</v>
      </c>
      <c r="F345" s="9" t="str">
        <f>VLOOKUP(A345,Tutors!C:D,2,0)</f>
        <v>1859</v>
      </c>
      <c r="G345" s="8" t="str">
        <f>VLOOKUP(A345,Tutors!C:E,3,0)</f>
        <v>EG07-EG08-EG09</v>
      </c>
      <c r="H345" s="8" t="str">
        <f>VLOOKUP(A345,Tutors!A:F,6,0)</f>
        <v>toka.karim22@gmail.com</v>
      </c>
      <c r="I345" s="8" t="str">
        <f>VLOOKUP(A345,Tutors!C:G,5,0)</f>
        <v>01011609935</v>
      </c>
      <c r="J345" s="8">
        <f>COUNTIFS(Active!C:C,A345)</f>
        <v>1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" t="s">
        <v>373</v>
      </c>
      <c r="B346" s="7">
        <f>VLOOKUP(A346,Tutors!A:B,2,0)</f>
        <v>535169279095</v>
      </c>
      <c r="C346" s="6" t="s">
        <v>303</v>
      </c>
      <c r="D346" s="6" t="s">
        <v>203</v>
      </c>
      <c r="E346" s="6" t="s">
        <v>9</v>
      </c>
      <c r="F346" s="9" t="str">
        <f>VLOOKUP(A346,Tutors!C:D,2,0)</f>
        <v>1861</v>
      </c>
      <c r="G346" s="8" t="str">
        <f>VLOOKUP(A346,Tutors!C:E,3,0)</f>
        <v>EG07-EG08-EG09</v>
      </c>
      <c r="H346" s="8" t="str">
        <f>VLOOKUP(A346,Tutors!A:F,6,0)</f>
        <v>alaahesham492@gmail.com</v>
      </c>
      <c r="I346" s="8" t="str">
        <f>VLOOKUP(A346,Tutors!C:G,5,0)</f>
        <v>01204537345</v>
      </c>
      <c r="J346" s="8">
        <f>COUNTIFS(Active!C:C,A346)</f>
        <v>1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" t="s">
        <v>374</v>
      </c>
      <c r="B347" s="7">
        <f>VLOOKUP(A347,Tutors!A:B,2,0)</f>
        <v>262187939345</v>
      </c>
      <c r="C347" s="6" t="s">
        <v>303</v>
      </c>
      <c r="D347" s="6" t="s">
        <v>203</v>
      </c>
      <c r="E347" s="6" t="s">
        <v>9</v>
      </c>
      <c r="F347" s="9" t="str">
        <f>VLOOKUP(A347,Tutors!C:D,2,0)</f>
        <v>1873</v>
      </c>
      <c r="G347" s="8" t="str">
        <f>VLOOKUP(A347,Tutors!C:E,3,0)</f>
        <v/>
      </c>
      <c r="H347" s="8" t="str">
        <f>VLOOKUP(A347,Tutors!A:F,6,0)</f>
        <v>rehabtawfik8@gmail.com</v>
      </c>
      <c r="I347" s="8" t="str">
        <f>VLOOKUP(A347,Tutors!C:G,5,0)</f>
        <v/>
      </c>
      <c r="J347" s="8">
        <f>COUNTIFS(Active!C:C,A347)</f>
        <v>1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" t="s">
        <v>375</v>
      </c>
      <c r="B348" s="7">
        <f>VLOOKUP(A348,Tutors!A:B,2,0)</f>
        <v>402170847265</v>
      </c>
      <c r="C348" s="6" t="s">
        <v>303</v>
      </c>
      <c r="D348" s="6" t="s">
        <v>203</v>
      </c>
      <c r="E348" s="6" t="s">
        <v>9</v>
      </c>
      <c r="F348" s="9" t="str">
        <f>VLOOKUP(A348,Tutors!C:D,2,0)</f>
        <v>1883</v>
      </c>
      <c r="G348" s="8" t="str">
        <f>VLOOKUP(A348,Tutors!C:E,3,0)</f>
        <v/>
      </c>
      <c r="H348" s="8" t="str">
        <f>VLOOKUP(A348,Tutors!A:F,6,0)</f>
        <v>lailaelsayed3@gmail.com</v>
      </c>
      <c r="I348" s="8" t="str">
        <f>VLOOKUP(A348,Tutors!C:G,5,0)</f>
        <v/>
      </c>
      <c r="J348" s="8">
        <f>COUNTIFS(Active!C:C,A348)</f>
        <v>1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" t="s">
        <v>376</v>
      </c>
      <c r="B349" s="7">
        <f>VLOOKUP(A349,Tutors!A:B,2,0)</f>
        <v>529172543087</v>
      </c>
      <c r="C349" s="6" t="s">
        <v>303</v>
      </c>
      <c r="D349" s="6" t="s">
        <v>203</v>
      </c>
      <c r="E349" s="6" t="s">
        <v>9</v>
      </c>
      <c r="F349" s="9" t="str">
        <f>VLOOKUP(A349,Tutors!C:D,2,0)</f>
        <v>1921</v>
      </c>
      <c r="G349" s="8" t="str">
        <f>VLOOKUP(A349,Tutors!C:E,3,0)</f>
        <v/>
      </c>
      <c r="H349" s="8" t="str">
        <f>VLOOKUP(A349,Tutors!A:F,6,0)</f>
        <v>islamhozayen1@gmail.com</v>
      </c>
      <c r="I349" s="8" t="str">
        <f>VLOOKUP(A349,Tutors!C:G,5,0)</f>
        <v>01000302485</v>
      </c>
      <c r="J349" s="8">
        <f>COUNTIFS(Active!C:C,A349)</f>
        <v>1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" t="s">
        <v>377</v>
      </c>
      <c r="B350" s="7">
        <f>VLOOKUP(A350,Tutors!A:B,2,0)</f>
        <v>724162474043</v>
      </c>
      <c r="C350" s="6" t="s">
        <v>303</v>
      </c>
      <c r="D350" s="6" t="s">
        <v>203</v>
      </c>
      <c r="E350" s="6" t="s">
        <v>9</v>
      </c>
      <c r="F350" s="9" t="str">
        <f>VLOOKUP(A350,Tutors!C:D,2,0)</f>
        <v>1988</v>
      </c>
      <c r="G350" s="8" t="str">
        <f>VLOOKUP(A350,Tutors!C:E,3,0)</f>
        <v/>
      </c>
      <c r="H350" s="8" t="str">
        <f>VLOOKUP(A350,Tutors!A:F,6,0)</f>
        <v>memawaly578@gmail.com</v>
      </c>
      <c r="I350" s="8" t="str">
        <f>VLOOKUP(A350,Tutors!C:G,5,0)</f>
        <v>01030282653</v>
      </c>
      <c r="J350" s="8">
        <f>COUNTIFS(Active!C:C,A350)</f>
        <v>1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" t="s">
        <v>378</v>
      </c>
      <c r="B351" s="7">
        <f>VLOOKUP(A351,Tutors!A:B,2,0)</f>
        <v>573182638724</v>
      </c>
      <c r="C351" s="6" t="s">
        <v>303</v>
      </c>
      <c r="D351" s="6" t="s">
        <v>203</v>
      </c>
      <c r="E351" s="6" t="s">
        <v>9</v>
      </c>
      <c r="F351" s="9" t="str">
        <f>VLOOKUP(A351,Tutors!C:D,2,0)</f>
        <v>2045</v>
      </c>
      <c r="G351" s="8" t="str">
        <f>VLOOKUP(A351,Tutors!C:E,3,0)</f>
        <v/>
      </c>
      <c r="H351" s="8" t="str">
        <f>VLOOKUP(A351,Tutors!A:F,6,0)</f>
        <v>ahmedabdelshaheed88@gmail.com</v>
      </c>
      <c r="I351" s="8" t="str">
        <f>VLOOKUP(A351,Tutors!C:G,5,0)</f>
        <v>01009361878</v>
      </c>
      <c r="J351" s="8">
        <f>COUNTIFS(Active!C:C,A351)</f>
        <v>1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" t="s">
        <v>379</v>
      </c>
      <c r="B352" s="7">
        <f>VLOOKUP(A352,Tutors!A:B,2,0)</f>
        <v>283104384369</v>
      </c>
      <c r="C352" s="6" t="s">
        <v>303</v>
      </c>
      <c r="D352" s="6" t="s">
        <v>203</v>
      </c>
      <c r="E352" s="6" t="s">
        <v>9</v>
      </c>
      <c r="F352" s="9" t="str">
        <f>VLOOKUP(A352,Tutors!C:D,2,0)</f>
        <v>2083</v>
      </c>
      <c r="G352" s="8" t="str">
        <f>VLOOKUP(A352,Tutors!C:E,3,0)</f>
        <v/>
      </c>
      <c r="H352" s="8" t="str">
        <f>VLOOKUP(A352,Tutors!A:F,6,0)</f>
        <v>mahmoud.mohameed26@gmail.com</v>
      </c>
      <c r="I352" s="8" t="str">
        <f>VLOOKUP(A352,Tutors!C:G,5,0)</f>
        <v>01006764019</v>
      </c>
      <c r="J352" s="8">
        <f>COUNTIFS(Active!C:C,A352)</f>
        <v>1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" t="s">
        <v>380</v>
      </c>
      <c r="B353" s="7">
        <f>VLOOKUP(A353,Tutors!A:B,2,0)</f>
        <v>372149691918</v>
      </c>
      <c r="C353" s="6" t="s">
        <v>303</v>
      </c>
      <c r="D353" s="6" t="s">
        <v>203</v>
      </c>
      <c r="E353" s="6" t="s">
        <v>9</v>
      </c>
      <c r="F353" s="9" t="str">
        <f>VLOOKUP(A353,Tutors!C:D,2,0)</f>
        <v>2084</v>
      </c>
      <c r="G353" s="8" t="str">
        <f>VLOOKUP(A353,Tutors!C:E,3,0)</f>
        <v/>
      </c>
      <c r="H353" s="8" t="str">
        <f>VLOOKUP(A353,Tutors!A:F,6,0)</f>
        <v>naderwagdy666@gmail.com</v>
      </c>
      <c r="I353" s="8" t="str">
        <f>VLOOKUP(A353,Tutors!C:G,5,0)</f>
        <v>01280490085</v>
      </c>
      <c r="J353" s="8">
        <f>COUNTIFS(Active!C:C,A353)</f>
        <v>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" t="s">
        <v>381</v>
      </c>
      <c r="B354" s="7">
        <f>VLOOKUP(A354,Tutors!A:B,2,0)</f>
        <v>747194232493</v>
      </c>
      <c r="C354" s="6" t="s">
        <v>303</v>
      </c>
      <c r="D354" s="6" t="s">
        <v>203</v>
      </c>
      <c r="E354" s="6" t="s">
        <v>9</v>
      </c>
      <c r="F354" s="9" t="str">
        <f>VLOOKUP(A354,Tutors!C:D,2,0)</f>
        <v>2181</v>
      </c>
      <c r="G354" s="8" t="str">
        <f>VLOOKUP(A354,Tutors!C:E,3,0)</f>
        <v>EG07-EG08-EG09-EG10-EG11</v>
      </c>
      <c r="H354" s="8" t="str">
        <f>VLOOKUP(A354,Tutors!A:F,6,0)</f>
        <v>muhannad.m.m.khalil@gmail.com</v>
      </c>
      <c r="I354" s="8" t="str">
        <f>VLOOKUP(A354,Tutors!C:G,5,0)</f>
        <v>01114420263</v>
      </c>
      <c r="J354" s="8">
        <f>COUNTIFS(Active!C:C,A354)</f>
        <v>1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" t="s">
        <v>382</v>
      </c>
      <c r="B355" s="7">
        <f>VLOOKUP(A355,Tutors!A:B,2,0)</f>
        <v>864108372349</v>
      </c>
      <c r="C355" s="6" t="s">
        <v>303</v>
      </c>
      <c r="D355" s="6" t="s">
        <v>203</v>
      </c>
      <c r="E355" s="6" t="s">
        <v>9</v>
      </c>
      <c r="F355" s="9" t="str">
        <f>VLOOKUP(A355,Tutors!C:D,2,0)</f>
        <v>2192</v>
      </c>
      <c r="G355" s="8" t="str">
        <f>VLOOKUP(A355,Tutors!C:E,3,0)</f>
        <v>EG07-EG08-EG09-EG10-EG11</v>
      </c>
      <c r="H355" s="8" t="str">
        <f>VLOOKUP(A355,Tutors!A:F,6,0)</f>
        <v>mohamedmagdi8000@gmail.com</v>
      </c>
      <c r="I355" s="8" t="str">
        <f>VLOOKUP(A355,Tutors!C:G,5,0)</f>
        <v>01119389015</v>
      </c>
      <c r="J355" s="8">
        <f>COUNTIFS(Active!C:C,A355)</f>
        <v>1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" t="s">
        <v>383</v>
      </c>
      <c r="B356" s="7">
        <f>VLOOKUP(A356,Tutors!A:B,2,0)</f>
        <v>489123510390</v>
      </c>
      <c r="C356" s="6" t="s">
        <v>303</v>
      </c>
      <c r="D356" s="6" t="s">
        <v>203</v>
      </c>
      <c r="E356" s="6" t="s">
        <v>384</v>
      </c>
      <c r="F356" s="9" t="str">
        <f>VLOOKUP(A356,Tutors!C:D,2,0)</f>
        <v>2183</v>
      </c>
      <c r="G356" s="8" t="str">
        <f>VLOOKUP(A356,Tutors!C:E,3,0)</f>
        <v>EG04-EG05-EG06-EG07-EG08-EG09-EG10-EG11</v>
      </c>
      <c r="H356" s="8" t="str">
        <f>VLOOKUP(A356,Tutors!A:F,6,0)</f>
        <v>marumoh44@gmail.com</v>
      </c>
      <c r="I356" s="8" t="str">
        <f>VLOOKUP(A356,Tutors!C:G,5,0)</f>
        <v>01550859370</v>
      </c>
      <c r="J356" s="8">
        <f>COUNTIFS(Active!C:C,A356)</f>
        <v>0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" t="s">
        <v>385</v>
      </c>
      <c r="B357" s="7">
        <f>VLOOKUP(A357,Tutors!A:B,2,0)</f>
        <v>836130414695</v>
      </c>
      <c r="C357" s="6" t="s">
        <v>303</v>
      </c>
      <c r="D357" s="6" t="s">
        <v>203</v>
      </c>
      <c r="E357" s="6" t="s">
        <v>9</v>
      </c>
      <c r="F357" s="9">
        <f>VLOOKUP(A357,Tutors!C:D,2,0)</f>
        <v>2220</v>
      </c>
      <c r="G357" s="8" t="str">
        <f>VLOOKUP(A357,Tutors!C:E,3,0)</f>
        <v>EG07-EG08-EG09</v>
      </c>
      <c r="H357" s="8" t="str">
        <f>VLOOKUP(A357,Tutors!A:F,6,0)</f>
        <v>elseadim@gmail.com</v>
      </c>
      <c r="I357" s="8" t="str">
        <f>VLOOKUP(A357,Tutors!C:G,5,0)</f>
        <v>01032561184</v>
      </c>
      <c r="J357" s="8">
        <f>COUNTIFS(Active!C:C,A357)</f>
        <v>1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" t="s">
        <v>386</v>
      </c>
      <c r="B358" s="7">
        <f>VLOOKUP(A358,Tutors!A:B,2,0)</f>
        <v>157185923195</v>
      </c>
      <c r="C358" s="6" t="s">
        <v>303</v>
      </c>
      <c r="D358" s="6" t="s">
        <v>203</v>
      </c>
      <c r="E358" s="6" t="s">
        <v>13</v>
      </c>
      <c r="F358" s="9" t="str">
        <f>VLOOKUP(A358,Tutors!C:D,2,0)</f>
        <v>2197</v>
      </c>
      <c r="G358" s="8" t="str">
        <f>VLOOKUP(A358,Tutors!C:E,3,0)</f>
        <v>EG07-EG08-EG09-EG10-EG11</v>
      </c>
      <c r="H358" s="8" t="str">
        <f>VLOOKUP(A358,Tutors!A:F,6,0)</f>
        <v>hossamnourahmed@gmail.com</v>
      </c>
      <c r="I358" s="8" t="str">
        <f>VLOOKUP(A358,Tutors!C:G,5,0)</f>
        <v>01141205561</v>
      </c>
      <c r="J358" s="8">
        <f>COUNTIFS(Active!C:C,A358)</f>
        <v>0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" t="s">
        <v>387</v>
      </c>
      <c r="B359" s="7">
        <f>VLOOKUP(A359,Tutors!A:B,2,0)</f>
        <v>586103986059</v>
      </c>
      <c r="C359" s="6" t="s">
        <v>303</v>
      </c>
      <c r="D359" s="6" t="s">
        <v>203</v>
      </c>
      <c r="E359" s="6" t="s">
        <v>9</v>
      </c>
      <c r="F359" s="9" t="str">
        <f>VLOOKUP(A359,Tutors!C:D,2,0)</f>
        <v>2218</v>
      </c>
      <c r="G359" s="8" t="str">
        <f>VLOOKUP(A359,Tutors!C:E,3,0)</f>
        <v>EG07-EG08-EG09-EG10-EG11</v>
      </c>
      <c r="H359" s="8" t="str">
        <f>VLOOKUP(A359,Tutors!A:F,6,0)</f>
        <v>fatmadahab55@gmail.com</v>
      </c>
      <c r="I359" s="8" t="str">
        <f>VLOOKUP(A359,Tutors!C:G,5,0)</f>
        <v>01147619592</v>
      </c>
      <c r="J359" s="8">
        <f>COUNTIFS(Active!C:C,A359)</f>
        <v>1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" t="s">
        <v>388</v>
      </c>
      <c r="B360" s="7">
        <f>VLOOKUP(A360,Tutors!A:B,2,0)</f>
        <v>316181624372</v>
      </c>
      <c r="C360" s="6" t="s">
        <v>303</v>
      </c>
      <c r="D360" s="6" t="s">
        <v>203</v>
      </c>
      <c r="E360" s="6" t="s">
        <v>9</v>
      </c>
      <c r="F360" s="9" t="str">
        <f>VLOOKUP(A360,Tutors!C:D,2,0)</f>
        <v>1734</v>
      </c>
      <c r="G360" s="8" t="str">
        <f>VLOOKUP(A360,Tutors!C:E,3,0)</f>
        <v>EG07-EG08-EG09</v>
      </c>
      <c r="H360" s="8" t="str">
        <f>VLOOKUP(A360,Tutors!A:F,6,0)</f>
        <v>mohamed291284@gmail.com</v>
      </c>
      <c r="I360" s="8" t="str">
        <f>VLOOKUP(A360,Tutors!C:G,5,0)</f>
        <v/>
      </c>
      <c r="J360" s="8">
        <f>COUNTIFS(Active!C:C,A360)</f>
        <v>1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" t="s">
        <v>389</v>
      </c>
      <c r="B361" s="7">
        <f>VLOOKUP(A361,Tutors!A:B,2,0)</f>
        <v>814163407679</v>
      </c>
      <c r="C361" s="6" t="s">
        <v>303</v>
      </c>
      <c r="D361" s="6" t="s">
        <v>203</v>
      </c>
      <c r="E361" s="6" t="s">
        <v>9</v>
      </c>
      <c r="F361" s="9">
        <f>VLOOKUP(A361,Tutors!C:D,2,0)</f>
        <v>2216</v>
      </c>
      <c r="G361" s="8" t="str">
        <f>VLOOKUP(A361,Tutors!C:E,3,0)</f>
        <v/>
      </c>
      <c r="H361" s="8" t="str">
        <f>VLOOKUP(A361,Tutors!A:F,6,0)</f>
        <v>tarektoty101@gmail.com</v>
      </c>
      <c r="I361" s="8" t="str">
        <f>VLOOKUP(A361,Tutors!C:G,5,0)</f>
        <v>01145921925 - 01557287290</v>
      </c>
      <c r="J361" s="8">
        <f>COUNTIFS(Active!C:C,A361)</f>
        <v>1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" t="s">
        <v>390</v>
      </c>
      <c r="B362" s="7">
        <f>VLOOKUP(A362,Tutors!A:B,2,0)</f>
        <v>980182127485</v>
      </c>
      <c r="C362" s="6" t="s">
        <v>303</v>
      </c>
      <c r="D362" s="6" t="s">
        <v>203</v>
      </c>
      <c r="E362" s="6" t="s">
        <v>9</v>
      </c>
      <c r="F362" s="8">
        <f>VLOOKUP(A362,Tutors!C:D,2,0)</f>
        <v>2280</v>
      </c>
      <c r="G362" s="8" t="str">
        <f>VLOOKUP(A362,Tutors!C:E,3,0)</f>
        <v>EG07-EG08-EG09</v>
      </c>
      <c r="H362" s="8" t="str">
        <f>VLOOKUP(A362,Tutors!A:F,6,0)</f>
        <v>medo48902@gmail.com</v>
      </c>
      <c r="I362" s="8" t="str">
        <f>VLOOKUP(A362,Tutors!C:G,5,0)</f>
        <v>01117021822</v>
      </c>
      <c r="J362" s="8">
        <f>COUNTIFS(Active!C:C,A362)</f>
        <v>1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" t="s">
        <v>391</v>
      </c>
      <c r="B363" s="7">
        <f>VLOOKUP(A363,Tutors!A:B,2,0)</f>
        <v>373156736453</v>
      </c>
      <c r="C363" s="6" t="s">
        <v>303</v>
      </c>
      <c r="D363" s="6" t="s">
        <v>203</v>
      </c>
      <c r="E363" s="6" t="s">
        <v>9</v>
      </c>
      <c r="F363" s="8">
        <f>VLOOKUP(A363,Tutors!C:D,2,0)</f>
        <v>2340</v>
      </c>
      <c r="G363" s="8" t="str">
        <f>VLOOKUP(A363,Tutors!C:E,3,0)</f>
        <v>EG07-EG08-EG09</v>
      </c>
      <c r="H363" s="8" t="str">
        <f>VLOOKUP(A363,Tutors!A:F,6,0)</f>
        <v>elsaker79@hotmail.com</v>
      </c>
      <c r="I363" s="8">
        <f>VLOOKUP(A363,Tutors!C:G,5,0)</f>
        <v>1011099883</v>
      </c>
      <c r="J363" s="8">
        <f>COUNTIFS(Active!C:C,A363)</f>
        <v>1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" t="s">
        <v>392</v>
      </c>
      <c r="B364" s="7">
        <f>VLOOKUP(A364,Tutors!A:B,2,0)</f>
        <v>375181892149</v>
      </c>
      <c r="C364" s="6" t="s">
        <v>303</v>
      </c>
      <c r="D364" s="6" t="s">
        <v>203</v>
      </c>
      <c r="E364" s="6" t="s">
        <v>9</v>
      </c>
      <c r="F364" s="8">
        <f>VLOOKUP(A364,Tutors!C:D,2,0)</f>
        <v>2347</v>
      </c>
      <c r="G364" s="8" t="str">
        <f>VLOOKUP(A364,Tutors!C:E,3,0)</f>
        <v>EG07-EG08-EG09</v>
      </c>
      <c r="H364" s="8" t="str">
        <f>VLOOKUP(A364,Tutors!A:F,6,0)</f>
        <v>mohamedfawzyabdelrady@gmail.com</v>
      </c>
      <c r="I364" s="8" t="str">
        <f>VLOOKUP(A364,Tutors!C:G,5,0)</f>
        <v>01033733035</v>
      </c>
      <c r="J364" s="8">
        <f>COUNTIFS(Active!C:C,A364)</f>
        <v>1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" t="s">
        <v>393</v>
      </c>
      <c r="B365" s="7">
        <f>VLOOKUP(A365,Tutors!A:B,2,0)</f>
        <v>835129836321</v>
      </c>
      <c r="C365" s="6" t="s">
        <v>303</v>
      </c>
      <c r="D365" s="6" t="s">
        <v>203</v>
      </c>
      <c r="E365" s="6" t="s">
        <v>9</v>
      </c>
      <c r="F365" s="9" t="str">
        <f>VLOOKUP(A365,Tutors!C:D,2,0)</f>
        <v>2250</v>
      </c>
      <c r="G365" s="8" t="str">
        <f>VLOOKUP(A365,Tutors!C:E,3,0)</f>
        <v>EG07-EG08-EG09</v>
      </c>
      <c r="H365" s="8" t="str">
        <f>VLOOKUP(A365,Tutors!A:F,6,0)</f>
        <v>ahmeeddsayedd@gmail.com</v>
      </c>
      <c r="I365" s="8" t="str">
        <f>VLOOKUP(A365,Tutors!C:G,5,0)</f>
        <v>01115362496</v>
      </c>
      <c r="J365" s="8">
        <f>COUNTIFS(Active!C:C,A365)</f>
        <v>1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" t="s">
        <v>394</v>
      </c>
      <c r="B366" s="7">
        <f>VLOOKUP(A366,Tutors!A:B,2,0)</f>
        <v>498171430513</v>
      </c>
      <c r="C366" s="6" t="s">
        <v>303</v>
      </c>
      <c r="D366" s="6" t="s">
        <v>203</v>
      </c>
      <c r="E366" s="6" t="s">
        <v>13</v>
      </c>
      <c r="F366" s="8">
        <f>VLOOKUP(A366,Tutors!C:D,2,0)</f>
        <v>2349</v>
      </c>
      <c r="G366" s="8" t="str">
        <f>VLOOKUP(A366,Tutors!C:E,3,0)</f>
        <v>EG04-EG05-EG06-EG07-EG08</v>
      </c>
      <c r="H366" s="8" t="str">
        <f>VLOOKUP(A366,Tutors!A:F,6,0)</f>
        <v>abdelrahmanfathi003@gmail.com</v>
      </c>
      <c r="I366" s="8" t="str">
        <f>VLOOKUP(A366,Tutors!C:G,5,0)</f>
        <v>01028192743</v>
      </c>
      <c r="J366" s="8">
        <f>COUNTIFS(Active!C:C,A366)</f>
        <v>0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" t="s">
        <v>395</v>
      </c>
      <c r="B367" s="7">
        <f>VLOOKUP(A367,Tutors!A:B,2,0)</f>
        <v>819179164789</v>
      </c>
      <c r="C367" s="6" t="s">
        <v>303</v>
      </c>
      <c r="D367" s="6" t="s">
        <v>203</v>
      </c>
      <c r="E367" s="6" t="s">
        <v>9</v>
      </c>
      <c r="F367" s="8">
        <f>VLOOKUP(A367,Tutors!C:D,2,0)</f>
        <v>2527</v>
      </c>
      <c r="G367" s="8" t="str">
        <f>VLOOKUP(A367,Tutors!C:E,3,0)</f>
        <v>EG07-EG08-EG09</v>
      </c>
      <c r="H367" s="8" t="str">
        <f>VLOOKUP(A367,Tutors!A:F,6,0)</f>
        <v>bsamy3661@gmail.com</v>
      </c>
      <c r="I367" s="8" t="str">
        <f>VLOOKUP(A367,Tutors!C:G,5,0)</f>
        <v>01022651019</v>
      </c>
      <c r="J367" s="8">
        <f>COUNTIFS(Active!C:C,A367)</f>
        <v>1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" t="s">
        <v>396</v>
      </c>
      <c r="B368" s="7">
        <f>VLOOKUP(A368,Tutors!A:B,2,0)</f>
        <v>605108626197</v>
      </c>
      <c r="C368" s="6" t="s">
        <v>303</v>
      </c>
      <c r="D368" s="6" t="s">
        <v>203</v>
      </c>
      <c r="E368" s="6" t="s">
        <v>9</v>
      </c>
      <c r="F368" s="8">
        <f>VLOOKUP(A368,Tutors!C:D,2,0)</f>
        <v>2555</v>
      </c>
      <c r="G368" s="8" t="str">
        <f>VLOOKUP(A368,Tutors!C:E,3,0)</f>
        <v>EG08-EG09</v>
      </c>
      <c r="H368" s="8" t="str">
        <f>VLOOKUP(A368,Tutors!A:F,6,0)</f>
        <v>nehadyousry1984@gmail.com</v>
      </c>
      <c r="I368" s="8" t="str">
        <f>VLOOKUP(A368,Tutors!C:G,5,0)</f>
        <v>01221944623</v>
      </c>
      <c r="J368" s="8">
        <f>COUNTIFS(Active!C:C,A368)</f>
        <v>1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" t="s">
        <v>397</v>
      </c>
      <c r="B369" s="7">
        <f>VLOOKUP(A369,Tutors!A:B,2,0)</f>
        <v>678162816468</v>
      </c>
      <c r="C369" s="6" t="s">
        <v>303</v>
      </c>
      <c r="D369" s="6" t="s">
        <v>203</v>
      </c>
      <c r="E369" s="6" t="s">
        <v>9</v>
      </c>
      <c r="F369" s="8">
        <f>VLOOKUP(A369,Tutors!C:D,2,0)</f>
        <v>2579</v>
      </c>
      <c r="G369" s="8" t="str">
        <f>VLOOKUP(A369,Tutors!C:E,3,0)</f>
        <v>EG07-EG08-EG09</v>
      </c>
      <c r="H369" s="8" t="str">
        <f>VLOOKUP(A369,Tutors!A:F,6,0)</f>
        <v>mr_ahmedhosni@yahoo.com</v>
      </c>
      <c r="I369" s="8" t="str">
        <f>VLOOKUP(A369,Tutors!C:G,5,0)</f>
        <v>01000120625</v>
      </c>
      <c r="J369" s="8">
        <f>COUNTIFS(Active!C:C,A369)</f>
        <v>1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" t="s">
        <v>398</v>
      </c>
      <c r="B370" s="7">
        <f>VLOOKUP(A370,Tutors!A:B,2,0)</f>
        <v>519197286720</v>
      </c>
      <c r="C370" s="6" t="s">
        <v>303</v>
      </c>
      <c r="D370" s="6" t="s">
        <v>203</v>
      </c>
      <c r="E370" s="10" t="s">
        <v>9</v>
      </c>
      <c r="F370" s="8">
        <f>VLOOKUP(A370,Tutors!C:D,2,0)</f>
        <v>2694</v>
      </c>
      <c r="G370" s="8" t="str">
        <f>VLOOKUP(A370,Tutors!C:E,3,0)</f>
        <v>EG07-EG08-EG09</v>
      </c>
      <c r="H370" s="8" t="str">
        <f>VLOOKUP(A370,Tutors!A:F,6,0)</f>
        <v>abdallah.mahran124@gmail.com</v>
      </c>
      <c r="I370" s="8" t="str">
        <f>VLOOKUP(A370,Tutors!C:G,5,0)</f>
        <v>01004189352</v>
      </c>
      <c r="J370" s="8">
        <f>COUNTIFS(Active!C:C,A370)</f>
        <v>1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" t="s">
        <v>399</v>
      </c>
      <c r="B371" s="7">
        <f>VLOOKUP(A371,Tutors!A:B,2,0)</f>
        <v>845178158571</v>
      </c>
      <c r="C371" s="6" t="s">
        <v>303</v>
      </c>
      <c r="D371" s="6" t="s">
        <v>203</v>
      </c>
      <c r="E371" s="6" t="s">
        <v>9</v>
      </c>
      <c r="F371" s="8">
        <f>VLOOKUP(A371,Tutors!C:D,2,0)</f>
        <v>2766</v>
      </c>
      <c r="G371" s="8" t="str">
        <f>VLOOKUP(A371,Tutors!C:E,3,0)</f>
        <v>EG04-EG05-EG06-EG07-EG08-EG09</v>
      </c>
      <c r="H371" s="8" t="str">
        <f>VLOOKUP(A371,Tutors!A:F,6,0)</f>
        <v>mohamadatheer1@gmail.com</v>
      </c>
      <c r="I371" s="8" t="str">
        <f>VLOOKUP(A371,Tutors!C:G,5,0)</f>
        <v>01282290201</v>
      </c>
      <c r="J371" s="8">
        <f>COUNTIFS(Active!C:C,A371)</f>
        <v>1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" t="s">
        <v>400</v>
      </c>
      <c r="B372" s="7">
        <f>VLOOKUP(A372,Tutors!A:B,2,0)</f>
        <v>765142805403</v>
      </c>
      <c r="C372" s="6" t="s">
        <v>303</v>
      </c>
      <c r="D372" s="6" t="s">
        <v>203</v>
      </c>
      <c r="E372" s="6" t="s">
        <v>13</v>
      </c>
      <c r="F372" s="8">
        <f>VLOOKUP(A372,Tutors!C:D,2,0)</f>
        <v>2777</v>
      </c>
      <c r="G372" s="8" t="str">
        <f>VLOOKUP(A372,Tutors!C:E,3,0)</f>
        <v>EG07-EG08-EG09</v>
      </c>
      <c r="H372" s="8" t="str">
        <f>VLOOKUP(A372,Tutors!A:F,6,0)</f>
        <v>ahmedfalokas99@gmail.com</v>
      </c>
      <c r="I372" s="8" t="str">
        <f>VLOOKUP(A372,Tutors!C:G,5,0)</f>
        <v>01125530074</v>
      </c>
      <c r="J372" s="8">
        <f>COUNTIFS(Active!C:C,A372)</f>
        <v>0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" t="s">
        <v>401</v>
      </c>
      <c r="B373" s="7">
        <f>VLOOKUP(A373,Tutors!A:B,2,0)</f>
        <v>257141843453</v>
      </c>
      <c r="C373" s="6" t="s">
        <v>303</v>
      </c>
      <c r="D373" s="6" t="s">
        <v>203</v>
      </c>
      <c r="E373" s="10" t="s">
        <v>9</v>
      </c>
      <c r="F373" s="8">
        <f>VLOOKUP(A373,Tutors!C:D,2,0)</f>
        <v>2782</v>
      </c>
      <c r="G373" s="8" t="str">
        <f>VLOOKUP(A373,Tutors!C:E,3,0)</f>
        <v>EG04-EG05-EG06-EG07-EG08-EG09</v>
      </c>
      <c r="H373" s="8" t="str">
        <f>VLOOKUP(A373,Tutors!A:F,6,0)</f>
        <v>me3350047@gmail.com</v>
      </c>
      <c r="I373" s="8" t="str">
        <f>VLOOKUP(A373,Tutors!C:G,5,0)</f>
        <v/>
      </c>
      <c r="J373" s="8">
        <f>COUNTIFS(Active!C:C,A373)</f>
        <v>1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" t="s">
        <v>402</v>
      </c>
      <c r="B374" s="7">
        <f>VLOOKUP(A374,Tutors!A:B,2,0)</f>
        <v>730148062985</v>
      </c>
      <c r="C374" s="6" t="s">
        <v>303</v>
      </c>
      <c r="D374" s="6" t="s">
        <v>203</v>
      </c>
      <c r="E374" s="6" t="s">
        <v>9</v>
      </c>
      <c r="F374" s="8">
        <f>VLOOKUP(A374,Tutors!C:D,2,0)</f>
        <v>2692</v>
      </c>
      <c r="G374" s="8" t="str">
        <f>VLOOKUP(A374,Tutors!C:E,3,0)</f>
        <v>EG07-EG08-EG09</v>
      </c>
      <c r="H374" s="8" t="str">
        <f>VLOOKUP(A374,Tutors!A:F,6,0)</f>
        <v>mohamedsaid6622@gmail.com</v>
      </c>
      <c r="I374" s="8" t="str">
        <f>VLOOKUP(A374,Tutors!C:G,5,0)</f>
        <v/>
      </c>
      <c r="J374" s="8">
        <f>COUNTIFS(Active!C:C,A374)</f>
        <v>1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" t="s">
        <v>403</v>
      </c>
      <c r="B375" s="7">
        <f>VLOOKUP(A375,Tutors!A:B,2,0)</f>
        <v>105170539032</v>
      </c>
      <c r="C375" s="6" t="s">
        <v>303</v>
      </c>
      <c r="D375" s="6" t="s">
        <v>203</v>
      </c>
      <c r="E375" s="6" t="s">
        <v>13</v>
      </c>
      <c r="F375" s="8">
        <f>VLOOKUP(A375,Tutors!C:D,2,0)</f>
        <v>2734</v>
      </c>
      <c r="G375" s="8" t="str">
        <f>VLOOKUP(A375,Tutors!C:E,3,0)</f>
        <v>EG07-EG08-EG09</v>
      </c>
      <c r="H375" s="8" t="str">
        <f>VLOOKUP(A375,Tutors!A:F,6,0)</f>
        <v>michael.emil306@gmail.com</v>
      </c>
      <c r="I375" s="8" t="str">
        <f>VLOOKUP(A375,Tutors!C:G,5,0)</f>
        <v/>
      </c>
      <c r="J375" s="8">
        <f>COUNTIFS(Active!C:C,A375)</f>
        <v>0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" t="s">
        <v>404</v>
      </c>
      <c r="B376" s="7">
        <f>VLOOKUP(A376,Tutors!A:B,2,0)</f>
        <v>537125814019</v>
      </c>
      <c r="C376" s="6" t="s">
        <v>303</v>
      </c>
      <c r="D376" s="6" t="s">
        <v>63</v>
      </c>
      <c r="E376" s="6" t="s">
        <v>9</v>
      </c>
      <c r="F376" s="9" t="str">
        <f>VLOOKUP(A376,Tutors!C:D,2,0)</f>
        <v>1899</v>
      </c>
      <c r="G376" s="8" t="str">
        <f>VLOOKUP(A376,Tutors!C:E,3,0)</f>
        <v/>
      </c>
      <c r="H376" s="8" t="str">
        <f>VLOOKUP(A376,Tutors!A:F,6,0)</f>
        <v>i.aboserie@gmail.com</v>
      </c>
      <c r="I376" s="8" t="str">
        <f>VLOOKUP(A376,Tutors!C:G,5,0)</f>
        <v>01226531038</v>
      </c>
      <c r="J376" s="8">
        <f>COUNTIFS(Active!C:C,A376)</f>
        <v>1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" t="s">
        <v>405</v>
      </c>
      <c r="B377" s="7">
        <f>VLOOKUP(A377,Tutors!A:B,2,0)</f>
        <v>609123972619</v>
      </c>
      <c r="C377" s="6" t="s">
        <v>303</v>
      </c>
      <c r="D377" s="6" t="s">
        <v>63</v>
      </c>
      <c r="E377" s="6" t="s">
        <v>9</v>
      </c>
      <c r="F377" s="9" t="str">
        <f>VLOOKUP(A377,Tutors!C:D,2,0)</f>
        <v>1944</v>
      </c>
      <c r="G377" s="8" t="str">
        <f>VLOOKUP(A377,Tutors!C:E,3,0)</f>
        <v/>
      </c>
      <c r="H377" s="8" t="str">
        <f>VLOOKUP(A377,Tutors!A:F,6,0)</f>
        <v>aly121981@gmail.com</v>
      </c>
      <c r="I377" s="8" t="str">
        <f>VLOOKUP(A377,Tutors!C:G,5,0)</f>
        <v>01026870040</v>
      </c>
      <c r="J377" s="8">
        <f>COUNTIFS(Active!C:C,A377)</f>
        <v>1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" t="s">
        <v>406</v>
      </c>
      <c r="B378" s="7">
        <f>VLOOKUP(A378,Tutors!A:B,2,0)</f>
        <v>439197564751</v>
      </c>
      <c r="C378" s="6" t="s">
        <v>303</v>
      </c>
      <c r="D378" s="6" t="s">
        <v>63</v>
      </c>
      <c r="E378" s="6" t="s">
        <v>9</v>
      </c>
      <c r="F378" s="9" t="str">
        <f>VLOOKUP(A378,Tutors!C:D,2,0)</f>
        <v>1957</v>
      </c>
      <c r="G378" s="8" t="str">
        <f>VLOOKUP(A378,Tutors!C:E,3,0)</f>
        <v/>
      </c>
      <c r="H378" s="8" t="str">
        <f>VLOOKUP(A378,Tutors!A:F,6,0)</f>
        <v>morsykhaledmorsy@outlook.com</v>
      </c>
      <c r="I378" s="8" t="str">
        <f>VLOOKUP(A378,Tutors!C:G,5,0)</f>
        <v>01555050003</v>
      </c>
      <c r="J378" s="8">
        <f>COUNTIFS(Active!C:C,A378)</f>
        <v>1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" t="s">
        <v>407</v>
      </c>
      <c r="B379" s="7">
        <f>VLOOKUP(A379,Tutors!A:B,2,0)</f>
        <v>510130705852</v>
      </c>
      <c r="C379" s="6" t="s">
        <v>303</v>
      </c>
      <c r="D379" s="6" t="s">
        <v>63</v>
      </c>
      <c r="E379" s="6" t="s">
        <v>9</v>
      </c>
      <c r="F379" s="9" t="str">
        <f>VLOOKUP(A379,Tutors!C:D,2,0)</f>
        <v>1966</v>
      </c>
      <c r="G379" s="8" t="str">
        <f>VLOOKUP(A379,Tutors!C:E,3,0)</f>
        <v/>
      </c>
      <c r="H379" s="8" t="str">
        <f>VLOOKUP(A379,Tutors!A:F,6,0)</f>
        <v>emanfayezkhalil@gmail.com</v>
      </c>
      <c r="I379" s="8" t="str">
        <f>VLOOKUP(A379,Tutors!C:G,5,0)</f>
        <v>01220761144</v>
      </c>
      <c r="J379" s="8">
        <f>COUNTIFS(Active!C:C,A379)</f>
        <v>1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" t="s">
        <v>408</v>
      </c>
      <c r="B380" s="7">
        <f>VLOOKUP(A380,Tutors!A:B,2,0)</f>
        <v>328148357020</v>
      </c>
      <c r="C380" s="6" t="s">
        <v>303</v>
      </c>
      <c r="D380" s="6" t="s">
        <v>63</v>
      </c>
      <c r="E380" s="6" t="s">
        <v>9</v>
      </c>
      <c r="F380" s="9" t="str">
        <f>VLOOKUP(A380,Tutors!C:D,2,0)</f>
        <v>1998</v>
      </c>
      <c r="G380" s="8" t="str">
        <f>VLOOKUP(A380,Tutors!C:E,3,0)</f>
        <v/>
      </c>
      <c r="H380" s="8" t="str">
        <f>VLOOKUP(A380,Tutors!A:F,6,0)</f>
        <v>maigamalhassan@gmail.com</v>
      </c>
      <c r="I380" s="8" t="str">
        <f>VLOOKUP(A380,Tutors!C:G,5,0)</f>
        <v>01095502036</v>
      </c>
      <c r="J380" s="8">
        <f>COUNTIFS(Active!C:C,A380)</f>
        <v>1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" t="s">
        <v>409</v>
      </c>
      <c r="B381" s="7">
        <f>VLOOKUP(A381,Tutors!A:B,2,0)</f>
        <v>785152928659</v>
      </c>
      <c r="C381" s="6" t="s">
        <v>303</v>
      </c>
      <c r="D381" s="6" t="s">
        <v>63</v>
      </c>
      <c r="E381" s="6" t="s">
        <v>9</v>
      </c>
      <c r="F381" s="9" t="str">
        <f>VLOOKUP(A381,Tutors!C:D,2,0)</f>
        <v>2039</v>
      </c>
      <c r="G381" s="8" t="str">
        <f>VLOOKUP(A381,Tutors!C:E,3,0)</f>
        <v/>
      </c>
      <c r="H381" s="8" t="str">
        <f>VLOOKUP(A381,Tutors!A:F,6,0)</f>
        <v>remonseha009@gmail.com</v>
      </c>
      <c r="I381" s="8" t="str">
        <f>VLOOKUP(A381,Tutors!C:G,5,0)</f>
        <v>01010341068</v>
      </c>
      <c r="J381" s="8">
        <f>COUNTIFS(Active!C:C,A381)</f>
        <v>1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" t="s">
        <v>410</v>
      </c>
      <c r="B382" s="7">
        <f>VLOOKUP(A382,Tutors!A:B,2,0)</f>
        <v>412128504012</v>
      </c>
      <c r="C382" s="6" t="s">
        <v>303</v>
      </c>
      <c r="D382" s="6" t="s">
        <v>63</v>
      </c>
      <c r="E382" s="6" t="s">
        <v>9</v>
      </c>
      <c r="F382" s="9" t="str">
        <f>VLOOKUP(A382,Tutors!C:D,2,0)</f>
        <v>2261</v>
      </c>
      <c r="G382" s="8" t="str">
        <f>VLOOKUP(A382,Tutors!C:E,3,0)</f>
        <v/>
      </c>
      <c r="H382" s="8" t="str">
        <f>VLOOKUP(A382,Tutors!A:F,6,0)</f>
        <v>jo4391170@gmail.com</v>
      </c>
      <c r="I382" s="8" t="str">
        <f>VLOOKUP(A382,Tutors!C:G,5,0)</f>
        <v/>
      </c>
      <c r="J382" s="8">
        <f>COUNTIFS(Active!C:C,A382)</f>
        <v>1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" t="s">
        <v>411</v>
      </c>
      <c r="B383" s="7">
        <f>VLOOKUP(A383,Tutors!A:B,2,0)</f>
        <v>725137150313</v>
      </c>
      <c r="C383" s="6" t="s">
        <v>303</v>
      </c>
      <c r="D383" s="6" t="s">
        <v>63</v>
      </c>
      <c r="E383" s="10" t="s">
        <v>9</v>
      </c>
      <c r="F383" s="8">
        <f>VLOOKUP(A383,Tutors!C:D,2,0)</f>
        <v>2536</v>
      </c>
      <c r="G383" s="8" t="str">
        <f>VLOOKUP(A383,Tutors!C:E,3,0)</f>
        <v>EG10-EG11-EG12</v>
      </c>
      <c r="H383" s="8" t="str">
        <f>VLOOKUP(A383,Tutors!A:F,6,0)</f>
        <v>mr.mostafayousef77@gmail.com</v>
      </c>
      <c r="I383" s="8" t="str">
        <f>VLOOKUP(A383,Tutors!C:G,5,0)</f>
        <v>01007377906</v>
      </c>
      <c r="J383" s="8">
        <f>COUNTIFS(Active!C:C,A383)</f>
        <v>1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" t="s">
        <v>412</v>
      </c>
      <c r="B384" s="7">
        <f>VLOOKUP(A384,Tutors!A:B,2,0)</f>
        <v>950163761784</v>
      </c>
      <c r="C384" s="6" t="s">
        <v>303</v>
      </c>
      <c r="D384" s="6" t="s">
        <v>63</v>
      </c>
      <c r="E384" s="10" t="s">
        <v>9</v>
      </c>
      <c r="F384" s="8">
        <f>VLOOKUP(A384,Tutors!C:D,2,0)</f>
        <v>2407</v>
      </c>
      <c r="G384" s="8" t="str">
        <f>VLOOKUP(A384,Tutors!C:E,3,0)</f>
        <v>EG07-EG08-EG09</v>
      </c>
      <c r="H384" s="8" t="str">
        <f>VLOOKUP(A384,Tutors!A:F,6,0)</f>
        <v>shawky.m1749501@gmail.com</v>
      </c>
      <c r="I384" s="8" t="str">
        <f>VLOOKUP(A384,Tutors!C:G,5,0)</f>
        <v>01228870591</v>
      </c>
      <c r="J384" s="8">
        <f>COUNTIFS(Active!C:C,A384)</f>
        <v>1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" t="s">
        <v>413</v>
      </c>
      <c r="B385" s="7">
        <f>VLOOKUP(A385,Tutors!A:B,2,0)</f>
        <v>429170348610</v>
      </c>
      <c r="C385" s="6" t="s">
        <v>303</v>
      </c>
      <c r="D385" s="6" t="s">
        <v>63</v>
      </c>
      <c r="E385" s="6" t="s">
        <v>9</v>
      </c>
      <c r="F385" s="8">
        <f>VLOOKUP(A385,Tutors!C:D,2,0)</f>
        <v>2402</v>
      </c>
      <c r="G385" s="8" t="str">
        <f>VLOOKUP(A385,Tutors!C:E,3,0)</f>
        <v>EG07-EG08-EG09</v>
      </c>
      <c r="H385" s="8" t="str">
        <f>VLOOKUP(A385,Tutors!A:F,6,0)</f>
        <v>ibrahimmorgan24@gmail.com</v>
      </c>
      <c r="I385" s="8" t="str">
        <f>VLOOKUP(A385,Tutors!C:G,5,0)</f>
        <v>01062805362</v>
      </c>
      <c r="J385" s="8">
        <f>COUNTIFS(Active!C:C,A385)</f>
        <v>1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" t="s">
        <v>414</v>
      </c>
      <c r="B386" s="7">
        <f>VLOOKUP(A386,Tutors!A:B,2,0)</f>
        <v>589184652592</v>
      </c>
      <c r="C386" s="6" t="s">
        <v>303</v>
      </c>
      <c r="D386" s="6" t="s">
        <v>63</v>
      </c>
      <c r="E386" s="10" t="s">
        <v>9</v>
      </c>
      <c r="F386" s="8">
        <f>VLOOKUP(A386,Tutors!C:D,2,0)</f>
        <v>2592</v>
      </c>
      <c r="G386" s="8" t="str">
        <f>VLOOKUP(A386,Tutors!C:E,3,0)</f>
        <v>EG07-EG08-EG09</v>
      </c>
      <c r="H386" s="8" t="str">
        <f>VLOOKUP(A386,Tutors!A:F,6,0)</f>
        <v>mohmednbih2019@gmail.com</v>
      </c>
      <c r="I386" s="8" t="str">
        <f>VLOOKUP(A386,Tutors!C:G,5,0)</f>
        <v>01003911095</v>
      </c>
      <c r="J386" s="8">
        <f>COUNTIFS(Active!C:C,A386)</f>
        <v>1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" t="s">
        <v>415</v>
      </c>
      <c r="B387" s="7">
        <f>VLOOKUP(A387,Tutors!A:B,2,0)</f>
        <v>282156737906</v>
      </c>
      <c r="C387" s="6" t="s">
        <v>303</v>
      </c>
      <c r="D387" s="6" t="s">
        <v>63</v>
      </c>
      <c r="E387" s="6" t="s">
        <v>9</v>
      </c>
      <c r="F387" s="8">
        <f>VLOOKUP(A387,Tutors!C:D,2,0)</f>
        <v>2635</v>
      </c>
      <c r="G387" s="8" t="str">
        <f>VLOOKUP(A387,Tutors!C:E,3,0)</f>
        <v>EG07-EG08-EG09-EG10-EG11-EG12</v>
      </c>
      <c r="H387" s="8" t="str">
        <f>VLOOKUP(A387,Tutors!A:F,6,0)</f>
        <v>saedmansut@gmail.com</v>
      </c>
      <c r="I387" s="8" t="str">
        <f>VLOOKUP(A387,Tutors!C:G,5,0)</f>
        <v>01018846462</v>
      </c>
      <c r="J387" s="8">
        <f>COUNTIFS(Active!C:C,A387)</f>
        <v>1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" t="s">
        <v>416</v>
      </c>
      <c r="B388" s="7">
        <f>VLOOKUP(A388,Tutors!A:B,2,0)</f>
        <v>248148530686</v>
      </c>
      <c r="C388" s="6" t="s">
        <v>303</v>
      </c>
      <c r="D388" s="6" t="s">
        <v>63</v>
      </c>
      <c r="E388" s="6" t="s">
        <v>13</v>
      </c>
      <c r="F388" s="8">
        <f>VLOOKUP(A388,Tutors!C:D,2,0)</f>
        <v>2645</v>
      </c>
      <c r="G388" s="8" t="str">
        <f>VLOOKUP(A388,Tutors!C:E,3,0)</f>
        <v>EG07-EG08-EG09</v>
      </c>
      <c r="H388" s="8" t="str">
        <f>VLOOKUP(A388,Tutors!A:F,6,0)</f>
        <v>jihadgag@gmail.com</v>
      </c>
      <c r="I388" s="8">
        <f>VLOOKUP(A388,Tutors!C:G,5,0)</f>
        <v>1020719300</v>
      </c>
      <c r="J388" s="8">
        <f>COUNTIFS(Active!C:C,A388)</f>
        <v>0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" t="s">
        <v>417</v>
      </c>
      <c r="B389" s="7">
        <f>VLOOKUP(A389,Tutors!A:B,2,0)</f>
        <v>790141820907</v>
      </c>
      <c r="C389" s="6" t="s">
        <v>303</v>
      </c>
      <c r="D389" s="6" t="s">
        <v>63</v>
      </c>
      <c r="E389" s="6" t="s">
        <v>13</v>
      </c>
      <c r="F389" s="8">
        <f>VLOOKUP(A389,Tutors!C:D,2,0)</f>
        <v>2747</v>
      </c>
      <c r="G389" s="8" t="str">
        <f>VLOOKUP(A389,Tutors!C:E,3,0)</f>
        <v>EG07-EG08-EG09</v>
      </c>
      <c r="H389" s="8" t="str">
        <f>VLOOKUP(A389,Tutors!A:F,6,0)</f>
        <v>weyso2030@gmail.com</v>
      </c>
      <c r="I389" s="8" t="str">
        <f>VLOOKUP(A389,Tutors!C:G,5,0)</f>
        <v/>
      </c>
      <c r="J389" s="8">
        <f>COUNTIFS(Active!C:C,A389)</f>
        <v>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" t="s">
        <v>418</v>
      </c>
      <c r="B390" s="7">
        <f>VLOOKUP(A390,Tutors!A:B,2,0)</f>
        <v>279170497570</v>
      </c>
      <c r="C390" s="6" t="s">
        <v>303</v>
      </c>
      <c r="D390" s="6" t="s">
        <v>250</v>
      </c>
      <c r="E390" s="6" t="s">
        <v>13</v>
      </c>
      <c r="F390" s="9" t="str">
        <f>VLOOKUP(A390,Tutors!C:D,2,0)</f>
        <v>1243</v>
      </c>
      <c r="G390" s="8" t="str">
        <f>VLOOKUP(A390,Tutors!C:E,3,0)</f>
        <v>EG04-EG05-EG06-G7-جيولوجيا EG12</v>
      </c>
      <c r="H390" s="8" t="str">
        <f>VLOOKUP(A390,Tutors!A:F,6,0)</f>
        <v>mahmoud.aboelmagd@nagwa.com</v>
      </c>
      <c r="I390" s="8" t="str">
        <f>VLOOKUP(A390,Tutors!C:G,5,0)</f>
        <v/>
      </c>
      <c r="J390" s="8">
        <f>COUNTIFS(Active!C:C,A390)</f>
        <v>0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" t="s">
        <v>419</v>
      </c>
      <c r="B391" s="7">
        <f>VLOOKUP(A391,Tutors!A:B,2,0)</f>
        <v>818193063651</v>
      </c>
      <c r="C391" s="6" t="s">
        <v>303</v>
      </c>
      <c r="D391" s="6" t="s">
        <v>250</v>
      </c>
      <c r="E391" s="6" t="s">
        <v>9</v>
      </c>
      <c r="F391" s="9" t="str">
        <f>VLOOKUP(A391,Tutors!C:D,2,0)</f>
        <v>1898</v>
      </c>
      <c r="G391" s="8" t="str">
        <f>VLOOKUP(A391,Tutors!C:E,3,0)</f>
        <v>EG07-EG08-EG09</v>
      </c>
      <c r="H391" s="8" t="str">
        <f>VLOOKUP(A391,Tutors!A:F,6,0)</f>
        <v>saraabualm2121@gmail.com</v>
      </c>
      <c r="I391" s="8">
        <f>VLOOKUP(A391,Tutors!C:G,5,0)</f>
        <v>1124777848</v>
      </c>
      <c r="J391" s="8">
        <f>COUNTIFS(Active!C:C,A391)</f>
        <v>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" t="s">
        <v>420</v>
      </c>
      <c r="B392" s="7">
        <f>VLOOKUP(A392,Tutors!A:B,2,0)</f>
        <v>545169685360</v>
      </c>
      <c r="C392" s="6" t="s">
        <v>303</v>
      </c>
      <c r="D392" s="6" t="s">
        <v>250</v>
      </c>
      <c r="E392" s="6" t="s">
        <v>9</v>
      </c>
      <c r="F392" s="9" t="str">
        <f>VLOOKUP(A392,Tutors!C:D,2,0)</f>
        <v>1916</v>
      </c>
      <c r="G392" s="8" t="str">
        <f>VLOOKUP(A392,Tutors!C:E,3,0)</f>
        <v>EG07-EG08-EG09-EG10</v>
      </c>
      <c r="H392" s="8" t="str">
        <f>VLOOKUP(A392,Tutors!A:F,6,0)</f>
        <v>ahmedabdelrazakmail@gmail.com</v>
      </c>
      <c r="I392" s="8" t="str">
        <f>VLOOKUP(A392,Tutors!C:G,5,0)</f>
        <v>01144483106</v>
      </c>
      <c r="J392" s="8">
        <f>COUNTIFS(Active!C:C,A392)</f>
        <v>1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" t="s">
        <v>421</v>
      </c>
      <c r="B393" s="7">
        <f>VLOOKUP(A393,Tutors!A:B,2,0)</f>
        <v>876106203518</v>
      </c>
      <c r="C393" s="6" t="s">
        <v>303</v>
      </c>
      <c r="D393" s="6" t="s">
        <v>250</v>
      </c>
      <c r="E393" s="6" t="s">
        <v>9</v>
      </c>
      <c r="F393" s="9" t="str">
        <f>VLOOKUP(A393,Tutors!C:D,2,0)</f>
        <v>1982</v>
      </c>
      <c r="G393" s="8" t="str">
        <f>VLOOKUP(A393,Tutors!C:E,3,0)</f>
        <v>EG04-EG05-EG06-EG07-EG08</v>
      </c>
      <c r="H393" s="8" t="str">
        <f>VLOOKUP(A393,Tutors!A:F,6,0)</f>
        <v>shereenhelmy710@gmail.com</v>
      </c>
      <c r="I393" s="8" t="str">
        <f>VLOOKUP(A393,Tutors!C:G,5,0)</f>
        <v/>
      </c>
      <c r="J393" s="8">
        <f>COUNTIFS(Active!C:C,A393)</f>
        <v>1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" t="s">
        <v>422</v>
      </c>
      <c r="B394" s="7">
        <f>VLOOKUP(A394,Tutors!A:B,2,0)</f>
        <v>175120578185</v>
      </c>
      <c r="C394" s="6" t="s">
        <v>303</v>
      </c>
      <c r="D394" s="6" t="s">
        <v>250</v>
      </c>
      <c r="E394" s="6" t="s">
        <v>9</v>
      </c>
      <c r="F394" s="9" t="str">
        <f>VLOOKUP(A394,Tutors!C:D,2,0)</f>
        <v>2001</v>
      </c>
      <c r="G394" s="8" t="str">
        <f>VLOOKUP(A394,Tutors!C:E,3,0)</f>
        <v>EG07-EG08-EG09</v>
      </c>
      <c r="H394" s="8" t="str">
        <f>VLOOKUP(A394,Tutors!A:F,6,0)</f>
        <v>kamelreda7815@gmail.com</v>
      </c>
      <c r="I394" s="8" t="str">
        <f>VLOOKUP(A394,Tutors!C:G,5,0)</f>
        <v>01009142422</v>
      </c>
      <c r="J394" s="8">
        <f>COUNTIFS(Active!C:C,A394)</f>
        <v>1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" t="s">
        <v>423</v>
      </c>
      <c r="B395" s="7">
        <f>VLOOKUP(A395,Tutors!A:B,2,0)</f>
        <v>848121420401</v>
      </c>
      <c r="C395" s="6" t="s">
        <v>303</v>
      </c>
      <c r="D395" s="6" t="s">
        <v>250</v>
      </c>
      <c r="E395" s="6" t="s">
        <v>9</v>
      </c>
      <c r="F395" s="9" t="str">
        <f>VLOOKUP(A395,Tutors!C:D,2,0)</f>
        <v>2012</v>
      </c>
      <c r="G395" s="8" t="str">
        <f>VLOOKUP(A395,Tutors!C:E,3,0)</f>
        <v>EG07-EG08-EG09</v>
      </c>
      <c r="H395" s="8" t="str">
        <f>VLOOKUP(A395,Tutors!A:F,6,0)</f>
        <v>sorormerona@gmail.com</v>
      </c>
      <c r="I395" s="8" t="str">
        <f>VLOOKUP(A395,Tutors!C:G,5,0)</f>
        <v>01222986055</v>
      </c>
      <c r="J395" s="8">
        <f>COUNTIFS(Active!C:C,A395)</f>
        <v>1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" t="s">
        <v>424</v>
      </c>
      <c r="B396" s="7">
        <f>VLOOKUP(A396,Tutors!A:B,2,0)</f>
        <v>384108435424</v>
      </c>
      <c r="C396" s="6" t="s">
        <v>303</v>
      </c>
      <c r="D396" s="6" t="s">
        <v>250</v>
      </c>
      <c r="E396" s="6" t="s">
        <v>9</v>
      </c>
      <c r="F396" s="9" t="str">
        <f>VLOOKUP(A396,Tutors!C:D,2,0)</f>
        <v>2029</v>
      </c>
      <c r="G396" s="8" t="str">
        <f>VLOOKUP(A396,Tutors!C:E,3,0)</f>
        <v>EG04-EG05-EG06-EG07-EG08-EG09</v>
      </c>
      <c r="H396" s="8" t="str">
        <f>VLOOKUP(A396,Tutors!A:F,6,0)</f>
        <v>cristinagerges44@gmail.com</v>
      </c>
      <c r="I396" s="8" t="str">
        <f>VLOOKUP(A396,Tutors!C:G,5,0)</f>
        <v>01229505808</v>
      </c>
      <c r="J396" s="8">
        <f>COUNTIFS(Active!C:C,A396)</f>
        <v>1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" t="s">
        <v>425</v>
      </c>
      <c r="B397" s="7">
        <f>VLOOKUP(A397,Tutors!A:B,2,0)</f>
        <v>963182417149</v>
      </c>
      <c r="C397" s="6" t="s">
        <v>303</v>
      </c>
      <c r="D397" s="6" t="s">
        <v>250</v>
      </c>
      <c r="E397" s="6" t="s">
        <v>9</v>
      </c>
      <c r="F397" s="9" t="str">
        <f>VLOOKUP(A397,Tutors!C:D,2,0)</f>
        <v>2173</v>
      </c>
      <c r="G397" s="8" t="str">
        <f>VLOOKUP(A397,Tutors!C:E,3,0)</f>
        <v>EG07-EG08-EG09</v>
      </c>
      <c r="H397" s="8" t="str">
        <f>VLOOKUP(A397,Tutors!A:F,6,0)</f>
        <v>daliaaraby810@gmail.com</v>
      </c>
      <c r="I397" s="8" t="str">
        <f>VLOOKUP(A397,Tutors!C:G,5,0)</f>
        <v>01027661151</v>
      </c>
      <c r="J397" s="8">
        <f>COUNTIFS(Active!C:C,A397)</f>
        <v>1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" t="s">
        <v>426</v>
      </c>
      <c r="B398" s="7">
        <f>VLOOKUP(A398,Tutors!A:B,2,0)</f>
        <v>164127957037</v>
      </c>
      <c r="C398" s="6" t="s">
        <v>303</v>
      </c>
      <c r="D398" s="6" t="s">
        <v>250</v>
      </c>
      <c r="E398" s="6" t="s">
        <v>9</v>
      </c>
      <c r="F398" s="9" t="str">
        <f>VLOOKUP(A398,Tutors!C:D,2,0)</f>
        <v>2234</v>
      </c>
      <c r="G398" s="8" t="str">
        <f>VLOOKUP(A398,Tutors!C:E,3,0)</f>
        <v>EG07-EG08-EG09</v>
      </c>
      <c r="H398" s="8" t="str">
        <f>VLOOKUP(A398,Tutors!A:F,6,0)</f>
        <v>mostafa.hero0001@gmail.com</v>
      </c>
      <c r="I398" s="8" t="str">
        <f>VLOOKUP(A398,Tutors!C:G,5,0)</f>
        <v/>
      </c>
      <c r="J398" s="8">
        <f>COUNTIFS(Active!C:C,A398)</f>
        <v>1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" t="s">
        <v>427</v>
      </c>
      <c r="B399" s="7">
        <f>VLOOKUP(A399,Tutors!A:B,2,0)</f>
        <v>360178214932</v>
      </c>
      <c r="C399" s="6" t="s">
        <v>303</v>
      </c>
      <c r="D399" s="6" t="s">
        <v>250</v>
      </c>
      <c r="E399" s="6" t="s">
        <v>9</v>
      </c>
      <c r="F399" s="9" t="str">
        <f>VLOOKUP(A399,Tutors!C:D,2,0)</f>
        <v>2249</v>
      </c>
      <c r="G399" s="8" t="str">
        <f>VLOOKUP(A399,Tutors!C:E,3,0)</f>
        <v>EG04-EG05-EG06-EG07-EG08-EG09</v>
      </c>
      <c r="H399" s="8" t="str">
        <f>VLOOKUP(A399,Tutors!A:F,6,0)</f>
        <v>tamermfadel@gmail.com</v>
      </c>
      <c r="I399" s="8" t="str">
        <f>VLOOKUP(A399,Tutors!C:G,5,0)</f>
        <v>01220629701</v>
      </c>
      <c r="J399" s="8">
        <f>COUNTIFS(Active!C:C,A399)</f>
        <v>1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" t="s">
        <v>428</v>
      </c>
      <c r="B400" s="7">
        <f>VLOOKUP(A400,Tutors!A:B,2,0)</f>
        <v>867198159258</v>
      </c>
      <c r="C400" s="6" t="s">
        <v>303</v>
      </c>
      <c r="D400" s="6" t="s">
        <v>250</v>
      </c>
      <c r="E400" s="6" t="s">
        <v>9</v>
      </c>
      <c r="F400" s="8">
        <f>VLOOKUP(A400,Tutors!C:D,2,0)</f>
        <v>2334</v>
      </c>
      <c r="G400" s="8" t="str">
        <f>VLOOKUP(A400,Tutors!C:E,3,0)</f>
        <v>EG07-EG08-EG09</v>
      </c>
      <c r="H400" s="8" t="str">
        <f>VLOOKUP(A400,Tutors!A:F,6,0)</f>
        <v>doaasawaby4@gmail.com</v>
      </c>
      <c r="I400" s="8" t="str">
        <f>VLOOKUP(A400,Tutors!C:G,5,0)</f>
        <v>01092504801</v>
      </c>
      <c r="J400" s="8">
        <f>COUNTIFS(Active!C:C,A400)</f>
        <v>1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" t="s">
        <v>429</v>
      </c>
      <c r="B401" s="7">
        <f>VLOOKUP(A401,Tutors!A:B,2,0)</f>
        <v>328106361965</v>
      </c>
      <c r="C401" s="6" t="s">
        <v>303</v>
      </c>
      <c r="D401" s="6" t="s">
        <v>250</v>
      </c>
      <c r="E401" s="6" t="s">
        <v>9</v>
      </c>
      <c r="F401" s="8">
        <f>VLOOKUP(A401,Tutors!C:D,2,0)</f>
        <v>2467</v>
      </c>
      <c r="G401" s="8" t="str">
        <f>VLOOKUP(A401,Tutors!C:E,3,0)</f>
        <v>EG07-EG08-EG09</v>
      </c>
      <c r="H401" s="8" t="str">
        <f>VLOOKUP(A401,Tutors!A:F,6,0)</f>
        <v>llnaglaall@gmail.com</v>
      </c>
      <c r="I401" s="8" t="str">
        <f>VLOOKUP(A401,Tutors!C:G,5,0)</f>
        <v>01140851516</v>
      </c>
      <c r="J401" s="8">
        <f>COUNTIFS(Active!C:C,A401)</f>
        <v>1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" t="s">
        <v>430</v>
      </c>
      <c r="B402" s="7">
        <f>VLOOKUP(A402,Tutors!A:B,2,0)</f>
        <v>472132150306</v>
      </c>
      <c r="C402" s="6" t="s">
        <v>303</v>
      </c>
      <c r="D402" s="6" t="s">
        <v>172</v>
      </c>
      <c r="E402" s="10" t="s">
        <v>9</v>
      </c>
      <c r="F402" s="8">
        <f>VLOOKUP(A402,Tutors!C:D,2,0)</f>
        <v>2485</v>
      </c>
      <c r="G402" s="8" t="str">
        <f>VLOOKUP(A402,Tutors!C:E,3,0)</f>
        <v>EG04-EG05-EG06-EG07-EG08-EG09</v>
      </c>
      <c r="H402" s="8" t="str">
        <f>VLOOKUP(A402,Tutors!A:F,6,0)</f>
        <v>dinaadel9623@gmail.com</v>
      </c>
      <c r="I402" s="8" t="str">
        <f>VLOOKUP(A402,Tutors!C:G,5,0)</f>
        <v/>
      </c>
      <c r="J402" s="8">
        <f>COUNTIFS(Active!C:C,A402)</f>
        <v>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" t="s">
        <v>431</v>
      </c>
      <c r="B403" s="7">
        <f>VLOOKUP(A403,Tutors!A:B,2,0)</f>
        <v>903167431715</v>
      </c>
      <c r="C403" s="6" t="s">
        <v>303</v>
      </c>
      <c r="D403" s="6" t="s">
        <v>250</v>
      </c>
      <c r="E403" s="6" t="s">
        <v>9</v>
      </c>
      <c r="F403" s="8">
        <f>VLOOKUP(A403,Tutors!C:D,2,0)</f>
        <v>2618</v>
      </c>
      <c r="G403" s="8" t="str">
        <f>VLOOKUP(A403,Tutors!C:E,3,0)</f>
        <v>EG04-EG05-EG06-EG07-EG08</v>
      </c>
      <c r="H403" s="8" t="str">
        <f>VLOOKUP(A403,Tutors!A:F,6,0)</f>
        <v>nourasultan97@gmail.com</v>
      </c>
      <c r="I403" s="8" t="str">
        <f>VLOOKUP(A403,Tutors!C:G,5,0)</f>
        <v>01025577259</v>
      </c>
      <c r="J403" s="8">
        <f>COUNTIFS(Active!C:C,A403)</f>
        <v>1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" t="s">
        <v>432</v>
      </c>
      <c r="B404" s="7">
        <f>VLOOKUP(A404,Tutors!A:B,2,0)</f>
        <v>236169469685</v>
      </c>
      <c r="C404" s="6" t="s">
        <v>303</v>
      </c>
      <c r="D404" s="6" t="s">
        <v>250</v>
      </c>
      <c r="E404" s="10" t="s">
        <v>9</v>
      </c>
      <c r="F404" s="8">
        <f>VLOOKUP(A404,Tutors!C:D,2,0)</f>
        <v>2625</v>
      </c>
      <c r="G404" s="8" t="str">
        <f>VLOOKUP(A404,Tutors!C:E,3,0)</f>
        <v>EG07-EG08-EG09</v>
      </c>
      <c r="H404" s="8" t="str">
        <f>VLOOKUP(A404,Tutors!A:F,6,0)</f>
        <v>ayman3li077@gmail.com</v>
      </c>
      <c r="I404" s="8" t="str">
        <f>VLOOKUP(A404,Tutors!C:G,5,0)</f>
        <v/>
      </c>
      <c r="J404" s="8">
        <f>COUNTIFS(Active!C:C,A404)</f>
        <v>1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" t="s">
        <v>433</v>
      </c>
      <c r="B405" s="7">
        <f>VLOOKUP(A405,Tutors!A:B,2,0)</f>
        <v>313175709374</v>
      </c>
      <c r="C405" s="6" t="s">
        <v>303</v>
      </c>
      <c r="D405" s="6" t="s">
        <v>250</v>
      </c>
      <c r="E405" s="6" t="s">
        <v>13</v>
      </c>
      <c r="F405" s="8">
        <f>VLOOKUP(A405,Tutors!C:D,2,0)</f>
        <v>2764</v>
      </c>
      <c r="G405" s="8" t="str">
        <f>VLOOKUP(A405,Tutors!C:E,3,0)</f>
        <v>EG07-EG08-EG09</v>
      </c>
      <c r="H405" s="8" t="str">
        <f>VLOOKUP(A405,Tutors!A:F,6,0)</f>
        <v>am4100@fayoum.edu.eg</v>
      </c>
      <c r="I405" s="8" t="str">
        <f>VLOOKUP(A405,Tutors!C:G,5,0)</f>
        <v>01098477286</v>
      </c>
      <c r="J405" s="8">
        <f>COUNTIFS(Active!C:C,A405)</f>
        <v>0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" t="s">
        <v>434</v>
      </c>
      <c r="B406" s="7">
        <f>VLOOKUP(A406,Tutors!A:B,2,0)</f>
        <v>260127872510</v>
      </c>
      <c r="C406" s="6" t="s">
        <v>303</v>
      </c>
      <c r="D406" s="6" t="s">
        <v>250</v>
      </c>
      <c r="E406" s="6" t="s">
        <v>13</v>
      </c>
      <c r="F406" s="8">
        <f>VLOOKUP(A406,Tutors!C:D,2,0)</f>
        <v>2727</v>
      </c>
      <c r="G406" s="8" t="str">
        <f>VLOOKUP(A406,Tutors!C:E,3,0)</f>
        <v>EG07-EG08-EG09</v>
      </c>
      <c r="H406" s="8" t="str">
        <f>VLOOKUP(A406,Tutors!A:F,6,0)</f>
        <v>abdullahelkahlawy@gmail.com</v>
      </c>
      <c r="I406" s="8" t="str">
        <f>VLOOKUP(A406,Tutors!C:G,5,0)</f>
        <v>01227491678</v>
      </c>
      <c r="J406" s="8">
        <f>COUNTIFS(Active!C:C,A406)</f>
        <v>0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" t="s">
        <v>435</v>
      </c>
      <c r="B407" s="7">
        <f>VLOOKUP(A407,Tutors!A:B,2,0)</f>
        <v>158129191683</v>
      </c>
      <c r="C407" s="6" t="s">
        <v>303</v>
      </c>
      <c r="D407" s="6" t="s">
        <v>250</v>
      </c>
      <c r="E407" s="6" t="s">
        <v>13</v>
      </c>
      <c r="F407" s="8">
        <f>VLOOKUP(A407,Tutors!C:D,2,0)</f>
        <v>2696</v>
      </c>
      <c r="G407" s="8" t="str">
        <f>VLOOKUP(A407,Tutors!C:E,3,0)</f>
        <v>EG07-EG08-EG09</v>
      </c>
      <c r="H407" s="8" t="str">
        <f>VLOOKUP(A407,Tutors!A:F,6,0)</f>
        <v>anazoma201088@gmail.com</v>
      </c>
      <c r="I407" s="8" t="str">
        <f>VLOOKUP(A407,Tutors!C:G,5,0)</f>
        <v/>
      </c>
      <c r="J407" s="8">
        <f>COUNTIFS(Active!C:C,A407)</f>
        <v>0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" t="s">
        <v>436</v>
      </c>
      <c r="B408" s="7">
        <f>VLOOKUP(A408,Tutors!A:B,2,0)</f>
        <v>573158956591</v>
      </c>
      <c r="C408" s="6" t="s">
        <v>303</v>
      </c>
      <c r="D408" s="6" t="s">
        <v>250</v>
      </c>
      <c r="E408" s="6" t="s">
        <v>13</v>
      </c>
      <c r="F408" s="8">
        <f>VLOOKUP(A408,Tutors!C:D,2,0)</f>
        <v>2743</v>
      </c>
      <c r="G408" s="8" t="str">
        <f>VLOOKUP(A408,Tutors!C:E,3,0)</f>
        <v>EG07-EG08-EG09</v>
      </c>
      <c r="H408" s="8" t="str">
        <f>VLOOKUP(A408,Tutors!A:F,6,0)</f>
        <v>dr.asemalaraby@gmail.com</v>
      </c>
      <c r="I408" s="8" t="str">
        <f>VLOOKUP(A408,Tutors!C:G,5,0)</f>
        <v>01551479788</v>
      </c>
      <c r="J408" s="8">
        <f>COUNTIFS(Active!C:C,A408)</f>
        <v>0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" t="s">
        <v>437</v>
      </c>
      <c r="B409" s="7">
        <f>VLOOKUP(A409,Tutors!A:B,2,0)</f>
        <v>564139362753</v>
      </c>
      <c r="C409" s="6" t="s">
        <v>303</v>
      </c>
      <c r="D409" s="6" t="s">
        <v>250</v>
      </c>
      <c r="E409" s="6" t="s">
        <v>13</v>
      </c>
      <c r="F409" s="8">
        <f>VLOOKUP(A409,Tutors!C:D,2,0)</f>
        <v>2770</v>
      </c>
      <c r="G409" s="8" t="str">
        <f>VLOOKUP(A409,Tutors!C:E,3,0)</f>
        <v>EG07-EG08-EG09</v>
      </c>
      <c r="H409" s="8" t="str">
        <f>VLOOKUP(A409,Tutors!A:F,6,0)</f>
        <v>ghadasalah990@gmail.com</v>
      </c>
      <c r="I409" s="8" t="str">
        <f>VLOOKUP(A409,Tutors!C:G,5,0)</f>
        <v/>
      </c>
      <c r="J409" s="8">
        <f>COUNTIFS(Active!C:C,A409)</f>
        <v>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" t="s">
        <v>438</v>
      </c>
      <c r="B410" s="7">
        <f>VLOOKUP(A410,Tutors!A:B,2,0)</f>
        <v>834132198971</v>
      </c>
      <c r="C410" s="6" t="s">
        <v>303</v>
      </c>
      <c r="D410" s="6" t="s">
        <v>250</v>
      </c>
      <c r="E410" s="6" t="s">
        <v>13</v>
      </c>
      <c r="F410" s="8">
        <f>VLOOKUP(A410,Tutors!C:D,2,0)</f>
        <v>2764</v>
      </c>
      <c r="G410" s="8" t="str">
        <f>VLOOKUP(A410,Tutors!C:E,3,0)</f>
        <v>EG07-EG08-EG09</v>
      </c>
      <c r="H410" s="8" t="str">
        <f>VLOOKUP(A410,Tutors!A:F,6,0)</f>
        <v>mrsdinaadel@gmail.com</v>
      </c>
      <c r="I410" s="8" t="str">
        <f>VLOOKUP(A410,Tutors!C:G,5,0)</f>
        <v/>
      </c>
      <c r="J410" s="8">
        <f>COUNTIFS(Active!C:C,A410)</f>
        <v>0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" t="s">
        <v>439</v>
      </c>
      <c r="B411" s="7">
        <f>VLOOKUP(A411,Tutors!A:B,2,0)</f>
        <v>275182367207</v>
      </c>
      <c r="C411" s="6" t="s">
        <v>303</v>
      </c>
      <c r="D411" s="6" t="s">
        <v>250</v>
      </c>
      <c r="E411" s="6" t="s">
        <v>13</v>
      </c>
      <c r="F411" s="8">
        <f>VLOOKUP(A411,Tutors!C:D,2,0)</f>
        <v>2756</v>
      </c>
      <c r="G411" s="8" t="str">
        <f>VLOOKUP(A411,Tutors!C:E,3,0)</f>
        <v>EG04-EG05-EG06-EG07-EG08</v>
      </c>
      <c r="H411" s="8" t="str">
        <f>VLOOKUP(A411,Tutors!A:F,6,0)</f>
        <v>nahedelgebaly12345@gmail.com</v>
      </c>
      <c r="I411" s="8" t="str">
        <f>VLOOKUP(A411,Tutors!C:G,5,0)</f>
        <v/>
      </c>
      <c r="J411" s="8">
        <f>COUNTIFS(Active!C:C,A411)</f>
        <v>0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" t="s">
        <v>440</v>
      </c>
      <c r="B412" s="7">
        <f>VLOOKUP(A412,Tutors!A:B,2,0)</f>
        <v>586129524617</v>
      </c>
      <c r="C412" s="6" t="s">
        <v>303</v>
      </c>
      <c r="D412" s="6" t="s">
        <v>250</v>
      </c>
      <c r="E412" s="6" t="s">
        <v>13</v>
      </c>
      <c r="F412" s="8">
        <f>VLOOKUP(A412,Tutors!C:D,2,0)</f>
        <v>2796</v>
      </c>
      <c r="G412" s="8" t="str">
        <f>VLOOKUP(A412,Tutors!C:E,3,0)</f>
        <v>EG07-EG08-EG09</v>
      </c>
      <c r="H412" s="8" t="str">
        <f>VLOOKUP(A412,Tutors!A:F,6,0)</f>
        <v>nourabdelrahman335@gmail.com</v>
      </c>
      <c r="I412" s="8" t="str">
        <f>VLOOKUP(A412,Tutors!C:G,5,0)</f>
        <v>01140943384</v>
      </c>
      <c r="J412" s="8">
        <f>COUNTIFS(Active!C:C,A412)</f>
        <v>0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" t="s">
        <v>441</v>
      </c>
      <c r="B413" s="7">
        <f>VLOOKUP(A413,Tutors!A:B,2,0)</f>
        <v>283104819698</v>
      </c>
      <c r="C413" s="6" t="s">
        <v>303</v>
      </c>
      <c r="D413" s="6" t="s">
        <v>250</v>
      </c>
      <c r="E413" s="6" t="s">
        <v>13</v>
      </c>
      <c r="F413" s="8">
        <f>VLOOKUP(A413,Tutors!C:D,2,0)</f>
        <v>2669</v>
      </c>
      <c r="G413" s="8" t="str">
        <f>VLOOKUP(A413,Tutors!C:E,3,0)</f>
        <v>EG07-EG08-EG09</v>
      </c>
      <c r="H413" s="8" t="str">
        <f>VLOOKUP(A413,Tutors!A:F,6,0)</f>
        <v>tenderrose148@gmail.com</v>
      </c>
      <c r="I413" s="8" t="str">
        <f>VLOOKUP(A413,Tutors!C:G,5,0)</f>
        <v/>
      </c>
      <c r="J413" s="8">
        <f>COUNTIFS(Active!C:C,A413)</f>
        <v>0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" t="s">
        <v>442</v>
      </c>
      <c r="B414" s="7">
        <f>VLOOKUP(A414,Tutors!A:B,2,0)</f>
        <v>206131919704</v>
      </c>
      <c r="C414" s="6" t="s">
        <v>303</v>
      </c>
      <c r="D414" s="6" t="s">
        <v>250</v>
      </c>
      <c r="E414" s="6" t="s">
        <v>9</v>
      </c>
      <c r="F414" s="8">
        <f>VLOOKUP(A414,Tutors!C:D,2,0)</f>
        <v>2736</v>
      </c>
      <c r="G414" s="8" t="str">
        <f>VLOOKUP(A414,Tutors!C:E,3,0)</f>
        <v>EG04-EG05-EG06-EG07-EG08-EG09</v>
      </c>
      <c r="H414" s="8" t="str">
        <f>VLOOKUP(A414,Tutors!A:F,6,0)</f>
        <v>marwa.mohammed2016@gmail.com</v>
      </c>
      <c r="I414" s="8" t="str">
        <f>VLOOKUP(A414,Tutors!C:G,5,0)</f>
        <v/>
      </c>
      <c r="J414" s="8">
        <f>COUNTIFS(Active!C:C,A414)</f>
        <v>1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" t="s">
        <v>443</v>
      </c>
      <c r="B415" s="7">
        <f>VLOOKUP(A415,Tutors!A:B,2,0)</f>
        <v>957162109584</v>
      </c>
      <c r="C415" s="6" t="s">
        <v>303</v>
      </c>
      <c r="D415" s="6" t="s">
        <v>250</v>
      </c>
      <c r="E415" s="6" t="s">
        <v>13</v>
      </c>
      <c r="F415" s="8">
        <f>VLOOKUP(A415,Tutors!C:D,2,0)</f>
        <v>2808</v>
      </c>
      <c r="G415" s="8" t="str">
        <f>VLOOKUP(A415,Tutors!C:E,3,0)</f>
        <v>EG07-EG08</v>
      </c>
      <c r="H415" s="8" t="str">
        <f>VLOOKUP(A415,Tutors!A:F,6,0)</f>
        <v>totareda172@gmail.com</v>
      </c>
      <c r="I415" s="8" t="str">
        <f>VLOOKUP(A415,Tutors!C:G,5,0)</f>
        <v/>
      </c>
      <c r="J415" s="8">
        <f>COUNTIFS(Active!C:C,A415)</f>
        <v>0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" t="s">
        <v>444</v>
      </c>
      <c r="B416" s="7">
        <f>VLOOKUP(A416,Tutors!A:B,2,0)</f>
        <v>656179636850</v>
      </c>
      <c r="C416" s="6" t="s">
        <v>303</v>
      </c>
      <c r="D416" s="6" t="s">
        <v>69</v>
      </c>
      <c r="E416" s="6" t="s">
        <v>9</v>
      </c>
      <c r="F416" s="9" t="str">
        <f>VLOOKUP(A416,Tutors!C:D,2,0)</f>
        <v>110</v>
      </c>
      <c r="G416" s="8" t="str">
        <f>VLOOKUP(A416,Tutors!C:E,3,0)</f>
        <v>EG07-EG08-EG09-EG10-EG11-EG12</v>
      </c>
      <c r="H416" s="8" t="str">
        <f>VLOOKUP(A416,Tutors!A:F,6,0)</f>
        <v>rabeeelshaer1@gmail.com</v>
      </c>
      <c r="I416" s="8" t="str">
        <f>VLOOKUP(A416,Tutors!C:G,5,0)</f>
        <v/>
      </c>
      <c r="J416" s="8">
        <f>COUNTIFS(Active!C:C,A416)</f>
        <v>1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" t="s">
        <v>445</v>
      </c>
      <c r="B417" s="7">
        <f>VLOOKUP(A417,Tutors!A:B,2,0)</f>
        <v>467134069813</v>
      </c>
      <c r="C417" s="6" t="s">
        <v>303</v>
      </c>
      <c r="D417" s="6" t="s">
        <v>69</v>
      </c>
      <c r="E417" s="6" t="s">
        <v>9</v>
      </c>
      <c r="F417" s="9" t="str">
        <f>VLOOKUP(A417,Tutors!C:D,2,0)</f>
        <v>1127</v>
      </c>
      <c r="G417" s="8" t="str">
        <f>VLOOKUP(A417,Tutors!C:E,3,0)</f>
        <v>EG04-EG05-EG06-EG07-EG08-EG09-EG10-EG11-EG12</v>
      </c>
      <c r="H417" s="8" t="str">
        <f>VLOOKUP(A417,Tutors!A:F,6,0)</f>
        <v>hussein.mostafa@nagwa.com</v>
      </c>
      <c r="I417" s="8">
        <f>VLOOKUP(A417,Tutors!C:G,5,0)</f>
        <v>201091050146</v>
      </c>
      <c r="J417" s="8">
        <f>COUNTIFS(Active!C:C,A417)</f>
        <v>1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" t="s">
        <v>446</v>
      </c>
      <c r="B418" s="7">
        <f>VLOOKUP(A418,Tutors!A:B,2,0)</f>
        <v>592179807615</v>
      </c>
      <c r="C418" s="6" t="s">
        <v>303</v>
      </c>
      <c r="D418" s="6" t="s">
        <v>69</v>
      </c>
      <c r="E418" s="6" t="s">
        <v>9</v>
      </c>
      <c r="F418" s="9" t="str">
        <f>VLOOKUP(A418,Tutors!C:D,2,0)</f>
        <v>1277</v>
      </c>
      <c r="G418" s="8" t="str">
        <f>VLOOKUP(A418,Tutors!C:E,3,0)</f>
        <v>EG07-EG08-EG09</v>
      </c>
      <c r="H418" s="8" t="str">
        <f>VLOOKUP(A418,Tutors!A:F,6,0)</f>
        <v>modares2525@gmail.com</v>
      </c>
      <c r="I418" s="8">
        <f>VLOOKUP(A418,Tutors!C:G,5,0)</f>
        <v>201116153885</v>
      </c>
      <c r="J418" s="8">
        <f>COUNTIFS(Active!C:C,A418)</f>
        <v>1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" t="s">
        <v>447</v>
      </c>
      <c r="B419" s="7">
        <f>VLOOKUP(A419,Tutors!A:B,2,0)</f>
        <v>957170329636</v>
      </c>
      <c r="C419" s="6" t="s">
        <v>303</v>
      </c>
      <c r="D419" s="6" t="s">
        <v>69</v>
      </c>
      <c r="E419" s="6" t="s">
        <v>9</v>
      </c>
      <c r="F419" s="9" t="str">
        <f>VLOOKUP(A419,Tutors!C:D,2,0)</f>
        <v>2035</v>
      </c>
      <c r="G419" s="8" t="str">
        <f>VLOOKUP(A419,Tutors!C:E,3,0)</f>
        <v>EG07-EG08-EG09</v>
      </c>
      <c r="H419" s="8" t="str">
        <f>VLOOKUP(A419,Tutors!A:F,6,0)</f>
        <v>shirefagor166@gmail.com</v>
      </c>
      <c r="I419" s="8" t="str">
        <f>VLOOKUP(A419,Tutors!C:G,5,0)</f>
        <v>01223742383</v>
      </c>
      <c r="J419" s="8">
        <f>COUNTIFS(Active!C:C,A419)</f>
        <v>1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" t="s">
        <v>448</v>
      </c>
      <c r="B420" s="7">
        <f>VLOOKUP(A420,Tutors!A:B,2,0)</f>
        <v>919178945796</v>
      </c>
      <c r="C420" s="6" t="s">
        <v>303</v>
      </c>
      <c r="D420" s="6" t="s">
        <v>69</v>
      </c>
      <c r="E420" s="6" t="s">
        <v>9</v>
      </c>
      <c r="F420" s="9" t="str">
        <f>VLOOKUP(A420,Tutors!C:D,2,0)</f>
        <v>2082</v>
      </c>
      <c r="G420" s="8" t="str">
        <f>VLOOKUP(A420,Tutors!C:E,3,0)</f>
        <v>EG07-EG08-EG09-EG10-EG11-EG12</v>
      </c>
      <c r="H420" s="8" t="str">
        <f>VLOOKUP(A420,Tutors!A:F,6,0)</f>
        <v>mosadalmakhrat@gmail.com</v>
      </c>
      <c r="I420" s="8" t="str">
        <f>VLOOKUP(A420,Tutors!C:G,5,0)</f>
        <v>01226434618</v>
      </c>
      <c r="J420" s="8">
        <f>COUNTIFS(Active!C:C,A420)</f>
        <v>1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" t="s">
        <v>449</v>
      </c>
      <c r="B421" s="7">
        <f>VLOOKUP(A421,Tutors!A:B,2,0)</f>
        <v>617175650841</v>
      </c>
      <c r="C421" s="6" t="s">
        <v>303</v>
      </c>
      <c r="D421" s="6" t="s">
        <v>69</v>
      </c>
      <c r="E421" s="6" t="s">
        <v>9</v>
      </c>
      <c r="F421" s="9" t="str">
        <f>VLOOKUP(A421,Tutors!C:D,2,0)</f>
        <v>2136</v>
      </c>
      <c r="G421" s="8" t="str">
        <f>VLOOKUP(A421,Tutors!C:E,3,0)</f>
        <v>EG08-EG09-EG10-EG11-EG12</v>
      </c>
      <c r="H421" s="8" t="str">
        <f>VLOOKUP(A421,Tutors!A:F,6,0)</f>
        <v>islamzayan2333@gmail.com</v>
      </c>
      <c r="I421" s="8" t="str">
        <f>VLOOKUP(A421,Tutors!C:G,5,0)</f>
        <v>01012793634</v>
      </c>
      <c r="J421" s="8">
        <f>COUNTIFS(Active!C:C,A421)</f>
        <v>1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" t="s">
        <v>450</v>
      </c>
      <c r="B422" s="7">
        <f>VLOOKUP(A422,Tutors!A:B,2,0)</f>
        <v>456173727324</v>
      </c>
      <c r="C422" s="6" t="s">
        <v>303</v>
      </c>
      <c r="D422" s="6" t="s">
        <v>69</v>
      </c>
      <c r="E422" s="6" t="s">
        <v>9</v>
      </c>
      <c r="F422" s="9" t="str">
        <f>VLOOKUP(A422,Tutors!C:D,2,0)</f>
        <v>2176</v>
      </c>
      <c r="G422" s="8" t="str">
        <f>VLOOKUP(A422,Tutors!C:E,3,0)</f>
        <v>EG04-EG05-EG06-EG07-EG08-EG09</v>
      </c>
      <c r="H422" s="8" t="str">
        <f>VLOOKUP(A422,Tutors!A:F,6,0)</f>
        <v>kdarwish436@gmail.com</v>
      </c>
      <c r="I422" s="8" t="str">
        <f>VLOOKUP(A422,Tutors!C:G,5,0)</f>
        <v>01148072407</v>
      </c>
      <c r="J422" s="8">
        <f>COUNTIFS(Active!C:C,A422)</f>
        <v>1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" t="s">
        <v>451</v>
      </c>
      <c r="B423" s="7">
        <f>VLOOKUP(A423,Tutors!A:B,2,0)</f>
        <v>138195736921</v>
      </c>
      <c r="C423" s="6" t="s">
        <v>303</v>
      </c>
      <c r="D423" s="6" t="s">
        <v>69</v>
      </c>
      <c r="E423" s="6" t="s">
        <v>9</v>
      </c>
      <c r="F423" s="9" t="str">
        <f>VLOOKUP(A423,Tutors!C:D,2,0)</f>
        <v>2175</v>
      </c>
      <c r="G423" s="8" t="str">
        <f>VLOOKUP(A423,Tutors!C:E,3,0)</f>
        <v>EG07-EG08-EG09</v>
      </c>
      <c r="H423" s="8" t="str">
        <f>VLOOKUP(A423,Tutors!A:F,6,0)</f>
        <v>salem.oikaa@gmail.com</v>
      </c>
      <c r="I423" s="8" t="str">
        <f>VLOOKUP(A423,Tutors!C:G,5,0)</f>
        <v>01127797061 - 01000550304</v>
      </c>
      <c r="J423" s="8">
        <f>COUNTIFS(Active!C:C,A423)</f>
        <v>1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" t="s">
        <v>452</v>
      </c>
      <c r="B424" s="7">
        <f>VLOOKUP(A424,Tutors!A:B,2,0)</f>
        <v>786170102324</v>
      </c>
      <c r="C424" s="6" t="s">
        <v>303</v>
      </c>
      <c r="D424" s="6" t="s">
        <v>69</v>
      </c>
      <c r="E424" s="6" t="s">
        <v>9</v>
      </c>
      <c r="F424" s="9" t="str">
        <f>VLOOKUP(A424,Tutors!C:D,2,0)</f>
        <v>2320</v>
      </c>
      <c r="G424" s="8" t="str">
        <f>VLOOKUP(A424,Tutors!C:E,3,0)</f>
        <v>EG07-EG08-EG09</v>
      </c>
      <c r="H424" s="8" t="str">
        <f>VLOOKUP(A424,Tutors!A:F,6,0)</f>
        <v>mabrookelbanna4@gmail.com</v>
      </c>
      <c r="I424" s="8" t="str">
        <f>VLOOKUP(A424,Tutors!C:G,5,0)</f>
        <v>01096212675</v>
      </c>
      <c r="J424" s="8">
        <f>COUNTIFS(Active!C:C,A424)</f>
        <v>1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" t="s">
        <v>453</v>
      </c>
      <c r="B425" s="7">
        <f>VLOOKUP(A425,Tutors!A:B,2,0)</f>
        <v>503107402589</v>
      </c>
      <c r="C425" s="6" t="s">
        <v>303</v>
      </c>
      <c r="D425" s="6" t="s">
        <v>69</v>
      </c>
      <c r="E425" s="6" t="s">
        <v>9</v>
      </c>
      <c r="F425" s="8">
        <f>VLOOKUP(A425,Tutors!C:D,2,0)</f>
        <v>2346</v>
      </c>
      <c r="G425" s="8" t="str">
        <f>VLOOKUP(A425,Tutors!C:E,3,0)</f>
        <v>EG07-EG08-EG09</v>
      </c>
      <c r="H425" s="8" t="str">
        <f>VLOOKUP(A425,Tutors!A:F,6,0)</f>
        <v>elmeligybassam@gmail.com</v>
      </c>
      <c r="I425" s="8" t="str">
        <f>VLOOKUP(A425,Tutors!C:G,5,0)</f>
        <v>01090961459</v>
      </c>
      <c r="J425" s="8">
        <f>COUNTIFS(Active!C:C,A425)</f>
        <v>1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" t="s">
        <v>454</v>
      </c>
      <c r="B426" s="7">
        <f>VLOOKUP(A426,Tutors!A:B,2,0)</f>
        <v>839190937852</v>
      </c>
      <c r="C426" s="6" t="s">
        <v>303</v>
      </c>
      <c r="D426" s="6" t="s">
        <v>69</v>
      </c>
      <c r="E426" s="10" t="s">
        <v>9</v>
      </c>
      <c r="F426" s="8">
        <f>VLOOKUP(A426,Tutors!C:D,2,0)</f>
        <v>2378</v>
      </c>
      <c r="G426" s="8" t="str">
        <f>VLOOKUP(A426,Tutors!C:E,3,0)</f>
        <v>EG07-EG08-EG09-EG10-EG11-EG12</v>
      </c>
      <c r="H426" s="8" t="str">
        <f>VLOOKUP(A426,Tutors!A:F,6,0)</f>
        <v>muhamed.2866893@gmail.com</v>
      </c>
      <c r="I426" s="8" t="str">
        <f>VLOOKUP(A426,Tutors!C:G,5,0)</f>
        <v>01009253528</v>
      </c>
      <c r="J426" s="8">
        <f>COUNTIFS(Active!C:C,A426)</f>
        <v>1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" t="s">
        <v>455</v>
      </c>
      <c r="B427" s="7">
        <f>VLOOKUP(A427,Tutors!A:B,2,0)</f>
        <v>250145985245</v>
      </c>
      <c r="C427" s="6" t="s">
        <v>303</v>
      </c>
      <c r="D427" s="6" t="s">
        <v>69</v>
      </c>
      <c r="E427" s="6" t="s">
        <v>9</v>
      </c>
      <c r="F427" s="8">
        <f>VLOOKUP(A427,Tutors!C:D,2,0)</f>
        <v>2374</v>
      </c>
      <c r="G427" s="8" t="str">
        <f>VLOOKUP(A427,Tutors!C:E,3,0)</f>
        <v>EG07-EG08-EG09</v>
      </c>
      <c r="H427" s="8" t="str">
        <f>VLOOKUP(A427,Tutors!A:F,6,0)</f>
        <v>afthy6959@gmail.com</v>
      </c>
      <c r="I427" s="8" t="str">
        <f>VLOOKUP(A427,Tutors!C:G,5,0)</f>
        <v>01010649710</v>
      </c>
      <c r="J427" s="8">
        <f>COUNTIFS(Active!C:C,A427)</f>
        <v>1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" t="s">
        <v>456</v>
      </c>
      <c r="B428" s="7">
        <f>VLOOKUP(A428,Tutors!A:B,2,0)</f>
        <v>498131373584</v>
      </c>
      <c r="C428" s="6" t="s">
        <v>303</v>
      </c>
      <c r="D428" s="6" t="s">
        <v>69</v>
      </c>
      <c r="E428" s="6" t="s">
        <v>9</v>
      </c>
      <c r="F428" s="8">
        <f>VLOOKUP(A428,Tutors!C:D,2,0)</f>
        <v>2394</v>
      </c>
      <c r="G428" s="8" t="str">
        <f>VLOOKUP(A428,Tutors!C:E,3,0)</f>
        <v>EG04-EG05-EG06-EG07-EG08-EG09</v>
      </c>
      <c r="H428" s="8" t="str">
        <f>VLOOKUP(A428,Tutors!A:F,6,0)</f>
        <v>asmaaelabsawy2@gmail.com</v>
      </c>
      <c r="I428" s="8" t="str">
        <f>VLOOKUP(A428,Tutors!C:G,5,0)</f>
        <v>01004001141</v>
      </c>
      <c r="J428" s="8">
        <f>COUNTIFS(Active!C:C,A428)</f>
        <v>1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" t="s">
        <v>457</v>
      </c>
      <c r="B429" s="7">
        <f>VLOOKUP(A429,Tutors!A:B,2,0)</f>
        <v>608183854595</v>
      </c>
      <c r="C429" s="6" t="s">
        <v>303</v>
      </c>
      <c r="D429" s="6" t="s">
        <v>69</v>
      </c>
      <c r="E429" s="6" t="s">
        <v>13</v>
      </c>
      <c r="F429" s="8">
        <f>VLOOKUP(A429,Tutors!C:D,2,0)</f>
        <v>2415</v>
      </c>
      <c r="G429" s="8" t="str">
        <f>VLOOKUP(A429,Tutors!C:E,3,0)</f>
        <v>EG06-EG07-EG08-EG09</v>
      </c>
      <c r="H429" s="8" t="str">
        <f>VLOOKUP(A429,Tutors!A:F,6,0)</f>
        <v>ahmedsayed171730@gmail.com</v>
      </c>
      <c r="I429" s="8" t="str">
        <f>VLOOKUP(A429,Tutors!C:G,5,0)</f>
        <v>01017173087</v>
      </c>
      <c r="J429" s="8">
        <f>COUNTIFS(Active!C:C,A429)</f>
        <v>0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" t="s">
        <v>458</v>
      </c>
      <c r="B430" s="7">
        <f>VLOOKUP(A430,Tutors!A:B,2,0)</f>
        <v>416178416352</v>
      </c>
      <c r="C430" s="6" t="s">
        <v>303</v>
      </c>
      <c r="D430" s="6" t="s">
        <v>69</v>
      </c>
      <c r="E430" s="6" t="s">
        <v>9</v>
      </c>
      <c r="F430" s="8">
        <f>VLOOKUP(A430,Tutors!C:D,2,0)</f>
        <v>2410</v>
      </c>
      <c r="G430" s="8" t="str">
        <f>VLOOKUP(A430,Tutors!C:E,3,0)</f>
        <v>EG04-EG05-EG06-EG07-EG08-EG09</v>
      </c>
      <c r="H430" s="8" t="str">
        <f>VLOOKUP(A430,Tutors!A:F,6,0)</f>
        <v>mh7350093@gmail.com</v>
      </c>
      <c r="I430" s="8" t="str">
        <f>VLOOKUP(A430,Tutors!C:G,5,0)</f>
        <v>01226341167</v>
      </c>
      <c r="J430" s="8">
        <f>COUNTIFS(Active!C:C,A430)</f>
        <v>1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" t="s">
        <v>459</v>
      </c>
      <c r="B431" s="7">
        <f>VLOOKUP(A431,Tutors!A:B,2,0)</f>
        <v>193167923501</v>
      </c>
      <c r="C431" s="6" t="s">
        <v>303</v>
      </c>
      <c r="D431" s="6" t="s">
        <v>69</v>
      </c>
      <c r="E431" s="6" t="s">
        <v>9</v>
      </c>
      <c r="F431" s="8">
        <f>VLOOKUP(A431,Tutors!C:D,2,0)</f>
        <v>2451</v>
      </c>
      <c r="G431" s="8" t="str">
        <f>VLOOKUP(A431,Tutors!C:E,3,0)</f>
        <v>EG04-EG05-EG06-EG07-EG08-EG09-EG10-EG11-EG12</v>
      </c>
      <c r="H431" s="8" t="str">
        <f>VLOOKUP(A431,Tutors!A:F,6,0)</f>
        <v>hossam.assaf80@gmail.com</v>
      </c>
      <c r="I431" s="8" t="str">
        <f>VLOOKUP(A431,Tutors!C:G,5,0)</f>
        <v>01000415486</v>
      </c>
      <c r="J431" s="8">
        <f>COUNTIFS(Active!C:C,A431)</f>
        <v>1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" t="s">
        <v>460</v>
      </c>
      <c r="B432" s="7">
        <f>VLOOKUP(A432,Tutors!A:B,2,0)</f>
        <v>735137965041</v>
      </c>
      <c r="C432" s="6" t="s">
        <v>303</v>
      </c>
      <c r="D432" s="6" t="s">
        <v>69</v>
      </c>
      <c r="E432" s="6" t="s">
        <v>9</v>
      </c>
      <c r="F432" s="8">
        <f>VLOOKUP(A432,Tutors!C:D,2,0)</f>
        <v>2469</v>
      </c>
      <c r="G432" s="8" t="str">
        <f>VLOOKUP(A432,Tutors!C:E,3,0)</f>
        <v>EG04-EG05-EG06-EG07-EG08-EG09</v>
      </c>
      <c r="H432" s="8" t="str">
        <f>VLOOKUP(A432,Tutors!A:F,6,0)</f>
        <v>mohamedbasis4@gmail.com</v>
      </c>
      <c r="I432" s="8" t="str">
        <f>VLOOKUP(A432,Tutors!C:G,5,0)</f>
        <v>01227115532 - 01555325577</v>
      </c>
      <c r="J432" s="8">
        <f>COUNTIFS(Active!C:C,A432)</f>
        <v>1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" t="s">
        <v>461</v>
      </c>
      <c r="B433" s="7">
        <f>VLOOKUP(A433,Tutors!A:B,2,0)</f>
        <v>358183213283</v>
      </c>
      <c r="C433" s="6" t="s">
        <v>303</v>
      </c>
      <c r="D433" s="6" t="s">
        <v>69</v>
      </c>
      <c r="E433" s="6" t="s">
        <v>9</v>
      </c>
      <c r="F433" s="8">
        <f>VLOOKUP(A433,Tutors!C:D,2,0)</f>
        <v>2463</v>
      </c>
      <c r="G433" s="8" t="str">
        <f>VLOOKUP(A433,Tutors!C:E,3,0)</f>
        <v>EG07-EG08-EG09</v>
      </c>
      <c r="H433" s="8" t="str">
        <f>VLOOKUP(A433,Tutors!A:F,6,0)</f>
        <v>ashrf.d20011@yahoo.com</v>
      </c>
      <c r="I433" s="8" t="str">
        <f>VLOOKUP(A433,Tutors!C:G,5,0)</f>
        <v>01140350043</v>
      </c>
      <c r="J433" s="8">
        <f>COUNTIFS(Active!C:C,A433)</f>
        <v>1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" t="s">
        <v>462</v>
      </c>
      <c r="B434" s="7">
        <f>VLOOKUP(A434,Tutors!A:B,2,0)</f>
        <v>184134281752</v>
      </c>
      <c r="C434" s="6" t="s">
        <v>303</v>
      </c>
      <c r="D434" s="6" t="s">
        <v>69</v>
      </c>
      <c r="E434" s="6" t="s">
        <v>9</v>
      </c>
      <c r="F434" s="8">
        <f>VLOOKUP(A434,Tutors!C:D,2,0)</f>
        <v>2418</v>
      </c>
      <c r="G434" s="8" t="str">
        <f>VLOOKUP(A434,Tutors!C:E,3,0)</f>
        <v>EG07-EG08-EG09</v>
      </c>
      <c r="H434" s="8" t="str">
        <f>VLOOKUP(A434,Tutors!A:F,6,0)</f>
        <v>ahmedolwy1973@gmail.com</v>
      </c>
      <c r="I434" s="8" t="str">
        <f>VLOOKUP(A434,Tutors!C:G,5,0)</f>
        <v>01099194027</v>
      </c>
      <c r="J434" s="8">
        <f>COUNTIFS(Active!C:C,A434)</f>
        <v>1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" t="s">
        <v>463</v>
      </c>
      <c r="B435" s="7">
        <f>VLOOKUP(A435,Tutors!A:B,2,0)</f>
        <v>872145824294</v>
      </c>
      <c r="C435" s="6" t="s">
        <v>303</v>
      </c>
      <c r="D435" s="6" t="s">
        <v>69</v>
      </c>
      <c r="E435" s="6" t="s">
        <v>13</v>
      </c>
      <c r="F435" s="8">
        <f>VLOOKUP(A435,Tutors!C:D,2,0)</f>
        <v>2464</v>
      </c>
      <c r="G435" s="8" t="str">
        <f>VLOOKUP(A435,Tutors!C:E,3,0)</f>
        <v>EG09-EG10-EG11</v>
      </c>
      <c r="H435" s="8" t="str">
        <f>VLOOKUP(A435,Tutors!A:F,6,0)</f>
        <v>memomaksoood@gmail.com</v>
      </c>
      <c r="I435" s="8" t="str">
        <f>VLOOKUP(A435,Tutors!C:G,5,0)</f>
        <v>01272280157</v>
      </c>
      <c r="J435" s="8">
        <f>COUNTIFS(Active!C:C,A435)</f>
        <v>0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" t="s">
        <v>464</v>
      </c>
      <c r="B436" s="7">
        <f>VLOOKUP(A436,Tutors!A:B,2,0)</f>
        <v>724157458293</v>
      </c>
      <c r="C436" s="6" t="s">
        <v>303</v>
      </c>
      <c r="D436" s="6" t="s">
        <v>69</v>
      </c>
      <c r="E436" s="6" t="s">
        <v>9</v>
      </c>
      <c r="F436" s="8">
        <f>VLOOKUP(A436,Tutors!C:D,2,0)</f>
        <v>2460</v>
      </c>
      <c r="G436" s="8" t="str">
        <f>VLOOKUP(A436,Tutors!C:E,3,0)</f>
        <v>EG07-EG08-EG09-EG10-EG11</v>
      </c>
      <c r="H436" s="8" t="str">
        <f>VLOOKUP(A436,Tutors!A:F,6,0)</f>
        <v>safogo73@gmail.com</v>
      </c>
      <c r="I436" s="8" t="str">
        <f>VLOOKUP(A436,Tutors!C:G,5,0)</f>
        <v>01006339089</v>
      </c>
      <c r="J436" s="8">
        <f>COUNTIFS(Active!C:C,A436)</f>
        <v>1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" t="s">
        <v>465</v>
      </c>
      <c r="B437" s="7">
        <f>VLOOKUP(A437,Tutors!A:B,2,0)</f>
        <v>607140826840</v>
      </c>
      <c r="C437" s="6" t="s">
        <v>303</v>
      </c>
      <c r="D437" s="6" t="s">
        <v>69</v>
      </c>
      <c r="E437" s="6" t="s">
        <v>9</v>
      </c>
      <c r="F437" s="8">
        <f>VLOOKUP(A437,Tutors!C:D,2,0)</f>
        <v>2828</v>
      </c>
      <c r="G437" s="8" t="str">
        <f>VLOOKUP(A437,Tutors!C:E,3,0)</f>
        <v>EG07-EG08-EG09-EG10-EG11-EG12</v>
      </c>
      <c r="H437" s="8" t="str">
        <f>VLOOKUP(A437,Tutors!A:F,6,0)</f>
        <v>abdelhadyghzz@yahoo.com</v>
      </c>
      <c r="I437" s="8" t="str">
        <f>VLOOKUP(A437,Tutors!C:G,5,0)</f>
        <v/>
      </c>
      <c r="J437" s="8">
        <f>COUNTIFS(Active!C:C,A437)</f>
        <v>1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" t="s">
        <v>466</v>
      </c>
      <c r="B438" s="7">
        <f>VLOOKUP(A438,Tutors!A:B,2,0)</f>
        <v>196162052652</v>
      </c>
      <c r="C438" s="6" t="s">
        <v>303</v>
      </c>
      <c r="D438" s="6" t="s">
        <v>69</v>
      </c>
      <c r="E438" s="6" t="s">
        <v>9</v>
      </c>
      <c r="F438" s="8">
        <f>VLOOKUP(A438,Tutors!C:D,2,0)</f>
        <v>2494</v>
      </c>
      <c r="G438" s="8" t="str">
        <f>VLOOKUP(A438,Tutors!C:E,3,0)</f>
        <v>EG04-EG05-EG06-EG07-EG08-EG09</v>
      </c>
      <c r="H438" s="8" t="str">
        <f>VLOOKUP(A438,Tutors!A:F,6,0)</f>
        <v>medoarabichotmail@gmail.com</v>
      </c>
      <c r="I438" s="8" t="str">
        <f>VLOOKUP(A438,Tutors!C:G,5,0)</f>
        <v>01061778524</v>
      </c>
      <c r="J438" s="8">
        <f>COUNTIFS(Active!C:C,A438)</f>
        <v>1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" t="s">
        <v>467</v>
      </c>
      <c r="B439" s="7">
        <f>VLOOKUP(A439,Tutors!A:B,2,0)</f>
        <v>863124634182</v>
      </c>
      <c r="C439" s="6" t="s">
        <v>303</v>
      </c>
      <c r="D439" s="6" t="s">
        <v>69</v>
      </c>
      <c r="E439" s="6" t="s">
        <v>9</v>
      </c>
      <c r="F439" s="8">
        <f>VLOOKUP(A439,Tutors!C:D,2,0)</f>
        <v>2598</v>
      </c>
      <c r="G439" s="8" t="str">
        <f>VLOOKUP(A439,Tutors!C:E,3,0)</f>
        <v>EG04-EG05-EG06-EG07-EG08-EG09</v>
      </c>
      <c r="H439" s="8" t="str">
        <f>VLOOKUP(A439,Tutors!A:F,6,0)</f>
        <v>mragab2@gmail.com</v>
      </c>
      <c r="I439" s="8" t="str">
        <f>VLOOKUP(A439,Tutors!C:G,5,0)</f>
        <v>01111180258</v>
      </c>
      <c r="J439" s="8">
        <f>COUNTIFS(Active!C:C,A439)</f>
        <v>0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" t="s">
        <v>468</v>
      </c>
      <c r="B440" s="7">
        <f>VLOOKUP(A440,Tutors!A:B,2,0)</f>
        <v>679107028652</v>
      </c>
      <c r="C440" s="6" t="s">
        <v>303</v>
      </c>
      <c r="D440" s="6" t="s">
        <v>69</v>
      </c>
      <c r="E440" s="6" t="s">
        <v>9</v>
      </c>
      <c r="F440" s="8">
        <f>VLOOKUP(A440,Tutors!C:D,2,0)</f>
        <v>2607</v>
      </c>
      <c r="G440" s="8" t="str">
        <f>VLOOKUP(A440,Tutors!C:E,3,0)</f>
        <v>EG04-EG05-EG06-EG07-EG08-EG09</v>
      </c>
      <c r="H440" s="8" t="str">
        <f>VLOOKUP(A440,Tutors!A:F,6,0)</f>
        <v>akhiry443@gmail.com</v>
      </c>
      <c r="I440" s="8" t="str">
        <f>VLOOKUP(A440,Tutors!C:G,5,0)</f>
        <v/>
      </c>
      <c r="J440" s="8">
        <f>COUNTIFS(Active!C:C,A440)</f>
        <v>1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" t="s">
        <v>469</v>
      </c>
      <c r="B441" s="7">
        <f>VLOOKUP(A441,Tutors!A:B,2,0)</f>
        <v>158121437132</v>
      </c>
      <c r="C441" s="6" t="s">
        <v>303</v>
      </c>
      <c r="D441" s="6" t="s">
        <v>69</v>
      </c>
      <c r="E441" s="10" t="s">
        <v>9</v>
      </c>
      <c r="F441" s="8">
        <f>VLOOKUP(A441,Tutors!C:D,2,0)</f>
        <v>2689</v>
      </c>
      <c r="G441" s="8" t="str">
        <f>VLOOKUP(A441,Tutors!C:E,3,0)</f>
        <v>EG04-EG05-EG06-EG07-EG08-EG09</v>
      </c>
      <c r="H441" s="8" t="str">
        <f>VLOOKUP(A441,Tutors!A:F,6,0)</f>
        <v>mr.gamal.salama@gmail.com</v>
      </c>
      <c r="I441" s="8" t="str">
        <f>VLOOKUP(A441,Tutors!C:G,5,0)</f>
        <v>01119103599</v>
      </c>
      <c r="J441" s="8">
        <f>COUNTIFS(Active!C:C,A441)</f>
        <v>1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" t="s">
        <v>470</v>
      </c>
      <c r="B442" s="7">
        <f>VLOOKUP(A442,Tutors!A:B,2,0)</f>
        <v>248108614245</v>
      </c>
      <c r="C442" s="6" t="s">
        <v>303</v>
      </c>
      <c r="D442" s="6" t="s">
        <v>69</v>
      </c>
      <c r="E442" s="10" t="s">
        <v>9</v>
      </c>
      <c r="F442" s="8">
        <f>VLOOKUP(A442,Tutors!C:D,2,0)</f>
        <v>2714</v>
      </c>
      <c r="G442" s="8" t="str">
        <f>VLOOKUP(A442,Tutors!C:E,3,0)</f>
        <v>EG03-EG04-EG05-EG06-EG07-EG08-EG09</v>
      </c>
      <c r="H442" s="8" t="str">
        <f>VLOOKUP(A442,Tutors!A:F,6,0)</f>
        <v>moazkhalid37@gmail.com</v>
      </c>
      <c r="I442" s="8" t="str">
        <f>VLOOKUP(A442,Tutors!C:G,5,0)</f>
        <v>01030350227</v>
      </c>
      <c r="J442" s="8">
        <f>COUNTIFS(Active!C:C,A442)</f>
        <v>1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" t="s">
        <v>471</v>
      </c>
      <c r="B443" s="7">
        <f>VLOOKUP(A443,Tutors!A:B,2,0)</f>
        <v>808120316039</v>
      </c>
      <c r="C443" s="6" t="s">
        <v>303</v>
      </c>
      <c r="D443" s="6" t="s">
        <v>69</v>
      </c>
      <c r="E443" s="6" t="s">
        <v>9</v>
      </c>
      <c r="F443" s="8">
        <f>VLOOKUP(A443,Tutors!C:D,2,0)</f>
        <v>2739</v>
      </c>
      <c r="G443" s="8" t="str">
        <f>VLOOKUP(A443,Tutors!C:E,3,0)</f>
        <v>EG04-EG05-EG06-EG07-EG08-EG09</v>
      </c>
      <c r="H443" s="8" t="str">
        <f>VLOOKUP(A443,Tutors!A:F,6,0)</f>
        <v>doa.ly0852@gmail.com</v>
      </c>
      <c r="I443" s="8" t="str">
        <f>VLOOKUP(A443,Tutors!C:G,5,0)</f>
        <v>0021066128934/0021556107320</v>
      </c>
      <c r="J443" s="8">
        <f>COUNTIFS(Active!C:C,A443)</f>
        <v>1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" t="s">
        <v>472</v>
      </c>
      <c r="B444" s="7">
        <f>VLOOKUP(A444,Tutors!A:B,2,0)</f>
        <v>745160949182</v>
      </c>
      <c r="C444" s="6" t="s">
        <v>303</v>
      </c>
      <c r="D444" s="6" t="s">
        <v>69</v>
      </c>
      <c r="E444" s="6" t="s">
        <v>9</v>
      </c>
      <c r="F444" s="8">
        <f>VLOOKUP(A444,Tutors!C:D,2,0)</f>
        <v>2666</v>
      </c>
      <c r="G444" s="8" t="str">
        <f>VLOOKUP(A444,Tutors!C:E,3,0)</f>
        <v>EG07-EG08-EG09</v>
      </c>
      <c r="H444" s="8" t="str">
        <f>VLOOKUP(A444,Tutors!A:F,6,0)</f>
        <v>ammar.osama0127@gmail.com</v>
      </c>
      <c r="I444" s="8" t="str">
        <f>VLOOKUP(A444,Tutors!C:G,5,0)</f>
        <v/>
      </c>
      <c r="J444" s="8">
        <f>COUNTIFS(Active!C:C,A444)</f>
        <v>1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" t="s">
        <v>473</v>
      </c>
      <c r="B445" s="7">
        <f>VLOOKUP(A445,Tutors!A:B,2,0)</f>
        <v>945158431678</v>
      </c>
      <c r="C445" s="6" t="s">
        <v>303</v>
      </c>
      <c r="D445" s="6" t="s">
        <v>69</v>
      </c>
      <c r="E445" s="10" t="s">
        <v>9</v>
      </c>
      <c r="F445" s="8">
        <f>VLOOKUP(A445,Tutors!C:D,2,0)</f>
        <v>2683</v>
      </c>
      <c r="G445" s="8" t="str">
        <f>VLOOKUP(A445,Tutors!C:E,3,0)</f>
        <v>EG04-EG05-EG06-EG07-EG08-EG09</v>
      </c>
      <c r="H445" s="8" t="str">
        <f>VLOOKUP(A445,Tutors!A:F,6,0)</f>
        <v>ashrafsabry310@gmail.com</v>
      </c>
      <c r="I445" s="8" t="str">
        <f>VLOOKUP(A445,Tutors!C:G,5,0)</f>
        <v/>
      </c>
      <c r="J445" s="8">
        <f>COUNTIFS(Active!C:C,A445)</f>
        <v>1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" t="s">
        <v>474</v>
      </c>
      <c r="B446" s="7">
        <f>VLOOKUP(A446,Tutors!A:B,2,0)</f>
        <v>173169573720</v>
      </c>
      <c r="C446" s="6" t="s">
        <v>303</v>
      </c>
      <c r="D446" s="6" t="s">
        <v>69</v>
      </c>
      <c r="E446" s="10" t="s">
        <v>9</v>
      </c>
      <c r="F446" s="8">
        <f>VLOOKUP(A446,Tutors!C:D,2,0)</f>
        <v>2518</v>
      </c>
      <c r="G446" s="8" t="str">
        <f>VLOOKUP(A446,Tutors!C:E,3,0)</f>
        <v>EG07-EG08-EG09-EG10-EG11-EG12</v>
      </c>
      <c r="H446" s="8" t="str">
        <f>VLOOKUP(A446,Tutors!A:F,6,0)</f>
        <v>tarekolaimi@gmail.com</v>
      </c>
      <c r="I446" s="8" t="str">
        <f>VLOOKUP(A446,Tutors!C:G,5,0)</f>
        <v>01229982012</v>
      </c>
      <c r="J446" s="8">
        <f>COUNTIFS(Active!C:C,A446)</f>
        <v>1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" t="s">
        <v>475</v>
      </c>
      <c r="B447" s="7">
        <f>VLOOKUP(A447,Tutors!A:B,2,0)</f>
        <v>802176250947</v>
      </c>
      <c r="C447" s="6" t="s">
        <v>303</v>
      </c>
      <c r="D447" s="6" t="s">
        <v>69</v>
      </c>
      <c r="E447" s="10" t="s">
        <v>9</v>
      </c>
      <c r="F447" s="8">
        <f>VLOOKUP(A447,Tutors!C:D,2,0)</f>
        <v>2636</v>
      </c>
      <c r="G447" s="8" t="str">
        <f>VLOOKUP(A447,Tutors!C:E,3,0)</f>
        <v>EG07-EG08-EG09</v>
      </c>
      <c r="H447" s="8" t="str">
        <f>VLOOKUP(A447,Tutors!A:F,6,0)</f>
        <v>mabdelghany503@gmail.com</v>
      </c>
      <c r="I447" s="8" t="str">
        <f>VLOOKUP(A447,Tutors!C:G,5,0)</f>
        <v/>
      </c>
      <c r="J447" s="8">
        <f>COUNTIFS(Active!C:C,A447)</f>
        <v>1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" t="s">
        <v>476</v>
      </c>
      <c r="B448" s="7">
        <f>VLOOKUP(A448,Tutors!A:B,2,0)</f>
        <v>648193010591</v>
      </c>
      <c r="C448" s="6" t="s">
        <v>477</v>
      </c>
      <c r="D448" s="6" t="s">
        <v>478</v>
      </c>
      <c r="E448" s="6" t="s">
        <v>9</v>
      </c>
      <c r="F448" s="9" t="str">
        <f>VLOOKUP(A448,Tutors!C:D,2,0)</f>
        <v>1087</v>
      </c>
      <c r="G448" s="8" t="str">
        <f>VLOOKUP(A448,Tutors!C:E,3,0)</f>
        <v>EG10-EG11-G12</v>
      </c>
      <c r="H448" s="8" t="str">
        <f>VLOOKUP(A448,Tutors!A:F,6,0)</f>
        <v>shady.donia@nagwa.com</v>
      </c>
      <c r="I448" s="8">
        <f>VLOOKUP(A448,Tutors!C:G,5,0)</f>
        <v>201119117049</v>
      </c>
      <c r="J448" s="8">
        <f>COUNTIFS(Active!C:C,A448)</f>
        <v>1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" t="s">
        <v>479</v>
      </c>
      <c r="B449" s="7">
        <f>VLOOKUP(A449,Tutors!A:B,2,0)</f>
        <v>535169041274</v>
      </c>
      <c r="C449" s="6" t="s">
        <v>477</v>
      </c>
      <c r="D449" s="6" t="s">
        <v>478</v>
      </c>
      <c r="E449" s="6" t="s">
        <v>13</v>
      </c>
      <c r="F449" s="9" t="str">
        <f>VLOOKUP(A449,Tutors!C:D,2,0)</f>
        <v>1490</v>
      </c>
      <c r="G449" s="8" t="str">
        <f>VLOOKUP(A449,Tutors!C:E,3,0)</f>
        <v>EG10-EG11</v>
      </c>
      <c r="H449" s="8" t="str">
        <f>VLOOKUP(A449,Tutors!A:F,6,0)</f>
        <v>malak.maliwy@gmail.com</v>
      </c>
      <c r="I449" s="8" t="str">
        <f>VLOOKUP(A449,Tutors!C:G,5,0)</f>
        <v/>
      </c>
      <c r="J449" s="8">
        <f>COUNTIFS(Active!C:C,A449)</f>
        <v>0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" t="s">
        <v>480</v>
      </c>
      <c r="B450" s="7">
        <f>VLOOKUP(A450,Tutors!A:B,2,0)</f>
        <v>165178526464</v>
      </c>
      <c r="C450" s="6" t="s">
        <v>477</v>
      </c>
      <c r="D450" s="6" t="s">
        <v>478</v>
      </c>
      <c r="E450" s="6" t="s">
        <v>9</v>
      </c>
      <c r="F450" s="9" t="str">
        <f>VLOOKUP(A450,Tutors!C:D,2,0)</f>
        <v>1867</v>
      </c>
      <c r="G450" s="8" t="str">
        <f>VLOOKUP(A450,Tutors!C:E,3,0)</f>
        <v>EG10-EG11-G12</v>
      </c>
      <c r="H450" s="8" t="str">
        <f>VLOOKUP(A450,Tutors!A:F,6,0)</f>
        <v>bishoywadea.7@gmail.com</v>
      </c>
      <c r="I450" s="8" t="str">
        <f>VLOOKUP(A450,Tutors!C:G,5,0)</f>
        <v>01220405245</v>
      </c>
      <c r="J450" s="8">
        <f>COUNTIFS(Active!C:C,A450)</f>
        <v>0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" t="s">
        <v>481</v>
      </c>
      <c r="B451" s="7">
        <f>VLOOKUP(A451,Tutors!A:B,2,0)</f>
        <v>576138787065</v>
      </c>
      <c r="C451" s="6" t="s">
        <v>477</v>
      </c>
      <c r="D451" s="6" t="s">
        <v>478</v>
      </c>
      <c r="E451" s="6" t="s">
        <v>9</v>
      </c>
      <c r="F451" s="9" t="str">
        <f>VLOOKUP(A451,Tutors!C:D,2,0)</f>
        <v>2023</v>
      </c>
      <c r="G451" s="8" t="str">
        <f>VLOOKUP(A451,Tutors!C:E,3,0)</f>
        <v>EG10-EG11</v>
      </c>
      <c r="H451" s="8" t="str">
        <f>VLOOKUP(A451,Tutors!A:F,6,0)</f>
        <v>hosamabdelhay90@gmail.com</v>
      </c>
      <c r="I451" s="8" t="str">
        <f>VLOOKUP(A451,Tutors!C:G,5,0)</f>
        <v>01003137129</v>
      </c>
      <c r="J451" s="8">
        <f>COUNTIFS(Active!C:C,A451)</f>
        <v>1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" t="s">
        <v>482</v>
      </c>
      <c r="B452" s="7">
        <f>VLOOKUP(A452,Tutors!A:B,2,0)</f>
        <v>159132748372</v>
      </c>
      <c r="C452" s="6" t="s">
        <v>477</v>
      </c>
      <c r="D452" s="6" t="s">
        <v>478</v>
      </c>
      <c r="E452" s="6" t="s">
        <v>13</v>
      </c>
      <c r="F452" s="8">
        <f>VLOOKUP(A452,Tutors!C:D,2,0)</f>
        <v>2679</v>
      </c>
      <c r="G452" s="8" t="str">
        <f>VLOOKUP(A452,Tutors!C:E,3,0)</f>
        <v>EG07-EG08-EG09</v>
      </c>
      <c r="H452" s="8" t="str">
        <f>VLOOKUP(A452,Tutors!A:F,6,0)</f>
        <v/>
      </c>
      <c r="I452" s="8" t="str">
        <f>VLOOKUP(A452,Tutors!C:G,5,0)</f>
        <v/>
      </c>
      <c r="J452" s="8">
        <f>COUNTIFS(Active!C:C,A452)</f>
        <v>0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" t="s">
        <v>483</v>
      </c>
      <c r="B453" s="7">
        <f>VLOOKUP(A453,Tutors!A:B,2,0)</f>
        <v>427185258450</v>
      </c>
      <c r="C453" s="6" t="s">
        <v>477</v>
      </c>
      <c r="D453" s="6" t="s">
        <v>478</v>
      </c>
      <c r="E453" s="6" t="s">
        <v>9</v>
      </c>
      <c r="F453" s="9" t="str">
        <f>VLOOKUP(A453,Tutors!C:D,2,0)</f>
        <v>2236</v>
      </c>
      <c r="G453" s="8" t="str">
        <f>VLOOKUP(A453,Tutors!C:E,3,0)</f>
        <v>EG10-EG11</v>
      </c>
      <c r="H453" s="8" t="str">
        <f>VLOOKUP(A453,Tutors!A:F,6,0)</f>
        <v>ahmedsmry12@gmail.com</v>
      </c>
      <c r="I453" s="8" t="str">
        <f>VLOOKUP(A453,Tutors!C:G,5,0)</f>
        <v>01118803888</v>
      </c>
      <c r="J453" s="8">
        <f>COUNTIFS(Active!C:C,A453)</f>
        <v>1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" t="s">
        <v>484</v>
      </c>
      <c r="B454" s="7">
        <f>VLOOKUP(A454,Tutors!A:B,2,0)</f>
        <v>485105671631</v>
      </c>
      <c r="C454" s="6" t="s">
        <v>477</v>
      </c>
      <c r="D454" s="6" t="s">
        <v>478</v>
      </c>
      <c r="E454" s="6" t="s">
        <v>13</v>
      </c>
      <c r="F454" s="8" t="str">
        <f>VLOOKUP(A454,Tutors!C:D,2,0)</f>
        <v>2243</v>
      </c>
      <c r="G454" s="8" t="str">
        <f>VLOOKUP(A454,Tutors!C:E,3,0)</f>
        <v>EG10-EG11</v>
      </c>
      <c r="H454" s="8" t="str">
        <f>VLOOKUP(A454,Tutors!A:F,6,0)</f>
        <v>amalhegazy1628@gmail.com</v>
      </c>
      <c r="I454" s="8" t="str">
        <f>VLOOKUP(A454,Tutors!C:G,5,0)</f>
        <v>01142006904</v>
      </c>
      <c r="J454" s="8">
        <f>COUNTIFS(Active!C:C,A454)</f>
        <v>0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" t="s">
        <v>485</v>
      </c>
      <c r="B455" s="7">
        <f>VLOOKUP(A455,Tutors!A:B,2,0)</f>
        <v>684136956389</v>
      </c>
      <c r="C455" s="6" t="s">
        <v>477</v>
      </c>
      <c r="D455" s="6" t="s">
        <v>478</v>
      </c>
      <c r="E455" s="6" t="s">
        <v>9</v>
      </c>
      <c r="F455" s="8">
        <f>VLOOKUP(A455,Tutors!C:D,2,0)</f>
        <v>2272</v>
      </c>
      <c r="G455" s="8" t="str">
        <f>VLOOKUP(A455,Tutors!C:E,3,0)</f>
        <v>EG10-EG11-G12</v>
      </c>
      <c r="H455" s="8" t="str">
        <f>VLOOKUP(A455,Tutors!A:F,6,0)</f>
        <v>dr.samar.youseff@gmail.com</v>
      </c>
      <c r="I455" s="8" t="str">
        <f>VLOOKUP(A455,Tutors!C:G,5,0)</f>
        <v>01227193179</v>
      </c>
      <c r="J455" s="8">
        <f>COUNTIFS(Active!C:C,A455)</f>
        <v>1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" t="s">
        <v>486</v>
      </c>
      <c r="B456" s="7">
        <f>VLOOKUP(A456,Tutors!A:B,2,0)</f>
        <v>535159767372</v>
      </c>
      <c r="C456" s="6" t="s">
        <v>477</v>
      </c>
      <c r="D456" s="6" t="s">
        <v>478</v>
      </c>
      <c r="E456" s="6" t="s">
        <v>9</v>
      </c>
      <c r="F456" s="8">
        <f>VLOOKUP(A456,Tutors!C:D,2,0)</f>
        <v>2268</v>
      </c>
      <c r="G456" s="8" t="str">
        <f>VLOOKUP(A456,Tutors!C:E,3,0)</f>
        <v>EG10-EG11-EG12</v>
      </c>
      <c r="H456" s="8" t="str">
        <f>VLOOKUP(A456,Tutors!A:F,6,0)</f>
        <v>arsanyaziz@gmail.com</v>
      </c>
      <c r="I456" s="8" t="str">
        <f>VLOOKUP(A456,Tutors!C:G,5,0)</f>
        <v>01282842074</v>
      </c>
      <c r="J456" s="8">
        <f>COUNTIFS(Active!C:C,A456)</f>
        <v>1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" t="s">
        <v>487</v>
      </c>
      <c r="B457" s="7">
        <f>VLOOKUP(A457,Tutors!A:B,2,0)</f>
        <v>274174108437</v>
      </c>
      <c r="C457" s="6" t="s">
        <v>477</v>
      </c>
      <c r="D457" s="6" t="s">
        <v>478</v>
      </c>
      <c r="E457" s="6" t="s">
        <v>35</v>
      </c>
      <c r="F457" s="8">
        <f>VLOOKUP(A457,Tutors!C:D,2,0)</f>
        <v>2343</v>
      </c>
      <c r="G457" s="8" t="str">
        <f>VLOOKUP(A457,Tutors!C:E,3,0)</f>
        <v>EG10-EG11</v>
      </c>
      <c r="H457" s="8" t="str">
        <f>VLOOKUP(A457,Tutors!A:F,6,0)</f>
        <v>ahmed98zaky@gmail.com</v>
      </c>
      <c r="I457" s="8" t="str">
        <f>VLOOKUP(A457,Tutors!C:G,5,0)</f>
        <v>01100707485</v>
      </c>
      <c r="J457" s="8">
        <f>COUNTIFS(Active!C:C,A457)</f>
        <v>0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" t="s">
        <v>488</v>
      </c>
      <c r="B458" s="7">
        <f>VLOOKUP(A458,Tutors!A:B,2,0)</f>
        <v>164139350921</v>
      </c>
      <c r="C458" s="6" t="s">
        <v>477</v>
      </c>
      <c r="D458" s="6" t="s">
        <v>489</v>
      </c>
      <c r="E458" s="6" t="s">
        <v>9</v>
      </c>
      <c r="F458" s="9" t="str">
        <f>VLOOKUP(A458,Tutors!C:D,2,0)</f>
        <v>2054</v>
      </c>
      <c r="G458" s="8" t="str">
        <f>VLOOKUP(A458,Tutors!C:E,3,0)</f>
        <v>EG10-EG11-G12</v>
      </c>
      <c r="H458" s="8" t="str">
        <f>VLOOKUP(A458,Tutors!A:F,6,0)</f>
        <v>mhd.elgharabawi@gmail.com</v>
      </c>
      <c r="I458" s="8" t="str">
        <f>VLOOKUP(A458,Tutors!C:G,5,0)</f>
        <v>01030556439 - 01146640967</v>
      </c>
      <c r="J458" s="8">
        <f>COUNTIFS(Active!C:C,A458)</f>
        <v>1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" t="s">
        <v>490</v>
      </c>
      <c r="B459" s="7">
        <f>VLOOKUP(A459,Tutors!A:B,2,0)</f>
        <v>718157635385</v>
      </c>
      <c r="C459" s="6" t="s">
        <v>477</v>
      </c>
      <c r="D459" s="6" t="s">
        <v>489</v>
      </c>
      <c r="E459" s="6" t="s">
        <v>9</v>
      </c>
      <c r="F459" s="9" t="str">
        <f>VLOOKUP(A459,Tutors!C:D,2,0)</f>
        <v>2014</v>
      </c>
      <c r="G459" s="8" t="str">
        <f>VLOOKUP(A459,Tutors!C:E,3,0)</f>
        <v>EG10-EG11-G12</v>
      </c>
      <c r="H459" s="8" t="str">
        <f>VLOOKUP(A459,Tutors!A:F,6,0)</f>
        <v>safaa68gamal@gmail.com</v>
      </c>
      <c r="I459" s="8" t="str">
        <f>VLOOKUP(A459,Tutors!C:G,5,0)</f>
        <v/>
      </c>
      <c r="J459" s="8">
        <f>COUNTIFS(Active!C:C,A459)</f>
        <v>1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" t="s">
        <v>491</v>
      </c>
      <c r="B460" s="7">
        <f>VLOOKUP(A460,Tutors!A:B,2,0)</f>
        <v>809169821473</v>
      </c>
      <c r="C460" s="6" t="s">
        <v>477</v>
      </c>
      <c r="D460" s="6" t="s">
        <v>489</v>
      </c>
      <c r="E460" s="6" t="s">
        <v>9</v>
      </c>
      <c r="F460" s="9" t="str">
        <f>VLOOKUP(A460,Tutors!C:D,2,0)</f>
        <v>2200</v>
      </c>
      <c r="G460" s="8" t="str">
        <f>VLOOKUP(A460,Tutors!C:E,3,0)</f>
        <v>G11-G12</v>
      </c>
      <c r="H460" s="8" t="str">
        <f>VLOOKUP(A460,Tutors!A:F,6,0)</f>
        <v>abdelrhman.elsayed96@gmail.com</v>
      </c>
      <c r="I460" s="8" t="str">
        <f>VLOOKUP(A460,Tutors!C:G,5,0)</f>
        <v>01009944752</v>
      </c>
      <c r="J460" s="8">
        <f>COUNTIFS(Active!C:C,A460)</f>
        <v>1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" t="s">
        <v>492</v>
      </c>
      <c r="B461" s="7">
        <f>VLOOKUP(A461,Tutors!A:B,2,0)</f>
        <v>484190812809</v>
      </c>
      <c r="C461" s="6" t="s">
        <v>477</v>
      </c>
      <c r="D461" s="6" t="s">
        <v>489</v>
      </c>
      <c r="E461" s="6" t="s">
        <v>9</v>
      </c>
      <c r="F461" s="8">
        <f>VLOOKUP(A461,Tutors!C:D,2,0)</f>
        <v>2465</v>
      </c>
      <c r="G461" s="8" t="str">
        <f>VLOOKUP(A461,Tutors!C:E,3,0)</f>
        <v>EG11-EG12</v>
      </c>
      <c r="H461" s="8" t="str">
        <f>VLOOKUP(A461,Tutors!A:F,6,0)</f>
        <v>romanyscience00@gmail.com</v>
      </c>
      <c r="I461" s="8" t="str">
        <f>VLOOKUP(A461,Tutors!C:G,5,0)</f>
        <v>01282802415</v>
      </c>
      <c r="J461" s="8">
        <f>COUNTIFS(Active!C:C,A461)</f>
        <v>1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" t="s">
        <v>493</v>
      </c>
      <c r="B462" s="7">
        <f>VLOOKUP(A462,Tutors!A:B,2,0)</f>
        <v>725121824513</v>
      </c>
      <c r="C462" s="6" t="s">
        <v>477</v>
      </c>
      <c r="D462" s="6" t="s">
        <v>489</v>
      </c>
      <c r="E462" s="6" t="s">
        <v>184</v>
      </c>
      <c r="F462" s="8">
        <f>VLOOKUP(A462,Tutors!C:D,2,0)</f>
        <v>2510</v>
      </c>
      <c r="G462" s="8" t="str">
        <f>VLOOKUP(A462,Tutors!C:E,3,0)</f>
        <v>EG10-EG11-EG12</v>
      </c>
      <c r="H462" s="8" t="str">
        <f>VLOOKUP(A462,Tutors!A:F,6,0)</f>
        <v>khaled.ghaly.acd@gmail.com</v>
      </c>
      <c r="I462" s="8" t="str">
        <f>VLOOKUP(A462,Tutors!C:G,5,0)</f>
        <v/>
      </c>
      <c r="J462" s="8">
        <f>COUNTIFS(Active!C:C,A462)</f>
        <v>0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" t="s">
        <v>494</v>
      </c>
      <c r="B463" s="7">
        <f>VLOOKUP(A463,Tutors!A:B,2,0)</f>
        <v>368106936162</v>
      </c>
      <c r="C463" s="6" t="s">
        <v>477</v>
      </c>
      <c r="D463" s="6" t="s">
        <v>25</v>
      </c>
      <c r="E463" s="6" t="s">
        <v>9</v>
      </c>
      <c r="F463" s="9" t="str">
        <f>VLOOKUP(A463,Tutors!C:D,2,0)</f>
        <v>1794</v>
      </c>
      <c r="G463" s="8" t="str">
        <f>VLOOKUP(A463,Tutors!C:E,3,0)</f>
        <v/>
      </c>
      <c r="H463" s="8" t="str">
        <f>VLOOKUP(A463,Tutors!A:F,6,0)</f>
        <v>hebaadel19952@gmail.com</v>
      </c>
      <c r="I463" s="8">
        <f>VLOOKUP(A463,Tutors!C:G,5,0)</f>
        <v>201094446118</v>
      </c>
      <c r="J463" s="8">
        <f>COUNTIFS(Active!C:C,A463)</f>
        <v>1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" t="s">
        <v>495</v>
      </c>
      <c r="B464" s="7">
        <f>VLOOKUP(A464,Tutors!A:B,2,0)</f>
        <v>736126951732</v>
      </c>
      <c r="C464" s="6" t="s">
        <v>477</v>
      </c>
      <c r="D464" s="6" t="s">
        <v>25</v>
      </c>
      <c r="E464" s="6" t="s">
        <v>13</v>
      </c>
      <c r="F464" s="9" t="str">
        <f>VLOOKUP(A464,Tutors!C:D,2,0)</f>
        <v>1827</v>
      </c>
      <c r="G464" s="8" t="str">
        <f>VLOOKUP(A464,Tutors!C:E,3,0)</f>
        <v/>
      </c>
      <c r="H464" s="8" t="str">
        <f>VLOOKUP(A464,Tutors!A:F,6,0)</f>
        <v>nohabasuni@yahoo.com</v>
      </c>
      <c r="I464" s="8" t="str">
        <f>VLOOKUP(A464,Tutors!C:G,5,0)</f>
        <v>01016605503</v>
      </c>
      <c r="J464" s="8">
        <f>COUNTIFS(Active!C:C,A464)</f>
        <v>0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" t="s">
        <v>496</v>
      </c>
      <c r="B465" s="7">
        <f>VLOOKUP(A465,Tutors!A:B,2,0)</f>
        <v>126129384181</v>
      </c>
      <c r="C465" s="6" t="s">
        <v>477</v>
      </c>
      <c r="D465" s="6" t="s">
        <v>25</v>
      </c>
      <c r="E465" s="6" t="s">
        <v>13</v>
      </c>
      <c r="F465" s="9">
        <f>VLOOKUP(A465,Tutors!C:D,2,0)</f>
        <v>2305</v>
      </c>
      <c r="G465" s="8" t="str">
        <f>VLOOKUP(A465,Tutors!C:E,3,0)</f>
        <v/>
      </c>
      <c r="H465" s="8" t="str">
        <f>VLOOKUP(A465,Tutors!A:F,6,0)</f>
        <v>georgemagdi.vis@gmail.com</v>
      </c>
      <c r="I465" s="8" t="str">
        <f>VLOOKUP(A465,Tutors!C:G,5,0)</f>
        <v>01030904466</v>
      </c>
      <c r="J465" s="8">
        <f>COUNTIFS(Active!C:C,A465)</f>
        <v>0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" t="s">
        <v>497</v>
      </c>
      <c r="B466" s="7">
        <f>VLOOKUP(A466,Tutors!A:B,2,0)</f>
        <v>213182140457</v>
      </c>
      <c r="C466" s="6" t="s">
        <v>477</v>
      </c>
      <c r="D466" s="6" t="s">
        <v>25</v>
      </c>
      <c r="E466" s="10" t="s">
        <v>9</v>
      </c>
      <c r="F466" s="8">
        <f>VLOOKUP(A466,Tutors!C:D,2,0)</f>
        <v>2486</v>
      </c>
      <c r="G466" s="8" t="str">
        <f>VLOOKUP(A466,Tutors!C:E,3,0)</f>
        <v>EG07-EG08-EG09-EG10-EG11-EG12</v>
      </c>
      <c r="H466" s="8" t="str">
        <f>VLOOKUP(A466,Tutors!A:F,6,0)</f>
        <v>amrhussien14@gmail.com</v>
      </c>
      <c r="I466" s="8" t="str">
        <f>VLOOKUP(A466,Tutors!C:G,5,0)</f>
        <v>01095433048</v>
      </c>
      <c r="J466" s="8">
        <f>COUNTIFS(Active!C:C,A466)</f>
        <v>1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" t="s">
        <v>498</v>
      </c>
      <c r="B467" s="7">
        <f>VLOOKUP(A467,Tutors!A:B,2,0)</f>
        <v>810152324716</v>
      </c>
      <c r="C467" s="6" t="s">
        <v>477</v>
      </c>
      <c r="D467" s="6" t="s">
        <v>25</v>
      </c>
      <c r="E467" s="6" t="s">
        <v>13</v>
      </c>
      <c r="F467" s="8" t="str">
        <f>VLOOKUP(A467,Tutors!C:D,2,0)</f>
        <v/>
      </c>
      <c r="G467" s="8" t="str">
        <f>VLOOKUP(A467,Tutors!C:E,3,0)</f>
        <v>EG10-EG11-G12</v>
      </c>
      <c r="H467" s="8" t="str">
        <f>VLOOKUP(A467,Tutors!A:F,6,0)</f>
        <v>sherif_khair45@hotmail.com</v>
      </c>
      <c r="I467" s="8" t="str">
        <f>VLOOKUP(A467,Tutors!C:G,5,0)</f>
        <v>01018483822</v>
      </c>
      <c r="J467" s="8">
        <f>COUNTIFS(Active!C:C,A467)</f>
        <v>0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" t="s">
        <v>499</v>
      </c>
      <c r="B468" s="7">
        <f>VLOOKUP(A468,Tutors!A:B,2,0)</f>
        <v>503179175428</v>
      </c>
      <c r="C468" s="6" t="s">
        <v>477</v>
      </c>
      <c r="D468" s="6" t="s">
        <v>25</v>
      </c>
      <c r="E468" s="6" t="s">
        <v>9</v>
      </c>
      <c r="F468" s="8">
        <f>VLOOKUP(A468,Tutors!C:D,2,0)</f>
        <v>2726</v>
      </c>
      <c r="G468" s="8" t="str">
        <f>VLOOKUP(A468,Tutors!C:E,3,0)</f>
        <v>EG10-EG11-EG12</v>
      </c>
      <c r="H468" s="8" t="str">
        <f>VLOOKUP(A468,Tutors!A:F,6,0)</f>
        <v>hajoorhatem10@gmail.com</v>
      </c>
      <c r="I468" s="8" t="str">
        <f>VLOOKUP(A468,Tutors!C:G,5,0)</f>
        <v>01126234932</v>
      </c>
      <c r="J468" s="8">
        <f>COUNTIFS(Active!C:C,A468)</f>
        <v>0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" t="s">
        <v>500</v>
      </c>
      <c r="B469" s="7">
        <f>VLOOKUP(A469,Tutors!A:B,2,0)</f>
        <v>840108032761</v>
      </c>
      <c r="C469" s="6" t="s">
        <v>477</v>
      </c>
      <c r="D469" s="6" t="s">
        <v>25</v>
      </c>
      <c r="E469" s="10" t="s">
        <v>9</v>
      </c>
      <c r="F469" s="8">
        <f>VLOOKUP(A469,Tutors!C:D,2,0)</f>
        <v>2653</v>
      </c>
      <c r="G469" s="8" t="str">
        <f>VLOOKUP(A469,Tutors!C:E,3,0)</f>
        <v>EG10-EG11</v>
      </c>
      <c r="H469" s="8" t="str">
        <f>VLOOKUP(A469,Tutors!A:F,6,0)</f>
        <v>hekmat.shabayekesl@gmail.com</v>
      </c>
      <c r="I469" s="8" t="str">
        <f>VLOOKUP(A469,Tutors!C:G,5,0)</f>
        <v/>
      </c>
      <c r="J469" s="8">
        <f>COUNTIFS(Active!C:C,A469)</f>
        <v>1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" t="s">
        <v>501</v>
      </c>
      <c r="B470" s="7">
        <f>VLOOKUP(A470,Tutors!A:B,2,0)</f>
        <v>898189620783</v>
      </c>
      <c r="C470" s="6" t="s">
        <v>477</v>
      </c>
      <c r="D470" s="6" t="s">
        <v>502</v>
      </c>
      <c r="E470" s="10" t="s">
        <v>9</v>
      </c>
      <c r="F470" s="8">
        <f>VLOOKUP(A470,Tutors!C:D,2,0)</f>
        <v>2711</v>
      </c>
      <c r="G470" s="8" t="str">
        <f>VLOOKUP(A470,Tutors!C:E,3,0)</f>
        <v>G10</v>
      </c>
      <c r="H470" s="8" t="str">
        <f>VLOOKUP(A470,Tutors!A:F,6,0)</f>
        <v>israahassansh97@gmail.com</v>
      </c>
      <c r="I470" s="8" t="str">
        <f>VLOOKUP(A470,Tutors!C:G,5,0)</f>
        <v>01228144187</v>
      </c>
      <c r="J470" s="8">
        <f>COUNTIFS(Active!C:C,A470)</f>
        <v>1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" t="s">
        <v>503</v>
      </c>
      <c r="B471" s="7">
        <f>VLOOKUP(A471,Tutors!A:B,2,0)</f>
        <v>529120269683</v>
      </c>
      <c r="C471" s="6" t="s">
        <v>477</v>
      </c>
      <c r="D471" s="6" t="s">
        <v>502</v>
      </c>
      <c r="E471" s="6" t="s">
        <v>9</v>
      </c>
      <c r="F471" s="8">
        <f>VLOOKUP(A471,Tutors!C:D,2,0)</f>
        <v>2746</v>
      </c>
      <c r="G471" s="8" t="str">
        <f>VLOOKUP(A471,Tutors!C:E,3,0)</f>
        <v>EG07-EG08-EG10</v>
      </c>
      <c r="H471" s="8" t="str">
        <f>VLOOKUP(A471,Tutors!A:F,6,0)</f>
        <v>ahmed.elbana91@gmail.com</v>
      </c>
      <c r="I471" s="8" t="str">
        <f>VLOOKUP(A471,Tutors!C:G,5,0)</f>
        <v/>
      </c>
      <c r="J471" s="8">
        <f>COUNTIFS(Active!C:C,A471)</f>
        <v>1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" t="s">
        <v>504</v>
      </c>
      <c r="B472" s="7">
        <f>VLOOKUP(A472,Tutors!A:B,2,0)</f>
        <v>895194823203</v>
      </c>
      <c r="C472" s="6" t="s">
        <v>477</v>
      </c>
      <c r="D472" s="6" t="s">
        <v>47</v>
      </c>
      <c r="E472" s="6" t="s">
        <v>9</v>
      </c>
      <c r="F472" s="9" t="str">
        <f>VLOOKUP(A472,Tutors!C:D,2,0)</f>
        <v>1779</v>
      </c>
      <c r="G472" s="8" t="str">
        <f>VLOOKUP(A472,Tutors!C:E,3,0)</f>
        <v/>
      </c>
      <c r="H472" s="8" t="str">
        <f>VLOOKUP(A472,Tutors!A:F,6,0)</f>
        <v>eng.amrkhalil2014@gmail.com</v>
      </c>
      <c r="I472" s="8">
        <f>VLOOKUP(A472,Tutors!C:G,5,0)</f>
        <v>201146486750</v>
      </c>
      <c r="J472" s="8">
        <f>COUNTIFS(Active!C:C,A472)</f>
        <v>1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" t="s">
        <v>505</v>
      </c>
      <c r="B473" s="7">
        <f>VLOOKUP(A473,Tutors!A:B,2,0)</f>
        <v>853142059206</v>
      </c>
      <c r="C473" s="6" t="s">
        <v>477</v>
      </c>
      <c r="D473" s="6" t="s">
        <v>47</v>
      </c>
      <c r="E473" s="6" t="s">
        <v>13</v>
      </c>
      <c r="F473" s="9" t="str">
        <f>VLOOKUP(A473,Tutors!C:D,2,0)</f>
        <v>1870</v>
      </c>
      <c r="G473" s="8" t="str">
        <f>VLOOKUP(A473,Tutors!C:E,3,0)</f>
        <v/>
      </c>
      <c r="H473" s="8" t="str">
        <f>VLOOKUP(A473,Tutors!A:F,6,0)</f>
        <v>dr.nashar1x@gmail.com</v>
      </c>
      <c r="I473" s="8" t="str">
        <f>VLOOKUP(A473,Tutors!C:G,5,0)</f>
        <v/>
      </c>
      <c r="J473" s="8">
        <f>COUNTIFS(Active!C:C,A473)</f>
        <v>0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" t="s">
        <v>506</v>
      </c>
      <c r="B474" s="7">
        <f>VLOOKUP(A474,Tutors!A:B,2,0)</f>
        <v>698131716280</v>
      </c>
      <c r="C474" s="6" t="s">
        <v>477</v>
      </c>
      <c r="D474" s="6" t="s">
        <v>47</v>
      </c>
      <c r="E474" s="6" t="s">
        <v>9</v>
      </c>
      <c r="F474" s="9" t="str">
        <f>VLOOKUP(A474,Tutors!C:D,2,0)</f>
        <v>1955</v>
      </c>
      <c r="G474" s="8" t="str">
        <f>VLOOKUP(A474,Tutors!C:E,3,0)</f>
        <v/>
      </c>
      <c r="H474" s="8" t="str">
        <f>VLOOKUP(A474,Tutors!A:F,6,0)</f>
        <v>mr.sayedsabry.ss10@gmail.com</v>
      </c>
      <c r="I474" s="8">
        <f>VLOOKUP(A474,Tutors!C:G,5,0)</f>
        <v>1204000519</v>
      </c>
      <c r="J474" s="8">
        <f>COUNTIFS(Active!C:C,A474)</f>
        <v>1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" t="s">
        <v>507</v>
      </c>
      <c r="B475" s="7">
        <f>VLOOKUP(A475,Tutors!A:B,2,0)</f>
        <v>108136563671</v>
      </c>
      <c r="C475" s="6" t="s">
        <v>477</v>
      </c>
      <c r="D475" s="6" t="s">
        <v>47</v>
      </c>
      <c r="E475" s="10" t="s">
        <v>9</v>
      </c>
      <c r="F475" s="9" t="str">
        <f>VLOOKUP(A475,Tutors!C:D,2,0)</f>
        <v>1954</v>
      </c>
      <c r="G475" s="8" t="str">
        <f>VLOOKUP(A475,Tutors!C:E,3,0)</f>
        <v/>
      </c>
      <c r="H475" s="8" t="str">
        <f>VLOOKUP(A475,Tutors!A:F,6,0)</f>
        <v>elhussein_mohamed@outlook.com</v>
      </c>
      <c r="I475" s="8" t="str">
        <f>VLOOKUP(A475,Tutors!C:G,5,0)</f>
        <v>+201096252126</v>
      </c>
      <c r="J475" s="8">
        <f>COUNTIFS(Active!C:C,A475)</f>
        <v>1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" t="s">
        <v>508</v>
      </c>
      <c r="B476" s="7">
        <f>VLOOKUP(A476,Tutors!A:B,2,0)</f>
        <v>987156102178</v>
      </c>
      <c r="C476" s="6" t="s">
        <v>477</v>
      </c>
      <c r="D476" s="6" t="s">
        <v>47</v>
      </c>
      <c r="E476" s="6" t="s">
        <v>9</v>
      </c>
      <c r="F476" s="8">
        <f>VLOOKUP(A476,Tutors!C:D,2,0)</f>
        <v>2481</v>
      </c>
      <c r="G476" s="8" t="str">
        <f>VLOOKUP(A476,Tutors!C:E,3,0)</f>
        <v>EG07-EG08-EG09-EG10-EG11-EG12</v>
      </c>
      <c r="H476" s="8" t="str">
        <f>VLOOKUP(A476,Tutors!A:F,6,0)</f>
        <v>ahmedsakr1975@gmail.com</v>
      </c>
      <c r="I476" s="8" t="str">
        <f>VLOOKUP(A476,Tutors!C:G,5,0)</f>
        <v>01118411148</v>
      </c>
      <c r="J476" s="8">
        <f>COUNTIFS(Active!C:C,A476)</f>
        <v>1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" t="s">
        <v>509</v>
      </c>
      <c r="B477" s="7">
        <f>VLOOKUP(A477,Tutors!A:B,2,0)</f>
        <v>530148208342</v>
      </c>
      <c r="C477" s="6" t="s">
        <v>477</v>
      </c>
      <c r="D477" s="6" t="s">
        <v>510</v>
      </c>
      <c r="E477" s="6" t="s">
        <v>13</v>
      </c>
      <c r="F477" s="9" t="str">
        <f>VLOOKUP(A477,Tutors!C:D,2,0)</f>
        <v>1868</v>
      </c>
      <c r="G477" s="8" t="str">
        <f>VLOOKUP(A477,Tutors!C:E,3,0)</f>
        <v/>
      </c>
      <c r="H477" s="8" t="str">
        <f>VLOOKUP(A477,Tutors!A:F,6,0)</f>
        <v>ahmedsayed121292@gmail.com</v>
      </c>
      <c r="I477" s="8">
        <f>VLOOKUP(A477,Tutors!C:G,5,0)</f>
        <v>1111733923</v>
      </c>
      <c r="J477" s="8">
        <f>COUNTIFS(Active!C:C,A477)</f>
        <v>0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" t="s">
        <v>511</v>
      </c>
      <c r="B478" s="7">
        <f>VLOOKUP(A478,Tutors!A:B,2,0)</f>
        <v>206152939465</v>
      </c>
      <c r="C478" s="6" t="s">
        <v>477</v>
      </c>
      <c r="D478" s="6" t="s">
        <v>510</v>
      </c>
      <c r="E478" s="6" t="s">
        <v>9</v>
      </c>
      <c r="F478" s="9" t="str">
        <f>VLOOKUP(A478,Tutors!C:D,2,0)</f>
        <v>1864</v>
      </c>
      <c r="G478" s="8" t="str">
        <f>VLOOKUP(A478,Tutors!C:E,3,0)</f>
        <v>G11-G12</v>
      </c>
      <c r="H478" s="8" t="str">
        <f>VLOOKUP(A478,Tutors!A:F,6,0)</f>
        <v>josephemil.jojo@gmail.com</v>
      </c>
      <c r="I478" s="8" t="str">
        <f>VLOOKUP(A478,Tutors!C:G,5,0)</f>
        <v>+201228157318</v>
      </c>
      <c r="J478" s="8">
        <f>COUNTIFS(Active!C:C,A478)</f>
        <v>1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" t="s">
        <v>512</v>
      </c>
      <c r="B479" s="7">
        <f>VLOOKUP(A479,Tutors!A:B,2,0)</f>
        <v>920135701295</v>
      </c>
      <c r="C479" s="6" t="s">
        <v>477</v>
      </c>
      <c r="D479" s="6" t="s">
        <v>510</v>
      </c>
      <c r="E479" s="6" t="s">
        <v>9</v>
      </c>
      <c r="F479" s="9" t="str">
        <f>VLOOKUP(A479,Tutors!C:D,2,0)</f>
        <v>1887</v>
      </c>
      <c r="G479" s="8" t="str">
        <f>VLOOKUP(A479,Tutors!C:E,3,0)</f>
        <v>G11-G12</v>
      </c>
      <c r="H479" s="8" t="str">
        <f>VLOOKUP(A479,Tutors!A:F,6,0)</f>
        <v>mr.eslammamdohphysics@gmail.com</v>
      </c>
      <c r="I479" s="8" t="str">
        <f>VLOOKUP(A479,Tutors!C:G,5,0)</f>
        <v>01220501541 / 01006878086</v>
      </c>
      <c r="J479" s="8">
        <f>COUNTIFS(Active!C:C,A479)</f>
        <v>1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" t="s">
        <v>513</v>
      </c>
      <c r="B480" s="7">
        <f>VLOOKUP(A480,Tutors!A:B,2,0)</f>
        <v>239195281814</v>
      </c>
      <c r="C480" s="6" t="s">
        <v>477</v>
      </c>
      <c r="D480" s="6" t="s">
        <v>510</v>
      </c>
      <c r="E480" s="6" t="s">
        <v>9</v>
      </c>
      <c r="F480" s="9" t="str">
        <f>VLOOKUP(A480,Tutors!C:D,2,0)</f>
        <v>1969</v>
      </c>
      <c r="G480" s="8" t="str">
        <f>VLOOKUP(A480,Tutors!C:E,3,0)</f>
        <v>G11-G12</v>
      </c>
      <c r="H480" s="8" t="str">
        <f>VLOOKUP(A480,Tutors!A:F,6,0)</f>
        <v>rehab.a.alsaidi@gmail.com</v>
      </c>
      <c r="I480" s="8" t="str">
        <f>VLOOKUP(A480,Tutors!C:G,5,0)</f>
        <v>01062441609</v>
      </c>
      <c r="J480" s="8">
        <f>COUNTIFS(Active!C:C,A480)</f>
        <v>0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" t="s">
        <v>514</v>
      </c>
      <c r="B481" s="7">
        <f>VLOOKUP(A481,Tutors!A:B,2,0)</f>
        <v>493105352632</v>
      </c>
      <c r="C481" s="6" t="s">
        <v>477</v>
      </c>
      <c r="D481" s="6" t="s">
        <v>510</v>
      </c>
      <c r="E481" s="6" t="s">
        <v>9</v>
      </c>
      <c r="F481" s="9" t="str">
        <f>VLOOKUP(A481,Tutors!C:D,2,0)</f>
        <v>2017</v>
      </c>
      <c r="G481" s="8" t="str">
        <f>VLOOKUP(A481,Tutors!C:E,3,0)</f>
        <v>G11-G12</v>
      </c>
      <c r="H481" s="8" t="str">
        <f>VLOOKUP(A481,Tutors!A:F,6,0)</f>
        <v>wailpoet76@gmail.com</v>
      </c>
      <c r="I481" s="8" t="str">
        <f>VLOOKUP(A481,Tutors!C:G,5,0)</f>
        <v>+201004104024</v>
      </c>
      <c r="J481" s="8">
        <f>COUNTIFS(Active!C:C,A481)</f>
        <v>1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" t="s">
        <v>515</v>
      </c>
      <c r="B482" s="7">
        <f>VLOOKUP(A482,Tutors!A:B,2,0)</f>
        <v>697161098253</v>
      </c>
      <c r="C482" s="6" t="s">
        <v>477</v>
      </c>
      <c r="D482" s="6" t="s">
        <v>510</v>
      </c>
      <c r="E482" s="10" t="s">
        <v>9</v>
      </c>
      <c r="F482" s="9" t="str">
        <f>VLOOKUP(A482,Tutors!C:D,2,0)</f>
        <v>2195</v>
      </c>
      <c r="G482" s="8" t="str">
        <f>VLOOKUP(A482,Tutors!C:E,3,0)</f>
        <v>EG10-EG11-G12</v>
      </c>
      <c r="H482" s="8" t="str">
        <f>VLOOKUP(A482,Tutors!A:F,6,0)</f>
        <v>alhassan.physics@gmail.com</v>
      </c>
      <c r="I482" s="8" t="str">
        <f>VLOOKUP(A482,Tutors!C:G,5,0)</f>
        <v>01275338309</v>
      </c>
      <c r="J482" s="8">
        <f>COUNTIFS(Active!C:C,A482)</f>
        <v>1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" t="s">
        <v>516</v>
      </c>
      <c r="B483" s="7">
        <f>VLOOKUP(A483,Tutors!A:B,2,0)</f>
        <v>606135373517</v>
      </c>
      <c r="C483" s="6" t="s">
        <v>477</v>
      </c>
      <c r="D483" s="6" t="s">
        <v>510</v>
      </c>
      <c r="E483" s="6" t="s">
        <v>9</v>
      </c>
      <c r="F483" s="8">
        <f>VLOOKUP(A483,Tutors!C:D,2,0)</f>
        <v>2372</v>
      </c>
      <c r="G483" s="8" t="str">
        <f>VLOOKUP(A483,Tutors!C:E,3,0)</f>
        <v>EG10-EG11-G12</v>
      </c>
      <c r="H483" s="8" t="str">
        <f>VLOOKUP(A483,Tutors!A:F,6,0)</f>
        <v>sitroful350@gmail.com</v>
      </c>
      <c r="I483" s="8" t="str">
        <f>VLOOKUP(A483,Tutors!C:G,5,0)</f>
        <v>01204178960</v>
      </c>
      <c r="J483" s="8">
        <f>COUNTIFS(Active!C:C,A483)</f>
        <v>1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" t="s">
        <v>517</v>
      </c>
      <c r="B484" s="7">
        <f>VLOOKUP(A484,Tutors!A:B,2,0)</f>
        <v>538169672528</v>
      </c>
      <c r="C484" s="6" t="s">
        <v>477</v>
      </c>
      <c r="D484" s="6" t="s">
        <v>510</v>
      </c>
      <c r="E484" s="6" t="s">
        <v>13</v>
      </c>
      <c r="F484" s="8">
        <f>VLOOKUP(A484,Tutors!C:D,2,0)</f>
        <v>2369</v>
      </c>
      <c r="G484" s="8" t="str">
        <f>VLOOKUP(A484,Tutors!C:E,3,0)</f>
        <v>EG10-EG11-G12</v>
      </c>
      <c r="H484" s="8" t="str">
        <f>VLOOKUP(A484,Tutors!A:F,6,0)</f>
        <v>geo.georgeedris@gmail.com</v>
      </c>
      <c r="I484" s="8" t="str">
        <f>VLOOKUP(A484,Tutors!C:G,5,0)</f>
        <v>01289730426</v>
      </c>
      <c r="J484" s="8">
        <f>COUNTIFS(Active!C:C,A484)</f>
        <v>0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" t="s">
        <v>518</v>
      </c>
      <c r="B485" s="7">
        <f>VLOOKUP(A485,Tutors!A:B,2,0)</f>
        <v>156154179702</v>
      </c>
      <c r="C485" s="6" t="s">
        <v>477</v>
      </c>
      <c r="D485" s="6" t="s">
        <v>519</v>
      </c>
      <c r="E485" s="6" t="s">
        <v>13</v>
      </c>
      <c r="F485" s="9" t="str">
        <f>VLOOKUP(A485,Tutors!C:D,2,0)</f>
        <v>1777</v>
      </c>
      <c r="G485" s="8" t="str">
        <f>VLOOKUP(A485,Tutors!C:E,3,0)</f>
        <v>EG10-EG11-G12</v>
      </c>
      <c r="H485" s="8" t="str">
        <f>VLOOKUP(A485,Tutors!A:F,6,0)</f>
        <v>sama.elberashy@gmail.com</v>
      </c>
      <c r="I485" s="8">
        <f>VLOOKUP(A485,Tutors!C:G,5,0)</f>
        <v>201001344221</v>
      </c>
      <c r="J485" s="8">
        <f>COUNTIFS(Active!C:C,A485)</f>
        <v>0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" t="s">
        <v>520</v>
      </c>
      <c r="B486" s="7">
        <f>VLOOKUP(A486,Tutors!A:B,2,0)</f>
        <v>160143206257</v>
      </c>
      <c r="C486" s="6" t="s">
        <v>477</v>
      </c>
      <c r="D486" s="6" t="s">
        <v>519</v>
      </c>
      <c r="E486" s="6" t="s">
        <v>9</v>
      </c>
      <c r="F486" s="9" t="str">
        <f>VLOOKUP(A486,Tutors!C:D,2,0)</f>
        <v>1918</v>
      </c>
      <c r="G486" s="8" t="str">
        <f>VLOOKUP(A486,Tutors!C:E,3,0)</f>
        <v>EG10-EG11</v>
      </c>
      <c r="H486" s="8" t="str">
        <f>VLOOKUP(A486,Tutors!A:F,6,0)</f>
        <v>ahmedhamada07@gmail.com</v>
      </c>
      <c r="I486" s="8" t="str">
        <f>VLOOKUP(A486,Tutors!C:G,5,0)</f>
        <v/>
      </c>
      <c r="J486" s="8">
        <f>COUNTIFS(Active!C:C,A486)</f>
        <v>1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" t="s">
        <v>521</v>
      </c>
      <c r="B487" s="7">
        <f>VLOOKUP(A487,Tutors!A:B,2,0)</f>
        <v>185172946290</v>
      </c>
      <c r="C487" s="6" t="s">
        <v>477</v>
      </c>
      <c r="D487" s="6" t="s">
        <v>519</v>
      </c>
      <c r="E487" s="6" t="s">
        <v>13</v>
      </c>
      <c r="F487" s="9" t="str">
        <f>VLOOKUP(A487,Tutors!C:D,2,0)</f>
        <v>1927</v>
      </c>
      <c r="G487" s="8" t="str">
        <f>VLOOKUP(A487,Tutors!C:E,3,0)</f>
        <v>EG10-EG11-G12</v>
      </c>
      <c r="H487" s="8" t="str">
        <f>VLOOKUP(A487,Tutors!A:F,6,0)</f>
        <v>ragab313@gmail.com</v>
      </c>
      <c r="I487" s="8" t="str">
        <f>VLOOKUP(A487,Tutors!C:G,5,0)</f>
        <v>01550767106</v>
      </c>
      <c r="J487" s="8">
        <f>COUNTIFS(Active!C:C,A487)</f>
        <v>0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" t="s">
        <v>522</v>
      </c>
      <c r="B488" s="7">
        <f>VLOOKUP(A488,Tutors!A:B,2,0)</f>
        <v>305108276197</v>
      </c>
      <c r="C488" s="6" t="s">
        <v>477</v>
      </c>
      <c r="D488" s="6" t="s">
        <v>519</v>
      </c>
      <c r="E488" s="6" t="s">
        <v>13</v>
      </c>
      <c r="F488" s="9" t="str">
        <f>VLOOKUP(A488,Tutors!C:D,2,0)</f>
        <v>1970</v>
      </c>
      <c r="G488" s="8" t="str">
        <f>VLOOKUP(A488,Tutors!C:E,3,0)</f>
        <v>EG10-EG11-G12</v>
      </c>
      <c r="H488" s="8" t="str">
        <f>VLOOKUP(A488,Tutors!A:F,6,0)</f>
        <v>abeerabdelhalim153@gmail.com</v>
      </c>
      <c r="I488" s="8">
        <f>VLOOKUP(A488,Tutors!C:G,5,0)</f>
        <v>1012274118</v>
      </c>
      <c r="J488" s="8">
        <f>COUNTIFS(Active!C:C,A488)</f>
        <v>0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" t="s">
        <v>523</v>
      </c>
      <c r="B489" s="7">
        <f>VLOOKUP(A489,Tutors!A:B,2,0)</f>
        <v>964165080713</v>
      </c>
      <c r="C489" s="6" t="s">
        <v>477</v>
      </c>
      <c r="D489" s="6" t="s">
        <v>519</v>
      </c>
      <c r="E489" s="6" t="s">
        <v>9</v>
      </c>
      <c r="F489" s="9" t="str">
        <f>VLOOKUP(A489,Tutors!C:D,2,0)</f>
        <v>2152</v>
      </c>
      <c r="G489" s="8" t="str">
        <f>VLOOKUP(A489,Tutors!C:E,3,0)</f>
        <v>EG10-EG11-G12</v>
      </c>
      <c r="H489" s="8" t="str">
        <f>VLOOKUP(A489,Tutors!A:F,6,0)</f>
        <v>muhmdhanii@gmail.com</v>
      </c>
      <c r="I489" s="8" t="str">
        <f>VLOOKUP(A489,Tutors!C:G,5,0)</f>
        <v>01555776125</v>
      </c>
      <c r="J489" s="8">
        <f>COUNTIFS(Active!C:C,A489)</f>
        <v>1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" t="s">
        <v>524</v>
      </c>
      <c r="B490" s="7">
        <f>VLOOKUP(A490,Tutors!A:B,2,0)</f>
        <v>850173474604</v>
      </c>
      <c r="C490" s="6" t="s">
        <v>477</v>
      </c>
      <c r="D490" s="6" t="s">
        <v>519</v>
      </c>
      <c r="E490" s="6" t="s">
        <v>13</v>
      </c>
      <c r="F490" s="8">
        <f>VLOOKUP(A490,Tutors!C:D,2,0)</f>
        <v>2235</v>
      </c>
      <c r="G490" s="8" t="str">
        <f>VLOOKUP(A490,Tutors!C:E,3,0)</f>
        <v/>
      </c>
      <c r="H490" s="8" t="str">
        <f>VLOOKUP(A490,Tutors!A:F,6,0)</f>
        <v>mahmouedalsayh5@gmail.com</v>
      </c>
      <c r="I490" s="8" t="str">
        <f>VLOOKUP(A490,Tutors!C:G,5,0)</f>
        <v>01003104577</v>
      </c>
      <c r="J490" s="8">
        <f>COUNTIFS(Active!C:C,A490)</f>
        <v>0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" t="s">
        <v>525</v>
      </c>
      <c r="B491" s="7">
        <f>VLOOKUP(A491,Tutors!A:B,2,0)</f>
        <v>932148693706</v>
      </c>
      <c r="C491" s="6" t="s">
        <v>477</v>
      </c>
      <c r="D491" s="6" t="s">
        <v>519</v>
      </c>
      <c r="E491" s="6" t="s">
        <v>9</v>
      </c>
      <c r="F491" s="8">
        <f>VLOOKUP(A491,Tutors!C:D,2,0)</f>
        <v>2233</v>
      </c>
      <c r="G491" s="8" t="str">
        <f>VLOOKUP(A491,Tutors!C:E,3,0)</f>
        <v>Science: EG04-EG05-EG06
العلوم: EG07-EG08-EG09-
الأحياء: G11-G12</v>
      </c>
      <c r="H491" s="8" t="str">
        <f>VLOOKUP(A491,Tutors!A:F,6,0)</f>
        <v>doddaheart2003@gmail.com</v>
      </c>
      <c r="I491" s="8" t="str">
        <f>VLOOKUP(A491,Tutors!C:G,5,0)</f>
        <v>0111105994</v>
      </c>
      <c r="J491" s="8">
        <f>COUNTIFS(Active!C:C,A491)</f>
        <v>1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" t="s">
        <v>526</v>
      </c>
      <c r="B492" s="7">
        <f>VLOOKUP(A492,Tutors!A:B,2,0)</f>
        <v>906184953437</v>
      </c>
      <c r="C492" s="6" t="s">
        <v>477</v>
      </c>
      <c r="D492" s="6" t="s">
        <v>527</v>
      </c>
      <c r="E492" s="6" t="s">
        <v>9</v>
      </c>
      <c r="F492" s="9" t="str">
        <f>VLOOKUP(A492,Tutors!C:D,2,0)</f>
        <v>1763</v>
      </c>
      <c r="G492" s="8" t="str">
        <f>VLOOKUP(A492,Tutors!C:E,3,0)</f>
        <v/>
      </c>
      <c r="H492" s="8" t="str">
        <f>VLOOKUP(A492,Tutors!A:F,6,0)</f>
        <v>ismailm1989@gmail.com</v>
      </c>
      <c r="I492" s="8">
        <f>VLOOKUP(A492,Tutors!C:G,5,0)</f>
        <v>201129525491</v>
      </c>
      <c r="J492" s="8">
        <f>COUNTIFS(Active!C:C,A492)</f>
        <v>1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" t="s">
        <v>528</v>
      </c>
      <c r="B493" s="7">
        <f>VLOOKUP(A493,Tutors!A:B,2,0)</f>
        <v>624104658072</v>
      </c>
      <c r="C493" s="6" t="s">
        <v>477</v>
      </c>
      <c r="D493" s="6" t="s">
        <v>527</v>
      </c>
      <c r="E493" s="6" t="s">
        <v>13</v>
      </c>
      <c r="F493" s="9" t="str">
        <f>VLOOKUP(A493,Tutors!C:D,2,0)</f>
        <v>1265</v>
      </c>
      <c r="G493" s="8" t="str">
        <f>VLOOKUP(A493,Tutors!C:E,3,0)</f>
        <v/>
      </c>
      <c r="H493" s="8" t="str">
        <f>VLOOKUP(A493,Tutors!A:F,6,0)</f>
        <v>ahmed.abdellatif@nagwa.com</v>
      </c>
      <c r="I493" s="8">
        <f>VLOOKUP(A493,Tutors!C:G,5,0)</f>
        <v>201018842229</v>
      </c>
      <c r="J493" s="8">
        <f>COUNTIFS(Active!C:C,A493)</f>
        <v>0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" t="s">
        <v>529</v>
      </c>
      <c r="B494" s="7">
        <f>VLOOKUP(A494,Tutors!A:B,2,0)</f>
        <v>480103238452</v>
      </c>
      <c r="C494" s="6" t="s">
        <v>477</v>
      </c>
      <c r="D494" s="6" t="s">
        <v>527</v>
      </c>
      <c r="E494" s="6" t="s">
        <v>9</v>
      </c>
      <c r="F494" s="9" t="str">
        <f>VLOOKUP(A494,Tutors!C:D,2,0)</f>
        <v>1762</v>
      </c>
      <c r="G494" s="8" t="str">
        <f>VLOOKUP(A494,Tutors!C:E,3,0)</f>
        <v/>
      </c>
      <c r="H494" s="8" t="str">
        <f>VLOOKUP(A494,Tutors!A:F,6,0)</f>
        <v>ahmedhassan99967@gmail.com</v>
      </c>
      <c r="I494" s="8">
        <f>VLOOKUP(A494,Tutors!C:G,5,0)</f>
        <v>201007787118</v>
      </c>
      <c r="J494" s="8">
        <f>COUNTIFS(Active!C:C,A494)</f>
        <v>1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" t="s">
        <v>530</v>
      </c>
      <c r="B495" s="7">
        <f>VLOOKUP(A495,Tutors!A:B,2,0)</f>
        <v>524151240185</v>
      </c>
      <c r="C495" s="6" t="s">
        <v>477</v>
      </c>
      <c r="D495" s="6" t="s">
        <v>527</v>
      </c>
      <c r="E495" s="6" t="s">
        <v>9</v>
      </c>
      <c r="F495" s="9" t="str">
        <f>VLOOKUP(A495,Tutors!C:D,2,0)</f>
        <v>1786</v>
      </c>
      <c r="G495" s="8" t="str">
        <f>VLOOKUP(A495,Tutors!C:E,3,0)</f>
        <v/>
      </c>
      <c r="H495" s="8" t="str">
        <f>VLOOKUP(A495,Tutors!A:F,6,0)</f>
        <v>gehadbadr89@gmail.com</v>
      </c>
      <c r="I495" s="8" t="str">
        <f>VLOOKUP(A495,Tutors!C:G,5,0)</f>
        <v>01090297182</v>
      </c>
      <c r="J495" s="8">
        <f>COUNTIFS(Active!C:C,A495)</f>
        <v>1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" t="s">
        <v>531</v>
      </c>
      <c r="B496" s="7">
        <f>VLOOKUP(A496,Tutors!A:B,2,0)</f>
        <v>630193927137</v>
      </c>
      <c r="C496" s="6" t="s">
        <v>477</v>
      </c>
      <c r="D496" s="6" t="s">
        <v>47</v>
      </c>
      <c r="E496" s="6" t="s">
        <v>9</v>
      </c>
      <c r="F496" s="8">
        <f>VLOOKUP(A496,Tutors!C:D,2,0)</f>
        <v>1929</v>
      </c>
      <c r="G496" s="8" t="str">
        <f>VLOOKUP(A496,Tutors!C:E,3,0)</f>
        <v>EG07-EG08-EG09</v>
      </c>
      <c r="H496" s="8" t="str">
        <f>VLOOKUP(A496,Tutors!A:F,6,0)</f>
        <v>ahmedhym99.ah@gmail.com</v>
      </c>
      <c r="I496" s="8" t="str">
        <f>VLOOKUP(A496,Tutors!C:G,5,0)</f>
        <v>01286412331</v>
      </c>
      <c r="J496" s="8">
        <f>COUNTIFS(Active!C:C,A496)</f>
        <v>0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" t="s">
        <v>532</v>
      </c>
      <c r="B497" s="7">
        <f>VLOOKUP(A497,Tutors!A:B,2,0)</f>
        <v>509154312983</v>
      </c>
      <c r="C497" s="6" t="s">
        <v>477</v>
      </c>
      <c r="D497" s="6" t="s">
        <v>527</v>
      </c>
      <c r="E497" s="10" t="s">
        <v>9</v>
      </c>
      <c r="F497" s="9" t="str">
        <f>VLOOKUP(A497,Tutors!C:D,2,0)</f>
        <v>2060</v>
      </c>
      <c r="G497" s="8" t="str">
        <f>VLOOKUP(A497,Tutors!C:E,3,0)</f>
        <v/>
      </c>
      <c r="H497" s="8" t="str">
        <f>VLOOKUP(A497,Tutors!A:F,6,0)</f>
        <v>hatem01144465866@gmail.com</v>
      </c>
      <c r="I497" s="8" t="str">
        <f>VLOOKUP(A497,Tutors!C:G,5,0)</f>
        <v>01005244058/01144465866</v>
      </c>
      <c r="J497" s="8">
        <f>COUNTIFS(Active!C:C,A497)</f>
        <v>1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" t="s">
        <v>533</v>
      </c>
      <c r="B498" s="7">
        <f>VLOOKUP(A498,Tutors!A:B,2,0)</f>
        <v>506172862613</v>
      </c>
      <c r="C498" s="6" t="s">
        <v>477</v>
      </c>
      <c r="D498" s="6" t="s">
        <v>527</v>
      </c>
      <c r="E498" s="6" t="s">
        <v>9</v>
      </c>
      <c r="F498" s="9" t="str">
        <f>VLOOKUP(A498,Tutors!C:D,2,0)</f>
        <v>2209</v>
      </c>
      <c r="G498" s="8" t="str">
        <f>VLOOKUP(A498,Tutors!C:E,3,0)</f>
        <v>EG10-EG11-G12</v>
      </c>
      <c r="H498" s="8" t="str">
        <f>VLOOKUP(A498,Tutors!A:F,6,0)</f>
        <v>tahaabdalrazek97@gmail.com</v>
      </c>
      <c r="I498" s="8" t="str">
        <f>VLOOKUP(A498,Tutors!C:G,5,0)</f>
        <v>01150011597</v>
      </c>
      <c r="J498" s="8">
        <f>COUNTIFS(Active!C:C,A498)</f>
        <v>1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" t="s">
        <v>534</v>
      </c>
      <c r="B499" s="7">
        <f>VLOOKUP(A499,Tutors!A:B,2,0)</f>
        <v>789173210154</v>
      </c>
      <c r="C499" s="6" t="s">
        <v>477</v>
      </c>
      <c r="D499" s="6" t="s">
        <v>527</v>
      </c>
      <c r="E499" s="6" t="s">
        <v>13</v>
      </c>
      <c r="F499" s="9" t="str">
        <f>VLOOKUP(A499,Tutors!C:D,2,0)</f>
        <v>2201</v>
      </c>
      <c r="G499" s="8" t="str">
        <f>VLOOKUP(A499,Tutors!C:E,3,0)</f>
        <v>EG10-EG11-G12</v>
      </c>
      <c r="H499" s="8" t="str">
        <f>VLOOKUP(A499,Tutors!A:F,6,0)</f>
        <v>jockey.jojo87@gmail.com</v>
      </c>
      <c r="I499" s="8" t="str">
        <f>VLOOKUP(A499,Tutors!C:G,5,0)</f>
        <v>01225423098</v>
      </c>
      <c r="J499" s="8">
        <f>COUNTIFS(Active!C:C,A499)</f>
        <v>0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" t="s">
        <v>535</v>
      </c>
      <c r="B500" s="7">
        <f>VLOOKUP(A500,Tutors!A:B,2,0)</f>
        <v>312183290317</v>
      </c>
      <c r="C500" s="6" t="s">
        <v>477</v>
      </c>
      <c r="D500" s="6" t="s">
        <v>527</v>
      </c>
      <c r="E500" s="6" t="s">
        <v>9</v>
      </c>
      <c r="F500" s="9" t="str">
        <f>VLOOKUP(A500,Tutors!C:D,2,0)</f>
        <v>2087</v>
      </c>
      <c r="G500" s="8" t="str">
        <f>VLOOKUP(A500,Tutors!C:E,3,0)</f>
        <v/>
      </c>
      <c r="H500" s="8" t="str">
        <f>VLOOKUP(A500,Tutors!A:F,6,0)</f>
        <v>bassemibrahim8899@gmail.com</v>
      </c>
      <c r="I500" s="8" t="str">
        <f>VLOOKUP(A500,Tutors!C:G,5,0)</f>
        <v>01004916918</v>
      </c>
      <c r="J500" s="8">
        <f>COUNTIFS(Active!C:C,A500)</f>
        <v>1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" t="s">
        <v>536</v>
      </c>
      <c r="B501" s="7">
        <f>VLOOKUP(A501,Tutors!A:B,2,0)</f>
        <v>379176206354</v>
      </c>
      <c r="C501" s="6" t="s">
        <v>477</v>
      </c>
      <c r="D501" s="6" t="s">
        <v>537</v>
      </c>
      <c r="E501" s="6" t="s">
        <v>13</v>
      </c>
      <c r="F501" s="9" t="str">
        <f>VLOOKUP(A501,Tutors!C:D,2,0)</f>
        <v>1778</v>
      </c>
      <c r="G501" s="8" t="str">
        <f>VLOOKUP(A501,Tutors!C:E,3,0)</f>
        <v/>
      </c>
      <c r="H501" s="8" t="str">
        <f>VLOOKUP(A501,Tutors!A:F,6,0)</f>
        <v>tareksleem606@gmail.com</v>
      </c>
      <c r="I501" s="8">
        <f>VLOOKUP(A501,Tutors!C:G,5,0)</f>
        <v>201001599199</v>
      </c>
      <c r="J501" s="8">
        <f>COUNTIFS(Active!C:C,A501)</f>
        <v>0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" t="s">
        <v>538</v>
      </c>
      <c r="B502" s="7">
        <f>VLOOKUP(A502,Tutors!A:B,2,0)</f>
        <v>415194597216</v>
      </c>
      <c r="C502" s="6" t="s">
        <v>477</v>
      </c>
      <c r="D502" s="6" t="s">
        <v>537</v>
      </c>
      <c r="E502" s="6" t="s">
        <v>9</v>
      </c>
      <c r="F502" s="9" t="str">
        <f>VLOOKUP(A502,Tutors!C:D,2,0)</f>
        <v>1787</v>
      </c>
      <c r="G502" s="8" t="str">
        <f>VLOOKUP(A502,Tutors!C:E,3,0)</f>
        <v/>
      </c>
      <c r="H502" s="8" t="str">
        <f>VLOOKUP(A502,Tutors!A:F,6,0)</f>
        <v>abomahmoudsoultan@gmail.com</v>
      </c>
      <c r="I502" s="8" t="str">
        <f>VLOOKUP(A502,Tutors!C:G,5,0)</f>
        <v>00201153335900</v>
      </c>
      <c r="J502" s="8">
        <f>COUNTIFS(Active!C:C,A502)</f>
        <v>1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" t="s">
        <v>539</v>
      </c>
      <c r="B503" s="7">
        <f>VLOOKUP(A503,Tutors!A:B,2,0)</f>
        <v>595148942145</v>
      </c>
      <c r="C503" s="6" t="s">
        <v>477</v>
      </c>
      <c r="D503" s="6" t="s">
        <v>537</v>
      </c>
      <c r="E503" s="6" t="s">
        <v>13</v>
      </c>
      <c r="F503" s="9" t="str">
        <f>VLOOKUP(A503,Tutors!C:D,2,0)</f>
        <v>1853</v>
      </c>
      <c r="G503" s="8" t="str">
        <f>VLOOKUP(A503,Tutors!C:E,3,0)</f>
        <v/>
      </c>
      <c r="H503" s="8" t="str">
        <f>VLOOKUP(A503,Tutors!A:F,6,0)</f>
        <v>elzehiry96@gmail.com</v>
      </c>
      <c r="I503" s="8" t="str">
        <f>VLOOKUP(A503,Tutors!C:G,5,0)</f>
        <v/>
      </c>
      <c r="J503" s="8">
        <f>COUNTIFS(Active!C:C,A503)</f>
        <v>0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" t="s">
        <v>540</v>
      </c>
      <c r="B504" s="7">
        <f>VLOOKUP(A504,Tutors!A:B,2,0)</f>
        <v>357195672504</v>
      </c>
      <c r="C504" s="6" t="s">
        <v>477</v>
      </c>
      <c r="D504" s="6" t="s">
        <v>537</v>
      </c>
      <c r="E504" s="6" t="s">
        <v>13</v>
      </c>
      <c r="F504" s="9" t="str">
        <f>VLOOKUP(A504,Tutors!C:D,2,0)</f>
        <v>1860</v>
      </c>
      <c r="G504" s="8" t="str">
        <f>VLOOKUP(A504,Tutors!C:E,3,0)</f>
        <v/>
      </c>
      <c r="H504" s="8" t="str">
        <f>VLOOKUP(A504,Tutors!A:F,6,0)</f>
        <v>sarahelfeqy757@gmail.com</v>
      </c>
      <c r="I504" s="8" t="str">
        <f>VLOOKUP(A504,Tutors!C:G,5,0)</f>
        <v>01025935755</v>
      </c>
      <c r="J504" s="8">
        <f>COUNTIFS(Active!C:C,A504)</f>
        <v>0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" t="s">
        <v>541</v>
      </c>
      <c r="B505" s="7">
        <f>VLOOKUP(A505,Tutors!A:B,2,0)</f>
        <v>176131232361</v>
      </c>
      <c r="C505" s="6" t="s">
        <v>477</v>
      </c>
      <c r="D505" s="6" t="s">
        <v>537</v>
      </c>
      <c r="E505" s="6" t="s">
        <v>13</v>
      </c>
      <c r="F505" s="9" t="str">
        <f>VLOOKUP(A505,Tutors!C:D,2,0)</f>
        <v>1904</v>
      </c>
      <c r="G505" s="8" t="str">
        <f>VLOOKUP(A505,Tutors!C:E,3,0)</f>
        <v/>
      </c>
      <c r="H505" s="8" t="str">
        <f>VLOOKUP(A505,Tutors!A:F,6,0)</f>
        <v>hadyelshaer8@gmail.com</v>
      </c>
      <c r="I505" s="8" t="str">
        <f>VLOOKUP(A505,Tutors!C:G,5,0)</f>
        <v>01067571417</v>
      </c>
      <c r="J505" s="8">
        <f>COUNTIFS(Active!C:C,A505)</f>
        <v>0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" t="s">
        <v>542</v>
      </c>
      <c r="B506" s="7">
        <f>VLOOKUP(A506,Tutors!A:B,2,0)</f>
        <v>695159151032</v>
      </c>
      <c r="C506" s="6" t="s">
        <v>477</v>
      </c>
      <c r="D506" s="6" t="s">
        <v>537</v>
      </c>
      <c r="E506" s="6" t="s">
        <v>9</v>
      </c>
      <c r="F506" s="9" t="str">
        <f>VLOOKUP(A506,Tutors!C:D,2,0)</f>
        <v>1905</v>
      </c>
      <c r="G506" s="8" t="str">
        <f>VLOOKUP(A506,Tutors!C:E,3,0)</f>
        <v/>
      </c>
      <c r="H506" s="8" t="str">
        <f>VLOOKUP(A506,Tutors!A:F,6,0)</f>
        <v>ahmedawad695@gmail.com</v>
      </c>
      <c r="I506" s="8" t="str">
        <f>VLOOKUP(A506,Tutors!C:G,5,0)</f>
        <v>01012040409</v>
      </c>
      <c r="J506" s="8">
        <f>COUNTIFS(Active!C:C,A506)</f>
        <v>1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" t="s">
        <v>543</v>
      </c>
      <c r="B507" s="7">
        <f>VLOOKUP(A507,Tutors!A:B,2,0)</f>
        <v>148160160523</v>
      </c>
      <c r="C507" s="6" t="s">
        <v>477</v>
      </c>
      <c r="D507" s="6" t="s">
        <v>537</v>
      </c>
      <c r="E507" s="6" t="s">
        <v>13</v>
      </c>
      <c r="F507" s="8" t="str">
        <f>VLOOKUP(A507,Tutors!C:D,2,0)</f>
        <v>2068</v>
      </c>
      <c r="G507" s="8" t="str">
        <f>VLOOKUP(A507,Tutors!C:E,3,0)</f>
        <v/>
      </c>
      <c r="H507" s="8" t="str">
        <f>VLOOKUP(A507,Tutors!A:F,6,0)</f>
        <v>mogeograpgic@gmail.com</v>
      </c>
      <c r="I507" s="8">
        <f>VLOOKUP(A507,Tutors!C:G,5,0)</f>
        <v>1144697090</v>
      </c>
      <c r="J507" s="8">
        <f>COUNTIFS(Active!C:C,A507)</f>
        <v>0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" t="s">
        <v>544</v>
      </c>
      <c r="B508" s="7">
        <f>VLOOKUP(A508,Tutors!A:B,2,0)</f>
        <v>487134793715</v>
      </c>
      <c r="C508" s="6" t="s">
        <v>477</v>
      </c>
      <c r="D508" s="6" t="s">
        <v>537</v>
      </c>
      <c r="E508" s="6" t="s">
        <v>13</v>
      </c>
      <c r="F508" s="9" t="str">
        <f>VLOOKUP(A508,Tutors!C:D,2,0)</f>
        <v>2193</v>
      </c>
      <c r="G508" s="8" t="str">
        <f>VLOOKUP(A508,Tutors!C:E,3,0)</f>
        <v/>
      </c>
      <c r="H508" s="8" t="str">
        <f>VLOOKUP(A508,Tutors!A:F,6,0)</f>
        <v>ramadanelkader@gmail.com</v>
      </c>
      <c r="I508" s="8" t="str">
        <f>VLOOKUP(A508,Tutors!C:G,5,0)</f>
        <v>01005716822</v>
      </c>
      <c r="J508" s="8">
        <f>COUNTIFS(Active!C:C,A508)</f>
        <v>0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" t="s">
        <v>545</v>
      </c>
      <c r="B509" s="7">
        <f>VLOOKUP(A509,Tutors!A:B,2,0)</f>
        <v>138131034206</v>
      </c>
      <c r="C509" s="6" t="s">
        <v>477</v>
      </c>
      <c r="D509" s="6" t="s">
        <v>537</v>
      </c>
      <c r="E509" s="6" t="s">
        <v>9</v>
      </c>
      <c r="F509" s="9">
        <f>VLOOKUP(A509,Tutors!C:D,2,0)</f>
        <v>2231</v>
      </c>
      <c r="G509" s="8" t="str">
        <f>VLOOKUP(A509,Tutors!C:E,3,0)</f>
        <v>EG10-EG11-G12</v>
      </c>
      <c r="H509" s="8" t="str">
        <f>VLOOKUP(A509,Tutors!A:F,6,0)</f>
        <v>paologeorge369@gmail.com</v>
      </c>
      <c r="I509" s="8" t="str">
        <f>VLOOKUP(A509,Tutors!C:G,5,0)</f>
        <v>01225258456</v>
      </c>
      <c r="J509" s="8">
        <f>COUNTIFS(Active!C:C,A509)</f>
        <v>1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" t="s">
        <v>546</v>
      </c>
      <c r="B510" s="7">
        <f>VLOOKUP(A510,Tutors!A:B,2,0)</f>
        <v>179169073012</v>
      </c>
      <c r="C510" s="6" t="s">
        <v>477</v>
      </c>
      <c r="D510" s="6" t="s">
        <v>63</v>
      </c>
      <c r="E510" s="6" t="s">
        <v>9</v>
      </c>
      <c r="F510" s="9" t="str">
        <f>VLOOKUP(A510,Tutors!C:D,2,0)</f>
        <v>888</v>
      </c>
      <c r="G510" s="8" t="str">
        <f>VLOOKUP(A510,Tutors!C:E,3,0)</f>
        <v/>
      </c>
      <c r="H510" s="8" t="str">
        <f>VLOOKUP(A510,Tutors!A:F,6,0)</f>
        <v>ahmed.hatem@nagwa.com</v>
      </c>
      <c r="I510" s="8">
        <f>VLOOKUP(A510,Tutors!C:G,5,0)</f>
        <v>201156629949</v>
      </c>
      <c r="J510" s="8">
        <f>COUNTIFS(Active!C:C,A510)</f>
        <v>1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" t="s">
        <v>547</v>
      </c>
      <c r="B511" s="7">
        <f>VLOOKUP(A511,Tutors!A:B,2,0)</f>
        <v>940182090410</v>
      </c>
      <c r="C511" s="6" t="s">
        <v>477</v>
      </c>
      <c r="D511" s="6" t="s">
        <v>63</v>
      </c>
      <c r="E511" s="6" t="s">
        <v>13</v>
      </c>
      <c r="F511" s="9" t="str">
        <f>VLOOKUP(A511,Tutors!C:D,2,0)</f>
        <v>575</v>
      </c>
      <c r="G511" s="8" t="str">
        <f>VLOOKUP(A511,Tutors!C:E,3,0)</f>
        <v/>
      </c>
      <c r="H511" s="8" t="str">
        <f>VLOOKUP(A511,Tutors!A:F,6,0)</f>
        <v>mohammed.elsayed.ramadan@nagwa.com</v>
      </c>
      <c r="I511" s="8">
        <f>VLOOKUP(A511,Tutors!C:G,5,0)</f>
        <v>201025475475</v>
      </c>
      <c r="J511" s="8">
        <f>COUNTIFS(Active!C:C,A511)</f>
        <v>0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" t="s">
        <v>548</v>
      </c>
      <c r="B512" s="7">
        <f>VLOOKUP(A512,Tutors!A:B,2,0)</f>
        <v>308137598241</v>
      </c>
      <c r="C512" s="6" t="s">
        <v>477</v>
      </c>
      <c r="D512" s="6" t="s">
        <v>63</v>
      </c>
      <c r="E512" s="6" t="s">
        <v>9</v>
      </c>
      <c r="F512" s="9" t="str">
        <f>VLOOKUP(A512,Tutors!C:D,2,0)</f>
        <v>1775</v>
      </c>
      <c r="G512" s="8" t="str">
        <f>VLOOKUP(A512,Tutors!C:E,3,0)</f>
        <v/>
      </c>
      <c r="H512" s="8" t="str">
        <f>VLOOKUP(A512,Tutors!A:F,6,0)</f>
        <v>ahmedatef386@gmail.com</v>
      </c>
      <c r="I512" s="8">
        <f>VLOOKUP(A512,Tutors!C:G,5,0)</f>
        <v>201098614126</v>
      </c>
      <c r="J512" s="8">
        <f>COUNTIFS(Active!C:C,A512)</f>
        <v>1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" t="s">
        <v>549</v>
      </c>
      <c r="B513" s="7">
        <f>VLOOKUP(A513,Tutors!A:B,2,0)</f>
        <v>580165926053</v>
      </c>
      <c r="C513" s="6" t="s">
        <v>477</v>
      </c>
      <c r="D513" s="6" t="s">
        <v>63</v>
      </c>
      <c r="E513" s="6" t="s">
        <v>9</v>
      </c>
      <c r="F513" s="9" t="str">
        <f>VLOOKUP(A513,Tutors!C:D,2,0)</f>
        <v>1845</v>
      </c>
      <c r="G513" s="8" t="str">
        <f>VLOOKUP(A513,Tutors!C:E,3,0)</f>
        <v/>
      </c>
      <c r="H513" s="8" t="str">
        <f>VLOOKUP(A513,Tutors!A:F,6,0)</f>
        <v>yostos.mina@gmail.com</v>
      </c>
      <c r="I513" s="8" t="str">
        <f>VLOOKUP(A513,Tutors!C:G,5,0)</f>
        <v>01220683047</v>
      </c>
      <c r="J513" s="8">
        <f>COUNTIFS(Active!C:C,A513)</f>
        <v>1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" t="s">
        <v>550</v>
      </c>
      <c r="B514" s="7">
        <f>VLOOKUP(A514,Tutors!A:B,2,0)</f>
        <v>503190357270</v>
      </c>
      <c r="C514" s="6" t="s">
        <v>477</v>
      </c>
      <c r="D514" s="6" t="s">
        <v>63</v>
      </c>
      <c r="E514" s="6" t="s">
        <v>13</v>
      </c>
      <c r="F514" s="9" t="str">
        <f>VLOOKUP(A514,Tutors!C:D,2,0)</f>
        <v>1890</v>
      </c>
      <c r="G514" s="8" t="str">
        <f>VLOOKUP(A514,Tutors!C:E,3,0)</f>
        <v/>
      </c>
      <c r="H514" s="8" t="str">
        <f>VLOOKUP(A514,Tutors!A:F,6,0)</f>
        <v>mrghies85@gmail.com</v>
      </c>
      <c r="I514" s="8" t="str">
        <f>VLOOKUP(A514,Tutors!C:G,5,0)</f>
        <v>01007657654</v>
      </c>
      <c r="J514" s="8">
        <f>COUNTIFS(Active!C:C,A514)</f>
        <v>0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" t="s">
        <v>551</v>
      </c>
      <c r="B515" s="7">
        <f>VLOOKUP(A515,Tutors!A:B,2,0)</f>
        <v>138121769423</v>
      </c>
      <c r="C515" s="6" t="s">
        <v>477</v>
      </c>
      <c r="D515" s="6" t="s">
        <v>63</v>
      </c>
      <c r="E515" s="6" t="s">
        <v>9</v>
      </c>
      <c r="F515" s="9" t="str">
        <f>VLOOKUP(A515,Tutors!C:D,2,0)</f>
        <v>1967</v>
      </c>
      <c r="G515" s="8" t="str">
        <f>VLOOKUP(A515,Tutors!C:E,3,0)</f>
        <v/>
      </c>
      <c r="H515" s="8" t="str">
        <f>VLOOKUP(A515,Tutors!A:F,6,0)</f>
        <v>ibrahimsaid1741977@gmail.com</v>
      </c>
      <c r="I515" s="8">
        <f>VLOOKUP(A515,Tutors!C:G,5,0)</f>
        <v>1020307471</v>
      </c>
      <c r="J515" s="8">
        <f>COUNTIFS(Active!C:C,A515)</f>
        <v>1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" t="s">
        <v>552</v>
      </c>
      <c r="B516" s="7">
        <f>VLOOKUP(A516,Tutors!A:B,2,0)</f>
        <v>187120348783</v>
      </c>
      <c r="C516" s="6" t="s">
        <v>477</v>
      </c>
      <c r="D516" s="6" t="s">
        <v>63</v>
      </c>
      <c r="E516" s="6" t="s">
        <v>9</v>
      </c>
      <c r="F516" s="9" t="str">
        <f>VLOOKUP(A516,Tutors!C:D,2,0)</f>
        <v>2085</v>
      </c>
      <c r="G516" s="8" t="str">
        <f>VLOOKUP(A516,Tutors!C:E,3,0)</f>
        <v/>
      </c>
      <c r="H516" s="8" t="str">
        <f>VLOOKUP(A516,Tutors!A:F,6,0)</f>
        <v>t.ahmedseif@yahoo.com</v>
      </c>
      <c r="I516" s="8" t="str">
        <f>VLOOKUP(A516,Tutors!C:G,5,0)</f>
        <v>01006792787</v>
      </c>
      <c r="J516" s="8">
        <f>COUNTIFS(Active!C:C,A516)</f>
        <v>1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" t="s">
        <v>553</v>
      </c>
      <c r="B517" s="7">
        <f>VLOOKUP(A517,Tutors!A:B,2,0)</f>
        <v>512161969162</v>
      </c>
      <c r="C517" s="6" t="s">
        <v>477</v>
      </c>
      <c r="D517" s="6" t="s">
        <v>63</v>
      </c>
      <c r="E517" s="6" t="s">
        <v>9</v>
      </c>
      <c r="F517" s="8">
        <f>VLOOKUP(A517,Tutors!C:D,2,0)</f>
        <v>2053</v>
      </c>
      <c r="G517" s="8" t="str">
        <f>VLOOKUP(A517,Tutors!C:E,3,0)</f>
        <v/>
      </c>
      <c r="H517" s="8" t="str">
        <f>VLOOKUP(A517,Tutors!A:F,6,0)</f>
        <v>tonyalbert433@gmail.com</v>
      </c>
      <c r="I517" s="8" t="str">
        <f>VLOOKUP(A517,Tutors!C:G,5,0)</f>
        <v>01220525771</v>
      </c>
      <c r="J517" s="8">
        <f>COUNTIFS(Active!C:C,A517)</f>
        <v>1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" t="s">
        <v>554</v>
      </c>
      <c r="B518" s="7">
        <f>VLOOKUP(A518,Tutors!A:B,2,0)</f>
        <v>726184376073</v>
      </c>
      <c r="C518" s="6" t="s">
        <v>477</v>
      </c>
      <c r="D518" s="6" t="s">
        <v>63</v>
      </c>
      <c r="E518" s="6" t="s">
        <v>9</v>
      </c>
      <c r="F518" s="8">
        <f>VLOOKUP(A518,Tutors!C:D,2,0)</f>
        <v>2522</v>
      </c>
      <c r="G518" s="8" t="str">
        <f>VLOOKUP(A518,Tutors!C:E,3,0)</f>
        <v>EG10-EG11-EG12</v>
      </c>
      <c r="H518" s="8" t="str">
        <f>VLOOKUP(A518,Tutors!A:F,6,0)</f>
        <v>mr.amro.elukby@gmail.com</v>
      </c>
      <c r="I518" s="8" t="str">
        <f>VLOOKUP(A518,Tutors!C:G,5,0)</f>
        <v>01004106537</v>
      </c>
      <c r="J518" s="8">
        <f>COUNTIFS(Active!C:C,A518)</f>
        <v>1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" t="s">
        <v>555</v>
      </c>
      <c r="B519" s="7">
        <f>VLOOKUP(A519,Tutors!A:B,2,0)</f>
        <v>170181505929</v>
      </c>
      <c r="C519" s="6" t="s">
        <v>477</v>
      </c>
      <c r="D519" s="6" t="s">
        <v>556</v>
      </c>
      <c r="E519" s="6" t="s">
        <v>13</v>
      </c>
      <c r="F519" s="9" t="str">
        <f>VLOOKUP(A519,Tutors!C:D,2,0)</f>
        <v>1647</v>
      </c>
      <c r="G519" s="8" t="str">
        <f>VLOOKUP(A519,Tutors!C:E,3,0)</f>
        <v/>
      </c>
      <c r="H519" s="8" t="str">
        <f>VLOOKUP(A519,Tutors!A:F,6,0)</f>
        <v>eslam.mohamed@nagwa.com</v>
      </c>
      <c r="I519" s="8" t="str">
        <f>VLOOKUP(A519,Tutors!C:G,5,0)</f>
        <v>01097158020</v>
      </c>
      <c r="J519" s="8">
        <f>COUNTIFS(Active!C:C,A519)</f>
        <v>0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" t="s">
        <v>557</v>
      </c>
      <c r="B520" s="7">
        <f>VLOOKUP(A520,Tutors!A:B,2,0)</f>
        <v>680190738426</v>
      </c>
      <c r="C520" s="6" t="s">
        <v>477</v>
      </c>
      <c r="D520" s="6" t="s">
        <v>556</v>
      </c>
      <c r="E520" s="6" t="s">
        <v>9</v>
      </c>
      <c r="F520" s="9" t="str">
        <f>VLOOKUP(A520,Tutors!C:D,2,0)</f>
        <v>1766</v>
      </c>
      <c r="G520" s="8" t="str">
        <f>VLOOKUP(A520,Tutors!C:E,3,0)</f>
        <v/>
      </c>
      <c r="H520" s="8" t="str">
        <f>VLOOKUP(A520,Tutors!A:F,6,0)</f>
        <v>ramyfarouk9333@gmail.com</v>
      </c>
      <c r="I520" s="8" t="str">
        <f>VLOOKUP(A520,Tutors!C:G,5,0)</f>
        <v>01224288238</v>
      </c>
      <c r="J520" s="8">
        <f>COUNTIFS(Active!C:C,A520)</f>
        <v>1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" t="s">
        <v>558</v>
      </c>
      <c r="B521" s="7">
        <f>VLOOKUP(A521,Tutors!A:B,2,0)</f>
        <v>352179823813</v>
      </c>
      <c r="C521" s="6" t="s">
        <v>477</v>
      </c>
      <c r="D521" s="6" t="s">
        <v>556</v>
      </c>
      <c r="E521" s="6" t="s">
        <v>9</v>
      </c>
      <c r="F521" s="9" t="str">
        <f>VLOOKUP(A521,Tutors!C:D,2,0)</f>
        <v>1765</v>
      </c>
      <c r="G521" s="8" t="str">
        <f>VLOOKUP(A521,Tutors!C:E,3,0)</f>
        <v/>
      </c>
      <c r="H521" s="8" t="str">
        <f>VLOOKUP(A521,Tutors!A:F,6,0)</f>
        <v>aassllyyaa68@gmail.com</v>
      </c>
      <c r="I521" s="8" t="str">
        <f>VLOOKUP(A521,Tutors!C:G,5,0)</f>
        <v/>
      </c>
      <c r="J521" s="8">
        <f>COUNTIFS(Active!C:C,A521)</f>
        <v>1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" t="s">
        <v>559</v>
      </c>
      <c r="B522" s="7">
        <f>VLOOKUP(A522,Tutors!A:B,2,0)</f>
        <v>983164352707</v>
      </c>
      <c r="C522" s="6" t="s">
        <v>477</v>
      </c>
      <c r="D522" s="6" t="s">
        <v>556</v>
      </c>
      <c r="E522" s="10" t="s">
        <v>9</v>
      </c>
      <c r="F522" s="9" t="str">
        <f>VLOOKUP(A522,Tutors!C:D,2,0)</f>
        <v>1919</v>
      </c>
      <c r="G522" s="8" t="str">
        <f>VLOOKUP(A522,Tutors!C:E,3,0)</f>
        <v/>
      </c>
      <c r="H522" s="8" t="str">
        <f>VLOOKUP(A522,Tutors!A:F,6,0)</f>
        <v>sabermedhat9@gmail.com</v>
      </c>
      <c r="I522" s="8" t="str">
        <f>VLOOKUP(A522,Tutors!C:G,5,0)</f>
        <v>01006463329</v>
      </c>
      <c r="J522" s="8">
        <f>COUNTIFS(Active!C:C,A522)</f>
        <v>1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" t="s">
        <v>560</v>
      </c>
      <c r="B523" s="7">
        <f>VLOOKUP(A523,Tutors!A:B,2,0)</f>
        <v>694184180652</v>
      </c>
      <c r="C523" s="6" t="s">
        <v>477</v>
      </c>
      <c r="D523" s="6" t="s">
        <v>556</v>
      </c>
      <c r="E523" s="6" t="s">
        <v>13</v>
      </c>
      <c r="F523" s="9" t="str">
        <f>VLOOKUP(A523,Tutors!C:D,2,0)</f>
        <v>1965</v>
      </c>
      <c r="G523" s="8" t="str">
        <f>VLOOKUP(A523,Tutors!C:E,3,0)</f>
        <v/>
      </c>
      <c r="H523" s="8" t="str">
        <f>VLOOKUP(A523,Tutors!A:F,6,0)</f>
        <v>delbahay@gmail.com</v>
      </c>
      <c r="I523" s="8" t="str">
        <f>VLOOKUP(A523,Tutors!C:G,5,0)</f>
        <v>01099696140</v>
      </c>
      <c r="J523" s="8">
        <f>COUNTIFS(Active!C:C,A523)</f>
        <v>0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" t="s">
        <v>561</v>
      </c>
      <c r="B524" s="7">
        <f>VLOOKUP(A524,Tutors!A:B,2,0)</f>
        <v>179134063021</v>
      </c>
      <c r="C524" s="6" t="s">
        <v>477</v>
      </c>
      <c r="D524" s="6" t="s">
        <v>556</v>
      </c>
      <c r="E524" s="6" t="s">
        <v>9</v>
      </c>
      <c r="F524" s="9" t="str">
        <f>VLOOKUP(A524,Tutors!C:D,2,0)</f>
        <v>1987</v>
      </c>
      <c r="G524" s="8" t="str">
        <f>VLOOKUP(A524,Tutors!C:E,3,0)</f>
        <v/>
      </c>
      <c r="H524" s="8" t="str">
        <f>VLOOKUP(A524,Tutors!A:F,6,0)</f>
        <v>alkiser.ashraf@gmail.com</v>
      </c>
      <c r="I524" s="8" t="str">
        <f>VLOOKUP(A524,Tutors!C:G,5,0)</f>
        <v>01144603025</v>
      </c>
      <c r="J524" s="8">
        <f>COUNTIFS(Active!C:C,A524)</f>
        <v>1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" t="s">
        <v>562</v>
      </c>
      <c r="B525" s="7">
        <f>VLOOKUP(A525,Tutors!A:B,2,0)</f>
        <v>435127547073</v>
      </c>
      <c r="C525" s="6" t="s">
        <v>477</v>
      </c>
      <c r="D525" s="6" t="s">
        <v>556</v>
      </c>
      <c r="E525" s="6" t="s">
        <v>9</v>
      </c>
      <c r="F525" s="9" t="str">
        <f>VLOOKUP(A525,Tutors!C:D,2,0)</f>
        <v>2086</v>
      </c>
      <c r="G525" s="8" t="str">
        <f>VLOOKUP(A525,Tutors!C:E,3,0)</f>
        <v/>
      </c>
      <c r="H525" s="8" t="str">
        <f>VLOOKUP(A525,Tutors!A:F,6,0)</f>
        <v>bassiouny3311@gmail.com</v>
      </c>
      <c r="I525" s="8" t="str">
        <f>VLOOKUP(A525,Tutors!C:G,5,0)</f>
        <v>+201147654033</v>
      </c>
      <c r="J525" s="8">
        <f>COUNTIFS(Active!C:C,A525)</f>
        <v>1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" t="s">
        <v>563</v>
      </c>
      <c r="B526" s="7">
        <f>VLOOKUP(A526,Tutors!A:B,2,0)</f>
        <v>874140534821</v>
      </c>
      <c r="C526" s="6" t="s">
        <v>477</v>
      </c>
      <c r="D526" s="6" t="s">
        <v>556</v>
      </c>
      <c r="E526" s="6" t="s">
        <v>9</v>
      </c>
      <c r="F526" s="9" t="str">
        <f>VLOOKUP(A526,Tutors!C:D,2,0)</f>
        <v>2206</v>
      </c>
      <c r="G526" s="8" t="str">
        <f>VLOOKUP(A526,Tutors!C:E,3,0)</f>
        <v>EG10-EG11-G12</v>
      </c>
      <c r="H526" s="8" t="str">
        <f>VLOOKUP(A526,Tutors!A:F,6,0)</f>
        <v>mr.romany82@gmail.com</v>
      </c>
      <c r="I526" s="8" t="str">
        <f>VLOOKUP(A526,Tutors!C:G,5,0)</f>
        <v>01225653656</v>
      </c>
      <c r="J526" s="8">
        <f>COUNTIFS(Active!C:C,A526)</f>
        <v>1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" t="s">
        <v>564</v>
      </c>
      <c r="B527" s="7">
        <f>VLOOKUP(A527,Tutors!A:B,2,0)</f>
        <v>374175473593</v>
      </c>
      <c r="C527" s="6" t="s">
        <v>477</v>
      </c>
      <c r="D527" s="6" t="s">
        <v>556</v>
      </c>
      <c r="E527" s="6" t="s">
        <v>9</v>
      </c>
      <c r="F527" s="9" t="str">
        <f>VLOOKUP(A527,Tutors!C:D,2,0)</f>
        <v>2194</v>
      </c>
      <c r="G527" s="8" t="str">
        <f>VLOOKUP(A527,Tutors!C:E,3,0)</f>
        <v>EG10-EG11-G12</v>
      </c>
      <c r="H527" s="8" t="str">
        <f>VLOOKUP(A527,Tutors!A:F,6,0)</f>
        <v>amanybasuni160184@gmail.com</v>
      </c>
      <c r="I527" s="8" t="str">
        <f>VLOOKUP(A527,Tutors!C:G,5,0)</f>
        <v>01116571264</v>
      </c>
      <c r="J527" s="8">
        <f>COUNTIFS(Active!C:C,A527)</f>
        <v>1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" t="s">
        <v>565</v>
      </c>
      <c r="B528" s="7">
        <f>VLOOKUP(A528,Tutors!A:B,2,0)</f>
        <v>560135012165</v>
      </c>
      <c r="C528" s="6" t="s">
        <v>477</v>
      </c>
      <c r="D528" s="6" t="s">
        <v>566</v>
      </c>
      <c r="E528" s="6" t="s">
        <v>9</v>
      </c>
      <c r="F528" s="9" t="str">
        <f>VLOOKUP(A528,Tutors!C:D,2,0)</f>
        <v>1760</v>
      </c>
      <c r="G528" s="8" t="str">
        <f>VLOOKUP(A528,Tutors!C:E,3,0)</f>
        <v>EG10-EG11-G12</v>
      </c>
      <c r="H528" s="8" t="str">
        <f>VLOOKUP(A528,Tutors!A:F,6,0)</f>
        <v>mansourphy@gmail.com</v>
      </c>
      <c r="I528" s="8">
        <f>VLOOKUP(A528,Tutors!C:G,5,0)</f>
        <v>201069555347</v>
      </c>
      <c r="J528" s="8">
        <f>COUNTIFS(Active!C:C,A528)</f>
        <v>1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" t="s">
        <v>567</v>
      </c>
      <c r="B529" s="7">
        <f>VLOOKUP(A529,Tutors!A:B,2,0)</f>
        <v>513102701368</v>
      </c>
      <c r="C529" s="6" t="s">
        <v>477</v>
      </c>
      <c r="D529" s="6" t="s">
        <v>566</v>
      </c>
      <c r="E529" s="6" t="s">
        <v>9</v>
      </c>
      <c r="F529" s="9" t="str">
        <f>VLOOKUP(A529,Tutors!C:D,2,0)</f>
        <v>1892</v>
      </c>
      <c r="G529" s="8" t="str">
        <f>VLOOKUP(A529,Tutors!C:E,3,0)</f>
        <v>G11-G12</v>
      </c>
      <c r="H529" s="8" t="str">
        <f>VLOOKUP(A529,Tutors!A:F,6,0)</f>
        <v>elshahaly.ahmed.2.96@gmail.com</v>
      </c>
      <c r="I529" s="8" t="str">
        <f>VLOOKUP(A529,Tutors!C:G,5,0)</f>
        <v>01275541280</v>
      </c>
      <c r="J529" s="8">
        <f>COUNTIFS(Active!C:C,A529)</f>
        <v>1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" t="s">
        <v>568</v>
      </c>
      <c r="B530" s="7">
        <f>VLOOKUP(A530,Tutors!A:B,2,0)</f>
        <v>970121862482</v>
      </c>
      <c r="C530" s="6" t="s">
        <v>477</v>
      </c>
      <c r="D530" s="6" t="s">
        <v>566</v>
      </c>
      <c r="E530" s="6" t="s">
        <v>13</v>
      </c>
      <c r="F530" s="8">
        <f>VLOOKUP(A530,Tutors!C:D,2,0)</f>
        <v>1908</v>
      </c>
      <c r="G530" s="8" t="str">
        <f>VLOOKUP(A530,Tutors!C:E,3,0)</f>
        <v/>
      </c>
      <c r="H530" s="8" t="str">
        <f>VLOOKUP(A530,Tutors!A:F,6,0)</f>
        <v/>
      </c>
      <c r="I530" s="8" t="str">
        <f>VLOOKUP(A530,Tutors!C:G,5,0)</f>
        <v/>
      </c>
      <c r="J530" s="8">
        <f>COUNTIFS(Active!C:C,A530)</f>
        <v>0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" t="s">
        <v>569</v>
      </c>
      <c r="B531" s="7">
        <f>VLOOKUP(A531,Tutors!A:B,2,0)</f>
        <v>389173598098</v>
      </c>
      <c r="C531" s="6" t="s">
        <v>477</v>
      </c>
      <c r="D531" s="6" t="s">
        <v>566</v>
      </c>
      <c r="E531" s="6" t="s">
        <v>9</v>
      </c>
      <c r="F531" s="9" t="str">
        <f>VLOOKUP(A531,Tutors!C:D,2,0)</f>
        <v>2002</v>
      </c>
      <c r="G531" s="8" t="str">
        <f>VLOOKUP(A531,Tutors!C:E,3,0)</f>
        <v>EG10-EG11-G12</v>
      </c>
      <c r="H531" s="8" t="str">
        <f>VLOOKUP(A531,Tutors!A:F,6,0)</f>
        <v>mosa0122428710970@gmail.com</v>
      </c>
      <c r="I531" s="8" t="str">
        <f>VLOOKUP(A531,Tutors!C:G,5,0)</f>
        <v>01224287109</v>
      </c>
      <c r="J531" s="8">
        <f>COUNTIFS(Active!C:C,A531)</f>
        <v>1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" t="s">
        <v>570</v>
      </c>
      <c r="B532" s="7">
        <f>VLOOKUP(A532,Tutors!A:B,2,0)</f>
        <v>527193759458</v>
      </c>
      <c r="C532" s="6" t="s">
        <v>477</v>
      </c>
      <c r="D532" s="6" t="s">
        <v>566</v>
      </c>
      <c r="E532" s="6" t="s">
        <v>9</v>
      </c>
      <c r="F532" s="9" t="str">
        <f>VLOOKUP(A532,Tutors!C:D,2,0)</f>
        <v>2170</v>
      </c>
      <c r="G532" s="8" t="str">
        <f>VLOOKUP(A532,Tutors!C:E,3,0)</f>
        <v>G11-G12</v>
      </c>
      <c r="H532" s="8" t="str">
        <f>VLOOKUP(A532,Tutors!A:F,6,0)</f>
        <v>eslamemad1311383@gmail.com</v>
      </c>
      <c r="I532" s="8" t="str">
        <f>VLOOKUP(A532,Tutors!C:G,5,0)</f>
        <v>01124845066</v>
      </c>
      <c r="J532" s="8">
        <f>COUNTIFS(Active!C:C,A532)</f>
        <v>1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" t="s">
        <v>571</v>
      </c>
      <c r="B533" s="7">
        <f>VLOOKUP(A533,Tutors!A:B,2,0)</f>
        <v>750108154243</v>
      </c>
      <c r="C533" s="6" t="s">
        <v>477</v>
      </c>
      <c r="D533" s="6" t="s">
        <v>566</v>
      </c>
      <c r="E533" s="6" t="s">
        <v>13</v>
      </c>
      <c r="F533" s="8">
        <f>VLOOKUP(A533,Tutors!C:D,2,0)</f>
        <v>2335</v>
      </c>
      <c r="G533" s="8" t="str">
        <f>VLOOKUP(A533,Tutors!C:E,3,0)</f>
        <v>EG10-EG11-G12</v>
      </c>
      <c r="H533" s="8" t="str">
        <f>VLOOKUP(A533,Tutors!A:F,6,0)</f>
        <v>ma404017@gmail.com</v>
      </c>
      <c r="I533" s="8" t="str">
        <f>VLOOKUP(A533,Tutors!C:G,5,0)</f>
        <v>01003233810</v>
      </c>
      <c r="J533" s="8">
        <f>COUNTIFS(Active!C:C,A533)</f>
        <v>0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" t="s">
        <v>572</v>
      </c>
      <c r="B534" s="7">
        <f>VLOOKUP(A534,Tutors!A:B,2,0)</f>
        <v>830132652879</v>
      </c>
      <c r="C534" s="6" t="s">
        <v>477</v>
      </c>
      <c r="D534" s="6" t="s">
        <v>566</v>
      </c>
      <c r="E534" s="6" t="s">
        <v>9</v>
      </c>
      <c r="F534" s="8">
        <f>VLOOKUP(A534,Tutors!C:D,2,0)</f>
        <v>2368</v>
      </c>
      <c r="G534" s="8" t="str">
        <f>VLOOKUP(A534,Tutors!C:E,3,0)</f>
        <v>EG10-EG11-G12</v>
      </c>
      <c r="H534" s="8" t="str">
        <f>VLOOKUP(A534,Tutors!A:F,6,0)</f>
        <v>984255@sharkia1.moe.edu.eg</v>
      </c>
      <c r="I534" s="8" t="str">
        <f>VLOOKUP(A534,Tutors!C:G,5,0)</f>
        <v>01283142438</v>
      </c>
      <c r="J534" s="8">
        <f>COUNTIFS(Active!C:C,A534)</f>
        <v>1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" t="s">
        <v>573</v>
      </c>
      <c r="B535" s="7">
        <f>VLOOKUP(A535,Tutors!A:B,2,0)</f>
        <v>242109375309</v>
      </c>
      <c r="C535" s="6" t="s">
        <v>477</v>
      </c>
      <c r="D535" s="6" t="s">
        <v>574</v>
      </c>
      <c r="E535" s="6" t="s">
        <v>9</v>
      </c>
      <c r="F535" s="9" t="str">
        <f>VLOOKUP(A535,Tutors!C:D,2,0)</f>
        <v>2024</v>
      </c>
      <c r="G535" s="8" t="str">
        <f>VLOOKUP(A535,Tutors!C:E,3,0)</f>
        <v>EG10-EG11-G12</v>
      </c>
      <c r="H535" s="8" t="str">
        <f>VLOOKUP(A535,Tutors!A:F,6,0)</f>
        <v>wesamalshenawy36@gmail.com</v>
      </c>
      <c r="I535" s="8">
        <f>VLOOKUP(A535,Tutors!C:G,5,0)</f>
        <v>1220508424</v>
      </c>
      <c r="J535" s="8">
        <f>COUNTIFS(Active!C:C,A535)</f>
        <v>1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" t="s">
        <v>575</v>
      </c>
      <c r="B536" s="7">
        <f>VLOOKUP(A536,Tutors!A:B,2,0)</f>
        <v>510198282648</v>
      </c>
      <c r="C536" s="6" t="s">
        <v>477</v>
      </c>
      <c r="D536" s="6" t="s">
        <v>574</v>
      </c>
      <c r="E536" s="6" t="s">
        <v>9</v>
      </c>
      <c r="F536" s="9" t="str">
        <f>VLOOKUP(A536,Tutors!C:D,2,0)</f>
        <v>2015</v>
      </c>
      <c r="G536" s="8" t="str">
        <f>VLOOKUP(A536,Tutors!C:E,3,0)</f>
        <v>EG10-EG11-G12</v>
      </c>
      <c r="H536" s="8" t="str">
        <f>VLOOKUP(A536,Tutors!A:F,6,0)</f>
        <v>nezarseliem@gmail.com</v>
      </c>
      <c r="I536" s="8" t="str">
        <f>VLOOKUP(A536,Tutors!C:G,5,0)</f>
        <v>01281280294</v>
      </c>
      <c r="J536" s="8">
        <f>COUNTIFS(Active!C:C,A536)</f>
        <v>1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" t="s">
        <v>576</v>
      </c>
      <c r="B537" s="7">
        <f>VLOOKUP(A537,Tutors!A:B,2,0)</f>
        <v>819130827826</v>
      </c>
      <c r="C537" s="6" t="s">
        <v>477</v>
      </c>
      <c r="D537" s="6" t="s">
        <v>574</v>
      </c>
      <c r="E537" s="6" t="s">
        <v>9</v>
      </c>
      <c r="F537" s="9" t="str">
        <f>VLOOKUP(A537,Tutors!C:D,2,0)</f>
        <v>2059</v>
      </c>
      <c r="G537" s="8" t="str">
        <f>VLOOKUP(A537,Tutors!C:E,3,0)</f>
        <v>EG10-EG11-G12</v>
      </c>
      <c r="H537" s="8" t="str">
        <f>VLOOKUP(A537,Tutors!A:F,6,0)</f>
        <v>doaasaber.chem@gmail.com</v>
      </c>
      <c r="I537" s="8" t="str">
        <f>VLOOKUP(A537,Tutors!C:G,5,0)</f>
        <v>01211523112</v>
      </c>
      <c r="J537" s="8">
        <f>COUNTIFS(Active!C:C,A537)</f>
        <v>1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" t="s">
        <v>577</v>
      </c>
      <c r="B538" s="7">
        <f>VLOOKUP(A538,Tutors!A:B,2,0)</f>
        <v>196184054323</v>
      </c>
      <c r="C538" s="6" t="s">
        <v>477</v>
      </c>
      <c r="D538" s="6" t="s">
        <v>69</v>
      </c>
      <c r="E538" s="6" t="s">
        <v>9</v>
      </c>
      <c r="F538" s="9" t="str">
        <f>VLOOKUP(A538,Tutors!C:D,2,0)</f>
        <v>1812</v>
      </c>
      <c r="G538" s="8" t="str">
        <f>VLOOKUP(A538,Tutors!C:E,3,0)</f>
        <v>EG10-EG11-EG12</v>
      </c>
      <c r="H538" s="8" t="str">
        <f>VLOOKUP(A538,Tutors!A:F,6,0)</f>
        <v>alamir62@yahoo.com</v>
      </c>
      <c r="I538" s="8" t="str">
        <f>VLOOKUP(A538,Tutors!C:G,5,0)</f>
        <v>20 1001082530</v>
      </c>
      <c r="J538" s="8">
        <f>COUNTIFS(Active!C:C,A538)</f>
        <v>1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" t="s">
        <v>578</v>
      </c>
      <c r="B539" s="7">
        <f>VLOOKUP(A539,Tutors!A:B,2,0)</f>
        <v>128156935718</v>
      </c>
      <c r="C539" s="6" t="s">
        <v>477</v>
      </c>
      <c r="D539" s="6" t="s">
        <v>69</v>
      </c>
      <c r="E539" s="6" t="s">
        <v>9</v>
      </c>
      <c r="F539" s="9" t="str">
        <f>VLOOKUP(A539,Tutors!C:D,2,0)</f>
        <v>2019</v>
      </c>
      <c r="G539" s="8" t="str">
        <f>VLOOKUP(A539,Tutors!C:E,3,0)</f>
        <v>EG10-EG11-EG12</v>
      </c>
      <c r="H539" s="8" t="str">
        <f>VLOOKUP(A539,Tutors!A:F,6,0)</f>
        <v>mhmmd55501@gmail.com</v>
      </c>
      <c r="I539" s="8" t="str">
        <f>VLOOKUP(A539,Tutors!C:G,5,0)</f>
        <v>01093988834</v>
      </c>
      <c r="J539" s="8">
        <f>COUNTIFS(Active!C:C,A539)</f>
        <v>1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" t="s">
        <v>579</v>
      </c>
      <c r="B540" s="7">
        <f>VLOOKUP(A540,Tutors!A:B,2,0)</f>
        <v>897176765424</v>
      </c>
      <c r="C540" s="6" t="s">
        <v>477</v>
      </c>
      <c r="D540" s="6" t="s">
        <v>69</v>
      </c>
      <c r="E540" s="6" t="s">
        <v>9</v>
      </c>
      <c r="F540" s="9" t="str">
        <f>VLOOKUP(A540,Tutors!C:D,2,0)</f>
        <v>2063</v>
      </c>
      <c r="G540" s="8" t="str">
        <f>VLOOKUP(A540,Tutors!C:E,3,0)</f>
        <v>EG08-EG09-EG10-EG11-EG12</v>
      </c>
      <c r="H540" s="8" t="str">
        <f>VLOOKUP(A540,Tutors!A:F,6,0)</f>
        <v>yasour2007@yahoo.com</v>
      </c>
      <c r="I540" s="8" t="str">
        <f>VLOOKUP(A540,Tutors!C:G,5,0)</f>
        <v>01553440630</v>
      </c>
      <c r="J540" s="8">
        <f>COUNTIFS(Active!C:C,A540)</f>
        <v>1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" t="s">
        <v>580</v>
      </c>
      <c r="B541" s="7">
        <f>VLOOKUP(A541,Tutors!A:B,2,0)</f>
        <v>695171650641</v>
      </c>
      <c r="C541" s="6" t="s">
        <v>477</v>
      </c>
      <c r="D541" s="6" t="s">
        <v>69</v>
      </c>
      <c r="E541" s="6" t="s">
        <v>9</v>
      </c>
      <c r="F541" s="9" t="str">
        <f>VLOOKUP(A541,Tutors!C:D,2,0)</f>
        <v>2080</v>
      </c>
      <c r="G541" s="8" t="str">
        <f>VLOOKUP(A541,Tutors!C:E,3,0)</f>
        <v>EG10-EG11-EG12</v>
      </c>
      <c r="H541" s="8" t="str">
        <f>VLOOKUP(A541,Tutors!A:F,6,0)</f>
        <v>ahmedsoliman200040@yahoo.com</v>
      </c>
      <c r="I541" s="8" t="str">
        <f>VLOOKUP(A541,Tutors!C:G,5,0)</f>
        <v>01007569392</v>
      </c>
      <c r="J541" s="8">
        <f>COUNTIFS(Active!C:C,A541)</f>
        <v>1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" t="s">
        <v>581</v>
      </c>
      <c r="B542" s="7">
        <f>VLOOKUP(A542,Tutors!A:B,2,0)</f>
        <v>530179690959</v>
      </c>
      <c r="C542" s="6" t="s">
        <v>477</v>
      </c>
      <c r="D542" s="6" t="s">
        <v>69</v>
      </c>
      <c r="E542" s="6" t="s">
        <v>13</v>
      </c>
      <c r="F542" s="8">
        <f>VLOOKUP(A542,Tutors!C:D,2,0)</f>
        <v>2168</v>
      </c>
      <c r="G542" s="8" t="str">
        <f>VLOOKUP(A542,Tutors!C:E,3,0)</f>
        <v>EG09-EG10-EG11-EG12</v>
      </c>
      <c r="H542" s="8" t="str">
        <f>VLOOKUP(A542,Tutors!A:F,6,0)</f>
        <v>samakamudy@gmail.com</v>
      </c>
      <c r="I542" s="8" t="str">
        <f>VLOOKUP(A542,Tutors!C:G,5,0)</f>
        <v>01289058758</v>
      </c>
      <c r="J542" s="8">
        <f>COUNTIFS(Active!C:C,A542)</f>
        <v>0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" t="s">
        <v>582</v>
      </c>
      <c r="B543" s="7">
        <f>VLOOKUP(A543,Tutors!A:B,2,0)</f>
        <v>943123080878</v>
      </c>
      <c r="C543" s="6" t="s">
        <v>477</v>
      </c>
      <c r="D543" s="6" t="s">
        <v>69</v>
      </c>
      <c r="E543" s="6" t="s">
        <v>9</v>
      </c>
      <c r="F543" s="8">
        <f>VLOOKUP(A543,Tutors!C:D,2,0)</f>
        <v>2408</v>
      </c>
      <c r="G543" s="8" t="str">
        <f>VLOOKUP(A543,Tutors!C:E,3,0)</f>
        <v>EG10-EG11-EG12</v>
      </c>
      <c r="H543" s="8" t="str">
        <f>VLOOKUP(A543,Tutors!A:F,6,0)</f>
        <v>ayman.khatab@stemsharkya.moe.edu.eg</v>
      </c>
      <c r="I543" s="8" t="str">
        <f>VLOOKUP(A543,Tutors!C:G,5,0)</f>
        <v>01096610286</v>
      </c>
      <c r="J543" s="8">
        <f>COUNTIFS(Active!C:C,A543)</f>
        <v>1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" t="s">
        <v>583</v>
      </c>
      <c r="B544" s="7">
        <f>VLOOKUP(A544,Tutors!A:B,2,0)</f>
        <v>342131504062</v>
      </c>
      <c r="C544" s="6" t="s">
        <v>477</v>
      </c>
      <c r="D544" s="6" t="s">
        <v>69</v>
      </c>
      <c r="E544" s="6" t="s">
        <v>13</v>
      </c>
      <c r="F544" s="8">
        <f>VLOOKUP(A544,Tutors!C:D,2,0)</f>
        <v>2414</v>
      </c>
      <c r="G544" s="8" t="str">
        <f>VLOOKUP(A544,Tutors!C:E,3,0)</f>
        <v>EG09-EG10-EG11-EG12</v>
      </c>
      <c r="H544" s="8" t="str">
        <f>VLOOKUP(A544,Tutors!A:F,6,0)</f>
        <v>ahmedelshemy100@gmail.com</v>
      </c>
      <c r="I544" s="8" t="str">
        <f>VLOOKUP(A544,Tutors!C:G,5,0)</f>
        <v>01097153806</v>
      </c>
      <c r="J544" s="8">
        <f>COUNTIFS(Active!C:C,A544)</f>
        <v>0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" t="s">
        <v>584</v>
      </c>
      <c r="B545" s="7">
        <f>VLOOKUP(A545,Tutors!A:B,2,0)</f>
        <v>404145973415</v>
      </c>
      <c r="C545" s="6" t="s">
        <v>477</v>
      </c>
      <c r="D545" s="6" t="s">
        <v>69</v>
      </c>
      <c r="E545" s="6" t="s">
        <v>9</v>
      </c>
      <c r="F545" s="8">
        <f>VLOOKUP(A545,Tutors!C:D,2,0)</f>
        <v>2419</v>
      </c>
      <c r="G545" s="8" t="str">
        <f>VLOOKUP(A545,Tutors!C:E,3,0)</f>
        <v>EG10-EG11-EG12</v>
      </c>
      <c r="H545" s="8" t="str">
        <f>VLOOKUP(A545,Tutors!A:F,6,0)</f>
        <v>has.alrefaey@gmail.com</v>
      </c>
      <c r="I545" s="8" t="str">
        <f>VLOOKUP(A545,Tutors!C:G,5,0)</f>
        <v>01007303558</v>
      </c>
      <c r="J545" s="8">
        <f>COUNTIFS(Active!C:C,A545)</f>
        <v>1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" t="s">
        <v>585</v>
      </c>
      <c r="B546" s="7">
        <f>VLOOKUP(A546,Tutors!A:B,2,0)</f>
        <v>495158084197</v>
      </c>
      <c r="C546" s="6" t="s">
        <v>477</v>
      </c>
      <c r="D546" s="6" t="s">
        <v>69</v>
      </c>
      <c r="E546" s="6" t="s">
        <v>9</v>
      </c>
      <c r="F546" s="8">
        <f>VLOOKUP(A546,Tutors!C:D,2,0)</f>
        <v>2552</v>
      </c>
      <c r="G546" s="8" t="str">
        <f>VLOOKUP(A546,Tutors!C:E,3,0)</f>
        <v>EG09-EG10-EG11</v>
      </c>
      <c r="H546" s="8" t="str">
        <f>VLOOKUP(A546,Tutors!A:F,6,0)</f>
        <v>youssef.ibrahem20@gmail.com</v>
      </c>
      <c r="I546" s="8" t="str">
        <f>VLOOKUP(A546,Tutors!C:G,5,0)</f>
        <v>01110454612</v>
      </c>
      <c r="J546" s="8">
        <f>COUNTIFS(Active!C:C,A546)</f>
        <v>1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" t="s">
        <v>586</v>
      </c>
      <c r="B547" s="7">
        <f>VLOOKUP(A547,Tutors!A:B,2,0)</f>
        <v>204176435205</v>
      </c>
      <c r="C547" s="6" t="s">
        <v>477</v>
      </c>
      <c r="D547" s="6" t="s">
        <v>69</v>
      </c>
      <c r="E547" s="6" t="s">
        <v>13</v>
      </c>
      <c r="F547" s="8">
        <f>VLOOKUP(A547,Tutors!C:D,2,0)</f>
        <v>2651</v>
      </c>
      <c r="G547" s="8" t="str">
        <f>VLOOKUP(A547,Tutors!C:E,3,0)</f>
        <v>EG09-EG10-EG11-EG12</v>
      </c>
      <c r="H547" s="8" t="str">
        <f>VLOOKUP(A547,Tutors!A:F,6,0)</f>
        <v>ahmedarafa294@gmail.com</v>
      </c>
      <c r="I547" s="8" t="str">
        <f>VLOOKUP(A547,Tutors!C:G,5,0)</f>
        <v/>
      </c>
      <c r="J547" s="8">
        <f>COUNTIFS(Active!C:C,A547)</f>
        <v>0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" t="s">
        <v>587</v>
      </c>
      <c r="B548" s="7">
        <f>VLOOKUP(A548,Tutors!A:B,2,0)</f>
        <v>240145743263</v>
      </c>
      <c r="C548" s="6" t="s">
        <v>477</v>
      </c>
      <c r="D548" s="6" t="s">
        <v>69</v>
      </c>
      <c r="E548" s="6" t="s">
        <v>13</v>
      </c>
      <c r="F548" s="8">
        <f>VLOOKUP(A548,Tutors!C:D,2,0)</f>
        <v>2417</v>
      </c>
      <c r="G548" s="8" t="str">
        <f>VLOOKUP(A548,Tutors!C:E,3,0)</f>
        <v>EG09-EG10-EG11-EG12</v>
      </c>
      <c r="H548" s="8" t="str">
        <f>VLOOKUP(A548,Tutors!A:F,6,0)</f>
        <v>mrahmedragab057@gmail.com</v>
      </c>
      <c r="I548" s="8" t="str">
        <f>VLOOKUP(A548,Tutors!C:G,5,0)</f>
        <v/>
      </c>
      <c r="J548" s="8">
        <f>COUNTIFS(Active!C:C,A548)</f>
        <v>0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" t="s">
        <v>588</v>
      </c>
      <c r="B549" s="7">
        <f>VLOOKUP(A549,Tutors!A:B,2,0)</f>
        <v>730108091781</v>
      </c>
      <c r="C549" s="6" t="s">
        <v>477</v>
      </c>
      <c r="D549" s="6" t="s">
        <v>589</v>
      </c>
      <c r="E549" s="6" t="s">
        <v>9</v>
      </c>
      <c r="F549" s="9" t="str">
        <f>VLOOKUP(A549,Tutors!C:D,2,0)</f>
        <v>1816</v>
      </c>
      <c r="G549" s="8" t="str">
        <f>VLOOKUP(A549,Tutors!C:E,3,0)</f>
        <v/>
      </c>
      <c r="H549" s="8" t="str">
        <f>VLOOKUP(A549,Tutors!A:F,6,0)</f>
        <v>rsalama4569@gmail.com</v>
      </c>
      <c r="I549" s="8">
        <f>VLOOKUP(A549,Tutors!C:G,5,0)</f>
        <v>1223356596</v>
      </c>
      <c r="J549" s="8">
        <f>COUNTIFS(Active!C:C,A549)</f>
        <v>1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" t="s">
        <v>590</v>
      </c>
      <c r="B550" s="7">
        <f>VLOOKUP(A550,Tutors!A:B,2,0)</f>
        <v>578168047263</v>
      </c>
      <c r="C550" s="6" t="s">
        <v>477</v>
      </c>
      <c r="D550" s="6" t="s">
        <v>589</v>
      </c>
      <c r="E550" s="6" t="s">
        <v>13</v>
      </c>
      <c r="F550" s="9">
        <f>VLOOKUP(A550,Tutors!C:D,2,0)</f>
        <v>1906</v>
      </c>
      <c r="G550" s="8" t="str">
        <f>VLOOKUP(A550,Tutors!C:E,3,0)</f>
        <v/>
      </c>
      <c r="H550" s="8" t="str">
        <f>VLOOKUP(A550,Tutors!A:F,6,0)</f>
        <v>mrahmedsamer30@gmail.com</v>
      </c>
      <c r="I550" s="8" t="str">
        <f>VLOOKUP(A550,Tutors!C:G,5,0)</f>
        <v>01060665053</v>
      </c>
      <c r="J550" s="8">
        <f>COUNTIFS(Active!C:C,A550)</f>
        <v>0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" t="s">
        <v>591</v>
      </c>
      <c r="B551" s="7">
        <f>VLOOKUP(A551,Tutors!A:B,2,0)</f>
        <v>829179380761</v>
      </c>
      <c r="C551" s="6" t="s">
        <v>477</v>
      </c>
      <c r="D551" s="6" t="s">
        <v>589</v>
      </c>
      <c r="E551" s="6" t="s">
        <v>13</v>
      </c>
      <c r="F551" s="9">
        <f>VLOOKUP(A551,Tutors!C:D,2,0)</f>
        <v>1915</v>
      </c>
      <c r="G551" s="8" t="str">
        <f>VLOOKUP(A551,Tutors!C:E,3,0)</f>
        <v/>
      </c>
      <c r="H551" s="8" t="str">
        <f>VLOOKUP(A551,Tutors!A:F,6,0)</f>
        <v>dr.sallyibrahem70@gmail.com</v>
      </c>
      <c r="I551" s="8" t="str">
        <f>VLOOKUP(A551,Tutors!C:G,5,0)</f>
        <v>01009604394</v>
      </c>
      <c r="J551" s="8">
        <f>COUNTIFS(Active!C:C,A551)</f>
        <v>0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" t="s">
        <v>592</v>
      </c>
      <c r="B552" s="7">
        <f>VLOOKUP(A552,Tutors!A:B,2,0)</f>
        <v>507191054317</v>
      </c>
      <c r="C552" s="6" t="s">
        <v>477</v>
      </c>
      <c r="D552" s="6" t="s">
        <v>589</v>
      </c>
      <c r="E552" s="6" t="s">
        <v>13</v>
      </c>
      <c r="F552" s="9" t="str">
        <f>VLOOKUP(A552,Tutors!C:D,2,0)</f>
        <v>2034</v>
      </c>
      <c r="G552" s="8" t="str">
        <f>VLOOKUP(A552,Tutors!C:E,3,0)</f>
        <v/>
      </c>
      <c r="H552" s="8" t="str">
        <f>VLOOKUP(A552,Tutors!A:F,6,0)</f>
        <v>viplol85@gmail.com</v>
      </c>
      <c r="I552" s="8" t="str">
        <f>VLOOKUP(A552,Tutors!C:G,5,0)</f>
        <v/>
      </c>
      <c r="J552" s="8">
        <f>COUNTIFS(Active!C:C,A552)</f>
        <v>0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" t="s">
        <v>593</v>
      </c>
      <c r="B553" s="7">
        <f>VLOOKUP(A553,Tutors!A:B,2,0)</f>
        <v>964127341684</v>
      </c>
      <c r="C553" s="6" t="s">
        <v>477</v>
      </c>
      <c r="D553" s="6" t="s">
        <v>589</v>
      </c>
      <c r="E553" s="6" t="s">
        <v>9</v>
      </c>
      <c r="F553" s="9" t="str">
        <f>VLOOKUP(A553,Tutors!C:D,2,0)</f>
        <v>2071</v>
      </c>
      <c r="G553" s="8" t="str">
        <f>VLOOKUP(A553,Tutors!C:E,3,0)</f>
        <v/>
      </c>
      <c r="H553" s="8" t="str">
        <f>VLOOKUP(A553,Tutors!A:F,6,0)</f>
        <v>dream201037@gmail.com</v>
      </c>
      <c r="I553" s="8" t="str">
        <f>VLOOKUP(A553,Tutors!C:G,5,0)</f>
        <v>01550085874</v>
      </c>
      <c r="J553" s="8">
        <f>COUNTIFS(Active!C:C,A553)</f>
        <v>1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" t="s">
        <v>594</v>
      </c>
      <c r="B554" s="7">
        <f>VLOOKUP(A554,Tutors!A:B,2,0)</f>
        <v>709139503259</v>
      </c>
      <c r="C554" s="6" t="s">
        <v>477</v>
      </c>
      <c r="D554" s="6" t="s">
        <v>566</v>
      </c>
      <c r="E554" s="6" t="s">
        <v>13</v>
      </c>
      <c r="F554" s="8">
        <f>VLOOKUP(A554,Tutors!C:D,2,0)</f>
        <v>2096</v>
      </c>
      <c r="G554" s="8" t="str">
        <f>VLOOKUP(A554,Tutors!C:E,3,0)</f>
        <v>EG10-EG11-G12</v>
      </c>
      <c r="H554" s="8" t="str">
        <f>VLOOKUP(A554,Tutors!A:F,6,0)</f>
        <v>korashy.1411@gmail.com</v>
      </c>
      <c r="I554" s="8" t="str">
        <f>VLOOKUP(A554,Tutors!C:G,5,0)</f>
        <v>01126633295</v>
      </c>
      <c r="J554" s="8">
        <f>COUNTIFS(Active!C:C,A554)</f>
        <v>0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" t="s">
        <v>595</v>
      </c>
      <c r="B555" s="7" t="str">
        <f>VLOOKUP(A555,Tutors!A:B,2,0)</f>
        <v>#N/A</v>
      </c>
      <c r="C555" s="6" t="s">
        <v>477</v>
      </c>
      <c r="D555" s="6" t="s">
        <v>589</v>
      </c>
      <c r="E555" s="6" t="s">
        <v>184</v>
      </c>
      <c r="F555" s="8" t="str">
        <f>VLOOKUP(A555,Tutors!C:D,2,0)</f>
        <v>#N/A</v>
      </c>
      <c r="G555" s="7" t="s">
        <v>596</v>
      </c>
      <c r="H555" s="8" t="str">
        <f>VLOOKUP(A555,Tutors!A:F,6,0)</f>
        <v>#N/A</v>
      </c>
      <c r="I555" s="8" t="str">
        <f>VLOOKUP(A555,Tutors!C:G,5,0)</f>
        <v>#N/A</v>
      </c>
      <c r="J555" s="8">
        <f>COUNTIFS(Active!C:C,A555)</f>
        <v>0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" t="s">
        <v>597</v>
      </c>
      <c r="B556" s="7">
        <f>VLOOKUP(A556,Tutors!A:B,2,0)</f>
        <v>893140536419</v>
      </c>
      <c r="C556" s="6" t="s">
        <v>477</v>
      </c>
      <c r="D556" s="6" t="s">
        <v>589</v>
      </c>
      <c r="E556" s="6" t="s">
        <v>13</v>
      </c>
      <c r="F556" s="9" t="str">
        <f>VLOOKUP(A556,Tutors!C:D,2,0)</f>
        <v>2199</v>
      </c>
      <c r="G556" s="8" t="str">
        <f>VLOOKUP(A556,Tutors!C:E,3,0)</f>
        <v>EG10-EG11-G12</v>
      </c>
      <c r="H556" s="8" t="str">
        <f>VLOOKUP(A556,Tutors!A:F,6,0)</f>
        <v>ebrahim2721976@gmail.com</v>
      </c>
      <c r="I556" s="8" t="str">
        <f>VLOOKUP(A556,Tutors!C:G,5,0)</f>
        <v/>
      </c>
      <c r="J556" s="8">
        <f>COUNTIFS(Active!C:C,A556)</f>
        <v>0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" t="s">
        <v>598</v>
      </c>
      <c r="B557" s="7">
        <f>VLOOKUP(A557,Tutors!A:B,2,0)</f>
        <v>942138286345</v>
      </c>
      <c r="C557" s="6" t="s">
        <v>477</v>
      </c>
      <c r="D557" s="6" t="s">
        <v>574</v>
      </c>
      <c r="E557" s="6" t="s">
        <v>35</v>
      </c>
      <c r="F557" s="9" t="str">
        <f>VLOOKUP(A557,Tutors!C:D,2,0)</f>
        <v>1975</v>
      </c>
      <c r="G557" s="8" t="str">
        <f>VLOOKUP(A557,Tutors!C:E,3,0)</f>
        <v>EG10-EG11-G12</v>
      </c>
      <c r="H557" s="8" t="str">
        <f>VLOOKUP(A557,Tutors!A:F,6,0)</f>
        <v>rnosier.72@gmail.com</v>
      </c>
      <c r="I557" s="8" t="str">
        <f>VLOOKUP(A557,Tutors!C:G,5,0)</f>
        <v>01004540715</v>
      </c>
      <c r="J557" s="8">
        <f>COUNTIFS(Active!C:C,A557)</f>
        <v>0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" t="s">
        <v>599</v>
      </c>
      <c r="B558" s="7">
        <f>VLOOKUP(A558,Tutors!A:B,2,0)</f>
        <v>452123973904</v>
      </c>
      <c r="C558" s="6" t="s">
        <v>477</v>
      </c>
      <c r="D558" s="6" t="s">
        <v>489</v>
      </c>
      <c r="E558" s="6" t="s">
        <v>35</v>
      </c>
      <c r="F558" s="9" t="str">
        <f>VLOOKUP(A558,Tutors!C:D,2,0)</f>
        <v>1330</v>
      </c>
      <c r="G558" s="8" t="str">
        <f>VLOOKUP(A558,Tutors!C:E,3,0)</f>
        <v/>
      </c>
      <c r="H558" s="8" t="str">
        <f>VLOOKUP(A558,Tutors!A:F,6,0)</f>
        <v>s-mazenhafez@zewailcity.edu.eg</v>
      </c>
      <c r="I558" s="8" t="str">
        <f>VLOOKUP(A558,Tutors!C:G,5,0)</f>
        <v/>
      </c>
      <c r="J558" s="8">
        <f>COUNTIFS(Active!C:C,A558)</f>
        <v>0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" t="s">
        <v>600</v>
      </c>
      <c r="B559" s="7">
        <f>VLOOKUP(A559,Tutors!A:B,2,0)</f>
        <v>424154524098</v>
      </c>
      <c r="C559" s="6" t="s">
        <v>477</v>
      </c>
      <c r="D559" s="6" t="s">
        <v>25</v>
      </c>
      <c r="E559" s="6" t="s">
        <v>35</v>
      </c>
      <c r="F559" s="9" t="str">
        <f>VLOOKUP(A559,Tutors!C:D,2,0)</f>
        <v>2135</v>
      </c>
      <c r="G559" s="8" t="str">
        <f>VLOOKUP(A559,Tutors!C:E,3,0)</f>
        <v/>
      </c>
      <c r="H559" s="8" t="str">
        <f>VLOOKUP(A559,Tutors!A:F,6,0)</f>
        <v>zakisaeedfrs@gmail.com</v>
      </c>
      <c r="I559" s="8" t="str">
        <f>VLOOKUP(A559,Tutors!C:G,5,0)</f>
        <v>01202812574</v>
      </c>
      <c r="J559" s="8">
        <f>COUNTIFS(Active!C:C,A559)</f>
        <v>0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" t="s">
        <v>601</v>
      </c>
      <c r="B560" s="7">
        <f>VLOOKUP(A560,Tutors!A:B,2,0)</f>
        <v>636182508414</v>
      </c>
      <c r="C560" s="6" t="s">
        <v>303</v>
      </c>
      <c r="D560" s="6" t="s">
        <v>63</v>
      </c>
      <c r="E560" s="6" t="s">
        <v>184</v>
      </c>
      <c r="F560" s="9" t="str">
        <f>VLOOKUP(A560,Tutors!C:D,2,0)</f>
        <v>1846</v>
      </c>
      <c r="G560" s="8" t="str">
        <f>VLOOKUP(A560,Tutors!C:E,3,0)</f>
        <v/>
      </c>
      <c r="H560" s="8" t="str">
        <f>VLOOKUP(A560,Tutors!A:F,6,0)</f>
        <v/>
      </c>
      <c r="I560" s="8" t="str">
        <f>VLOOKUP(A560,Tutors!C:G,5,0)</f>
        <v/>
      </c>
      <c r="J560" s="8">
        <f>COUNTIFS(Active!C:C,A560)</f>
        <v>0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" t="s">
        <v>602</v>
      </c>
      <c r="B561" s="7">
        <f>VLOOKUP(A561,Tutors!A:B,2,0)</f>
        <v>626126867906</v>
      </c>
      <c r="C561" s="6" t="s">
        <v>303</v>
      </c>
      <c r="D561" s="6" t="s">
        <v>25</v>
      </c>
      <c r="E561" s="6" t="s">
        <v>35</v>
      </c>
      <c r="F561" s="9" t="str">
        <f>VLOOKUP(A561,Tutors!C:D,2,0)</f>
        <v>1993</v>
      </c>
      <c r="G561" s="8" t="str">
        <f>VLOOKUP(A561,Tutors!C:E,3,0)</f>
        <v/>
      </c>
      <c r="H561" s="8" t="str">
        <f>VLOOKUP(A561,Tutors!A:F,6,0)</f>
        <v>amany.nicola6@gmail.com</v>
      </c>
      <c r="I561" s="8" t="str">
        <f>VLOOKUP(A561,Tutors!C:G,5,0)</f>
        <v>01222711176</v>
      </c>
      <c r="J561" s="8">
        <f>COUNTIFS(Active!C:C,A561)</f>
        <v>0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" t="s">
        <v>603</v>
      </c>
      <c r="B562" s="7">
        <f>VLOOKUP(A562,Tutors!A:B,2,0)</f>
        <v>675168783816</v>
      </c>
      <c r="C562" s="6" t="s">
        <v>477</v>
      </c>
      <c r="D562" s="6" t="s">
        <v>489</v>
      </c>
      <c r="E562" s="6" t="s">
        <v>35</v>
      </c>
      <c r="F562" s="9" t="str">
        <f>VLOOKUP(A562,Tutors!C:D,2,0)</f>
        <v>1909</v>
      </c>
      <c r="G562" s="8" t="str">
        <f>VLOOKUP(A562,Tutors!C:E,3,0)</f>
        <v>EG10-EG11-G12</v>
      </c>
      <c r="H562" s="8" t="str">
        <f>VLOOKUP(A562,Tutors!A:F,6,0)</f>
        <v>fady.gobrail@gmail.com</v>
      </c>
      <c r="I562" s="8" t="str">
        <f>VLOOKUP(A562,Tutors!C:G,5,0)</f>
        <v>035400651</v>
      </c>
      <c r="J562" s="8">
        <f>COUNTIFS(Active!C:C,A562)</f>
        <v>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" t="s">
        <v>604</v>
      </c>
      <c r="B563" s="7">
        <f>VLOOKUP(A563,Tutors!A:B,2,0)</f>
        <v>198159430149</v>
      </c>
      <c r="C563" s="6" t="s">
        <v>477</v>
      </c>
      <c r="D563" s="6" t="s">
        <v>69</v>
      </c>
      <c r="E563" s="6" t="s">
        <v>35</v>
      </c>
      <c r="F563" s="9" t="str">
        <f>VLOOKUP(A563,Tutors!C:D,2,0)</f>
        <v>1083</v>
      </c>
      <c r="G563" s="8" t="str">
        <f>VLOOKUP(A563,Tutors!C:E,3,0)</f>
        <v>EG10-EG11-EG12</v>
      </c>
      <c r="H563" s="8" t="str">
        <f>VLOOKUP(A563,Tutors!A:F,6,0)</f>
        <v/>
      </c>
      <c r="I563" s="8" t="str">
        <f>VLOOKUP(A563,Tutors!C:G,5,0)</f>
        <v/>
      </c>
      <c r="J563" s="8">
        <f>COUNTIFS(Active!C:C,A563)</f>
        <v>0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" t="s">
        <v>605</v>
      </c>
      <c r="B564" s="7">
        <f>VLOOKUP(A564,Tutors!A:B,2,0)</f>
        <v>963158235375</v>
      </c>
      <c r="C564" s="6" t="s">
        <v>477</v>
      </c>
      <c r="D564" s="6" t="s">
        <v>606</v>
      </c>
      <c r="E564" s="6" t="s">
        <v>35</v>
      </c>
      <c r="F564" s="9" t="str">
        <f>VLOOKUP(A564,Tutors!C:D,2,0)</f>
        <v>2062</v>
      </c>
      <c r="G564" s="8" t="str">
        <f>VLOOKUP(A564,Tutors!C:E,3,0)</f>
        <v/>
      </c>
      <c r="H564" s="8" t="str">
        <f>VLOOKUP(A564,Tutors!A:F,6,0)</f>
        <v>marwa_mostafa_@hotmail.com</v>
      </c>
      <c r="I564" s="8" t="str">
        <f>VLOOKUP(A564,Tutors!C:G,5,0)</f>
        <v>01003732776</v>
      </c>
      <c r="J564" s="8">
        <f>COUNTIFS(Active!C:C,A564)</f>
        <v>0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" t="s">
        <v>607</v>
      </c>
      <c r="B565" s="7">
        <f>VLOOKUP(A565,Tutors!A:B,2,0)</f>
        <v>194141237816</v>
      </c>
      <c r="C565" s="6" t="s">
        <v>477</v>
      </c>
      <c r="D565" s="6" t="s">
        <v>608</v>
      </c>
      <c r="E565" s="6" t="s">
        <v>35</v>
      </c>
      <c r="F565" s="9" t="str">
        <f>VLOOKUP(A565,Tutors!C:D,2,0)</f>
        <v>1841</v>
      </c>
      <c r="G565" s="8"/>
      <c r="H565" s="8" t="str">
        <f>VLOOKUP(A565,Tutors!A:F,6,0)</f>
        <v/>
      </c>
      <c r="I565" s="8" t="str">
        <f>VLOOKUP(A565,Tutors!C:G,5,0)</f>
        <v/>
      </c>
      <c r="J565" s="8">
        <f>COUNTIFS(Active!C:C,A565)</f>
        <v>0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" t="s">
        <v>609</v>
      </c>
      <c r="B566" s="7">
        <f>VLOOKUP(A566,Tutors!A:B,2,0)</f>
        <v>194194607634</v>
      </c>
      <c r="C566" s="6" t="s">
        <v>477</v>
      </c>
      <c r="D566" s="6" t="s">
        <v>610</v>
      </c>
      <c r="E566" s="6" t="s">
        <v>13</v>
      </c>
      <c r="F566" s="9" t="str">
        <f>VLOOKUP(A566,Tutors!C:D,2,0)</f>
        <v>2006</v>
      </c>
      <c r="G566" s="8" t="str">
        <f>VLOOKUP(A566,Tutors!C:E,3,0)</f>
        <v/>
      </c>
      <c r="H566" s="8" t="str">
        <f>VLOOKUP(A566,Tutors!A:F,6,0)</f>
        <v>bichoiadel@gmail.com</v>
      </c>
      <c r="I566" s="8" t="str">
        <f>VLOOKUP(A566,Tutors!C:G,5,0)</f>
        <v>01283973691</v>
      </c>
      <c r="J566" s="8">
        <f>COUNTIFS(Active!C:C,A566)</f>
        <v>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" t="s">
        <v>611</v>
      </c>
      <c r="B567" s="7">
        <f>VLOOKUP(A567,Tutors!A:B,2,0)</f>
        <v>973132386263</v>
      </c>
      <c r="C567" s="6" t="s">
        <v>477</v>
      </c>
      <c r="D567" s="6" t="s">
        <v>606</v>
      </c>
      <c r="E567" s="6" t="s">
        <v>13</v>
      </c>
      <c r="F567" s="9" t="str">
        <f>VLOOKUP(A567,Tutors!C:D,2,0)</f>
        <v>1798</v>
      </c>
      <c r="G567" s="8" t="str">
        <f>VLOOKUP(A567,Tutors!C:E,3,0)</f>
        <v/>
      </c>
      <c r="H567" s="8" t="str">
        <f>VLOOKUP(A567,Tutors!A:F,6,0)</f>
        <v>magdaharidy96@gmail.com</v>
      </c>
      <c r="I567" s="8" t="str">
        <f>VLOOKUP(A567,Tutors!C:G,5,0)</f>
        <v>01011902047</v>
      </c>
      <c r="J567" s="8">
        <f>COUNTIFS(Active!C:C,A567)</f>
        <v>0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" t="s">
        <v>612</v>
      </c>
      <c r="B568" s="7">
        <f>VLOOKUP(A568,Tutors!A:B,2,0)</f>
        <v>524103078030</v>
      </c>
      <c r="C568" s="6" t="s">
        <v>477</v>
      </c>
      <c r="D568" s="6" t="s">
        <v>608</v>
      </c>
      <c r="E568" s="6" t="s">
        <v>184</v>
      </c>
      <c r="F568" s="9" t="str">
        <f>VLOOKUP(A568,Tutors!C:D,2,0)</f>
        <v>2120</v>
      </c>
      <c r="G568" s="8" t="str">
        <f>VLOOKUP(A568,Tutors!C:E,3,0)</f>
        <v/>
      </c>
      <c r="H568" s="8" t="str">
        <f>VLOOKUP(A568,Tutors!A:F,6,0)</f>
        <v/>
      </c>
      <c r="I568" s="8" t="str">
        <f>VLOOKUP(A568,Tutors!C:G,5,0)</f>
        <v/>
      </c>
      <c r="J568" s="8">
        <f>COUNTIFS(Active!C:C,A568)</f>
        <v>0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" t="s">
        <v>613</v>
      </c>
      <c r="B569" s="7">
        <f>VLOOKUP(A569,Tutors!A:B,2,0)</f>
        <v>492152627064</v>
      </c>
      <c r="C569" s="6" t="s">
        <v>477</v>
      </c>
      <c r="D569" s="6" t="s">
        <v>610</v>
      </c>
      <c r="E569" s="6" t="s">
        <v>13</v>
      </c>
      <c r="F569" s="9" t="str">
        <f>VLOOKUP(A569,Tutors!C:D,2,0)</f>
        <v>2134</v>
      </c>
      <c r="G569" s="8" t="str">
        <f>VLOOKUP(A569,Tutors!C:E,3,0)</f>
        <v/>
      </c>
      <c r="H569" s="8" t="str">
        <f>VLOOKUP(A569,Tutors!A:F,6,0)</f>
        <v>abdo.gemy5@gmail.com</v>
      </c>
      <c r="I569" s="8" t="str">
        <f>VLOOKUP(A569,Tutors!C:G,5,0)</f>
        <v>01126147349</v>
      </c>
      <c r="J569" s="8">
        <f>COUNTIFS(Active!C:C,A569)</f>
        <v>0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" t="s">
        <v>614</v>
      </c>
      <c r="B570" s="7">
        <f>VLOOKUP(A570,Tutors!A:B,2,0)</f>
        <v>872163032543</v>
      </c>
      <c r="C570" s="6" t="s">
        <v>477</v>
      </c>
      <c r="D570" s="6" t="s">
        <v>615</v>
      </c>
      <c r="E570" s="6" t="s">
        <v>13</v>
      </c>
      <c r="F570" s="9" t="str">
        <f>VLOOKUP(A570,Tutors!C:D,2,0)</f>
        <v>1962</v>
      </c>
      <c r="G570" s="8" t="str">
        <f>VLOOKUP(A570,Tutors!C:E,3,0)</f>
        <v/>
      </c>
      <c r="H570" s="8" t="str">
        <f>VLOOKUP(A570,Tutors!A:F,6,0)</f>
        <v>nojayehia2009@gmail.com</v>
      </c>
      <c r="I570" s="8">
        <f>VLOOKUP(A570,Tutors!C:G,5,0)</f>
        <v>1115125755</v>
      </c>
      <c r="J570" s="8">
        <f>COUNTIFS(Active!C:C,A570)</f>
        <v>0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" t="s">
        <v>616</v>
      </c>
      <c r="B571" s="7">
        <f>VLOOKUP(A571,Tutors!A:B,2,0)</f>
        <v>794135291842</v>
      </c>
      <c r="C571" s="6" t="s">
        <v>303</v>
      </c>
      <c r="D571" s="6" t="s">
        <v>615</v>
      </c>
      <c r="E571" s="6" t="s">
        <v>13</v>
      </c>
      <c r="F571" s="9" t="str">
        <f>VLOOKUP(A571,Tutors!C:D,2,0)</f>
        <v>2137</v>
      </c>
      <c r="G571" s="8" t="str">
        <f>VLOOKUP(A571,Tutors!C:E,3,0)</f>
        <v/>
      </c>
      <c r="H571" s="8" t="str">
        <f>VLOOKUP(A571,Tutors!A:F,6,0)</f>
        <v>nouragadou2022@gmail.com</v>
      </c>
      <c r="I571" s="8" t="str">
        <f>VLOOKUP(A571,Tutors!C:G,5,0)</f>
        <v/>
      </c>
      <c r="J571" s="8">
        <f>COUNTIFS(Active!C:C,A571)</f>
        <v>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" t="s">
        <v>617</v>
      </c>
      <c r="B572" s="7">
        <f>VLOOKUP(A572,Tutors!A:B,2,0)</f>
        <v>232180108363</v>
      </c>
      <c r="C572" s="6" t="s">
        <v>477</v>
      </c>
      <c r="D572" s="6" t="s">
        <v>47</v>
      </c>
      <c r="E572" s="6" t="s">
        <v>35</v>
      </c>
      <c r="F572" s="9" t="str">
        <f>VLOOKUP(A572,Tutors!C:D,2,0)</f>
        <v>1924</v>
      </c>
      <c r="G572" s="8" t="str">
        <f>VLOOKUP(A572,Tutors!C:E,3,0)</f>
        <v/>
      </c>
      <c r="H572" s="8" t="str">
        <f>VLOOKUP(A572,Tutors!A:F,6,0)</f>
        <v>mohamed.b.dahab@hotmail.com</v>
      </c>
      <c r="I572" s="8" t="str">
        <f>VLOOKUP(A572,Tutors!C:G,5,0)</f>
        <v>01285237127</v>
      </c>
      <c r="J572" s="8">
        <f>COUNTIFS(Active!C:C,A572)</f>
        <v>0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" t="s">
        <v>618</v>
      </c>
      <c r="B573" s="7">
        <f>VLOOKUP(A573,Tutors!A:B,2,0)</f>
        <v>517143909782</v>
      </c>
      <c r="C573" s="6" t="s">
        <v>477</v>
      </c>
      <c r="D573" s="6" t="s">
        <v>478</v>
      </c>
      <c r="E573" s="6" t="s">
        <v>35</v>
      </c>
      <c r="F573" s="9" t="str">
        <f>VLOOKUP(A573,Tutors!C:D,2,0)</f>
        <v>1922</v>
      </c>
      <c r="G573" s="8" t="str">
        <f>VLOOKUP(A573,Tutors!C:E,3,0)</f>
        <v/>
      </c>
      <c r="H573" s="8" t="str">
        <f>VLOOKUP(A573,Tutors!A:F,6,0)</f>
        <v/>
      </c>
      <c r="I573" s="8" t="str">
        <f>VLOOKUP(A573,Tutors!C:G,5,0)</f>
        <v/>
      </c>
      <c r="J573" s="8">
        <f>COUNTIFS(Active!C:C,A573)</f>
        <v>0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" t="s">
        <v>619</v>
      </c>
      <c r="B574" s="7">
        <f>VLOOKUP(A574,Tutors!A:B,2,0)</f>
        <v>287167641716</v>
      </c>
      <c r="C574" s="6" t="s">
        <v>477</v>
      </c>
      <c r="D574" s="6" t="s">
        <v>574</v>
      </c>
      <c r="E574" s="6" t="s">
        <v>35</v>
      </c>
      <c r="F574" s="9" t="str">
        <f>VLOOKUP(A574,Tutors!C:D,2,0)</f>
        <v>1865</v>
      </c>
      <c r="G574" s="8" t="str">
        <f>VLOOKUP(A574,Tutors!C:E,3,0)</f>
        <v>EG10-EG11-G12</v>
      </c>
      <c r="H574" s="8" t="str">
        <f>VLOOKUP(A574,Tutors!A:F,6,0)</f>
        <v>daliahussein999@gmail.com</v>
      </c>
      <c r="I574" s="8" t="str">
        <f>VLOOKUP(A574,Tutors!C:G,5,0)</f>
        <v/>
      </c>
      <c r="J574" s="8">
        <f>COUNTIFS(Active!C:C,A574)</f>
        <v>0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" t="s">
        <v>620</v>
      </c>
      <c r="B575" s="7">
        <f>VLOOKUP(A575,Tutors!A:B,2,0)</f>
        <v>128175285060</v>
      </c>
      <c r="C575" s="6" t="s">
        <v>477</v>
      </c>
      <c r="D575" s="6" t="s">
        <v>606</v>
      </c>
      <c r="E575" s="6" t="s">
        <v>13</v>
      </c>
      <c r="F575" s="9" t="str">
        <f>VLOOKUP(A575,Tutors!C:D,2,0)</f>
        <v>2145</v>
      </c>
      <c r="G575" s="8" t="str">
        <f>VLOOKUP(A575,Tutors!C:E,3,0)</f>
        <v/>
      </c>
      <c r="H575" s="8" t="str">
        <f>VLOOKUP(A575,Tutors!A:F,6,0)</f>
        <v>laprofe1307@gmail.com</v>
      </c>
      <c r="I575" s="8" t="str">
        <f>VLOOKUP(A575,Tutors!C:G,5,0)</f>
        <v>01066912056</v>
      </c>
      <c r="J575" s="8">
        <f>COUNTIFS(Active!C:C,A575)</f>
        <v>0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" t="s">
        <v>621</v>
      </c>
      <c r="B576" s="7">
        <f>VLOOKUP(A576,Tutors!A:B,2,0)</f>
        <v>292171703567</v>
      </c>
      <c r="C576" s="6" t="s">
        <v>477</v>
      </c>
      <c r="D576" s="6" t="s">
        <v>615</v>
      </c>
      <c r="E576" s="6" t="s">
        <v>184</v>
      </c>
      <c r="F576" s="9" t="str">
        <f>VLOOKUP(A576,Tutors!C:D,2,0)</f>
        <v>1979</v>
      </c>
      <c r="G576" s="8"/>
      <c r="H576" s="8" t="str">
        <f>VLOOKUP(A576,Tutors!A:F,6,0)</f>
        <v/>
      </c>
      <c r="I576" s="8" t="str">
        <f>VLOOKUP(A576,Tutors!C:G,5,0)</f>
        <v/>
      </c>
      <c r="J576" s="8">
        <f>COUNTIFS(Active!C:C,A576)</f>
        <v>0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" t="s">
        <v>622</v>
      </c>
      <c r="B577" s="7">
        <f>VLOOKUP(A577,Tutors!A:B,2,0)</f>
        <v>928120793742</v>
      </c>
      <c r="C577" s="6" t="s">
        <v>303</v>
      </c>
      <c r="D577" s="6" t="s">
        <v>25</v>
      </c>
      <c r="E577" s="6" t="s">
        <v>35</v>
      </c>
      <c r="F577" s="9" t="str">
        <f>VLOOKUP(A577,Tutors!C:D,2,0)</f>
        <v>2156</v>
      </c>
      <c r="G577" s="8" t="str">
        <f>VLOOKUP(A577,Tutors!C:E,3,0)</f>
        <v/>
      </c>
      <c r="H577" s="8" t="str">
        <f>VLOOKUP(A577,Tutors!A:F,6,0)</f>
        <v>radwa1511@gmail.com</v>
      </c>
      <c r="I577" s="8" t="str">
        <f>VLOOKUP(A577,Tutors!C:G,5,0)</f>
        <v>01118060999</v>
      </c>
      <c r="J577" s="8">
        <f>COUNTIFS(Active!C:C,A577)</f>
        <v>0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" t="s">
        <v>623</v>
      </c>
      <c r="B578" s="7">
        <f>VLOOKUP(A578,Tutors!A:B,2,0)</f>
        <v>870102132510</v>
      </c>
      <c r="C578" s="6" t="s">
        <v>303</v>
      </c>
      <c r="D578" s="6" t="s">
        <v>203</v>
      </c>
      <c r="E578" s="6" t="s">
        <v>35</v>
      </c>
      <c r="F578" s="9" t="str">
        <f>VLOOKUP(A578,Tutors!C:D,2,0)</f>
        <v>1858</v>
      </c>
      <c r="G578" s="8" t="str">
        <f>VLOOKUP(A578,Tutors!C:E,3,0)</f>
        <v/>
      </c>
      <c r="H578" s="8" t="str">
        <f>VLOOKUP(A578,Tutors!A:F,6,0)</f>
        <v>bosyt40@gmail.com</v>
      </c>
      <c r="I578" s="8" t="str">
        <f>VLOOKUP(A578,Tutors!C:G,5,0)</f>
        <v>01142417157</v>
      </c>
      <c r="J578" s="8">
        <f>COUNTIFS(Active!C:C,A578)</f>
        <v>0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" t="s">
        <v>624</v>
      </c>
      <c r="B579" s="7">
        <f>VLOOKUP(A579,Tutors!A:B,2,0)</f>
        <v>142159241646</v>
      </c>
      <c r="C579" s="6" t="s">
        <v>303</v>
      </c>
      <c r="D579" s="6" t="s">
        <v>47</v>
      </c>
      <c r="E579" s="6" t="s">
        <v>625</v>
      </c>
      <c r="F579" s="9" t="str">
        <f>VLOOKUP(A579,Tutors!C:D,2,0)</f>
        <v>1534</v>
      </c>
      <c r="G579" s="8" t="str">
        <f>VLOOKUP(A579,Tutors!C:E,3,0)</f>
        <v/>
      </c>
      <c r="H579" s="8" t="str">
        <f>VLOOKUP(A579,Tutors!A:F,6,0)</f>
        <v>essam.omar@nagwa.com</v>
      </c>
      <c r="I579" s="8">
        <f>VLOOKUP(A579,Tutors!C:G,5,0)</f>
        <v>201113618461</v>
      </c>
      <c r="J579" s="8">
        <f>COUNTIFS(Active!C:C,A579)</f>
        <v>1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" t="s">
        <v>626</v>
      </c>
      <c r="B580" s="7">
        <f>VLOOKUP(A580,Tutors!A:B,2,0)</f>
        <v>123132196047</v>
      </c>
      <c r="C580" s="6" t="s">
        <v>303</v>
      </c>
      <c r="D580" s="6" t="s">
        <v>25</v>
      </c>
      <c r="E580" s="6" t="s">
        <v>35</v>
      </c>
      <c r="F580" s="9" t="str">
        <f>VLOOKUP(A580,Tutors!C:D,2,0)</f>
        <v>2025</v>
      </c>
      <c r="G580" s="8" t="str">
        <f>VLOOKUP(A580,Tutors!C:E,3,0)</f>
        <v/>
      </c>
      <c r="H580" s="8" t="str">
        <f>VLOOKUP(A580,Tutors!A:F,6,0)</f>
        <v>rouby_zico@yahoo.com</v>
      </c>
      <c r="I580" s="8" t="str">
        <f>VLOOKUP(A580,Tutors!C:G,5,0)</f>
        <v>01100909748</v>
      </c>
      <c r="J580" s="8">
        <f>COUNTIFS(Active!C:C,A580)</f>
        <v>0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" t="s">
        <v>627</v>
      </c>
      <c r="B581" s="7">
        <f>VLOOKUP(A581,Tutors!A:B,2,0)</f>
        <v>179171592097</v>
      </c>
      <c r="C581" s="6" t="s">
        <v>477</v>
      </c>
      <c r="D581" s="6" t="s">
        <v>606</v>
      </c>
      <c r="E581" s="6" t="s">
        <v>35</v>
      </c>
      <c r="F581" s="9" t="str">
        <f>VLOOKUP(A581,Tutors!C:D,2,0)</f>
        <v>1994</v>
      </c>
      <c r="G581" s="8" t="str">
        <f>VLOOKUP(A581,Tutors!C:E,3,0)</f>
        <v/>
      </c>
      <c r="H581" s="8" t="str">
        <f>VLOOKUP(A581,Tutors!A:F,6,0)</f>
        <v>jakleenattalla99@gmail.com</v>
      </c>
      <c r="I581" s="8" t="str">
        <f>VLOOKUP(A581,Tutors!C:G,5,0)</f>
        <v>+201275832257</v>
      </c>
      <c r="J581" s="8">
        <f>COUNTIFS(Active!C:C,A581)</f>
        <v>0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" t="s">
        <v>628</v>
      </c>
      <c r="B582" s="7">
        <f>VLOOKUP(A582,Tutors!A:B,2,0)</f>
        <v>308176953497</v>
      </c>
      <c r="C582" s="6" t="s">
        <v>477</v>
      </c>
      <c r="D582" s="6" t="s">
        <v>608</v>
      </c>
      <c r="E582" s="6" t="s">
        <v>13</v>
      </c>
      <c r="F582" s="9" t="str">
        <f>VLOOKUP(A582,Tutors!C:D,2,0)</f>
        <v>1839</v>
      </c>
      <c r="G582" s="8" t="str">
        <f>VLOOKUP(A582,Tutors!C:E,3,0)</f>
        <v/>
      </c>
      <c r="H582" s="8" t="str">
        <f>VLOOKUP(A582,Tutors!A:F,6,0)</f>
        <v>amany.allam7@gmail.com</v>
      </c>
      <c r="I582" s="8" t="str">
        <f>VLOOKUP(A582,Tutors!C:G,5,0)</f>
        <v/>
      </c>
      <c r="J582" s="8">
        <f>COUNTIFS(Active!C:C,A582)</f>
        <v>0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" t="s">
        <v>629</v>
      </c>
      <c r="B583" s="7">
        <f>VLOOKUP(A583,Tutors!A:B,2,0)</f>
        <v>695180376491</v>
      </c>
      <c r="C583" s="6" t="s">
        <v>477</v>
      </c>
      <c r="D583" s="6" t="s">
        <v>610</v>
      </c>
      <c r="E583" s="6" t="s">
        <v>35</v>
      </c>
      <c r="F583" s="9" t="str">
        <f>VLOOKUP(A583,Tutors!C:D,2,0)</f>
        <v>1758</v>
      </c>
      <c r="G583" s="8" t="str">
        <f>VLOOKUP(A583,Tutors!C:E,3,0)</f>
        <v/>
      </c>
      <c r="H583" s="8" t="str">
        <f>VLOOKUP(A583,Tutors!A:F,6,0)</f>
        <v>mero.mro9@gmail.com</v>
      </c>
      <c r="I583" s="8" t="str">
        <f>VLOOKUP(A583,Tutors!C:G,5,0)</f>
        <v/>
      </c>
      <c r="J583" s="8">
        <f>COUNTIFS(Active!C:C,A583)</f>
        <v>0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" t="s">
        <v>630</v>
      </c>
      <c r="B584" s="7">
        <f>VLOOKUP(A584,Tutors!A:B,2,0)</f>
        <v>419198614751</v>
      </c>
      <c r="C584" s="6" t="s">
        <v>86</v>
      </c>
      <c r="D584" s="6" t="s">
        <v>126</v>
      </c>
      <c r="E584" s="6" t="s">
        <v>35</v>
      </c>
      <c r="F584" s="9" t="str">
        <f>VLOOKUP(A584,Tutors!C:D,2,0)</f>
        <v>2297</v>
      </c>
      <c r="G584" s="7" t="s">
        <v>127</v>
      </c>
      <c r="H584" s="8" t="str">
        <f>VLOOKUP(A584,Tutors!A:F,6,0)</f>
        <v>khaldfareed@gmail.com</v>
      </c>
      <c r="I584" s="8" t="str">
        <f>VLOOKUP(A584,Tutors!C:G,5,0)</f>
        <v>01026383650</v>
      </c>
      <c r="J584" s="8">
        <f>COUNTIFS(Active!C:C,A584)</f>
        <v>0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" t="s">
        <v>631</v>
      </c>
      <c r="B585" s="7">
        <f>VLOOKUP(A585,Tutors!A:B,2,0)</f>
        <v>435164906319</v>
      </c>
      <c r="C585" s="6" t="s">
        <v>477</v>
      </c>
      <c r="D585" s="6" t="s">
        <v>615</v>
      </c>
      <c r="E585" s="6" t="s">
        <v>35</v>
      </c>
      <c r="F585" s="9" t="str">
        <f>VLOOKUP(A585,Tutors!C:D,2,0)</f>
        <v>2020</v>
      </c>
      <c r="G585" s="8"/>
      <c r="H585" s="8" t="str">
        <f>VLOOKUP(A585,Tutors!A:F,6,0)</f>
        <v>sarakamalrezk@gmail.com</v>
      </c>
      <c r="I585" s="8" t="str">
        <f>VLOOKUP(A585,Tutors!C:G,5,0)</f>
        <v>0122 695 8654 </v>
      </c>
      <c r="J585" s="8">
        <f>COUNTIFS(Active!C:C,A585)</f>
        <v>0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" t="s">
        <v>632</v>
      </c>
      <c r="B586" s="7">
        <f>VLOOKUP(A586,Tutors!A:B,2,0)</f>
        <v>862194859079</v>
      </c>
      <c r="C586" s="6" t="s">
        <v>11</v>
      </c>
      <c r="D586" s="6" t="s">
        <v>25</v>
      </c>
      <c r="E586" s="6" t="s">
        <v>35</v>
      </c>
      <c r="F586" s="9" t="str">
        <f>VLOOKUP(A586,Tutors!C:D,2,0)</f>
        <v>2211</v>
      </c>
      <c r="G586" s="8" t="str">
        <f>VLOOKUP(A586,Tutors!C:E,3,0)</f>
        <v/>
      </c>
      <c r="H586" s="8" t="str">
        <f>VLOOKUP(A586,Tutors!A:F,6,0)</f>
        <v/>
      </c>
      <c r="I586" s="8" t="str">
        <f>VLOOKUP(A586,Tutors!C:G,5,0)</f>
        <v/>
      </c>
      <c r="J586" s="8">
        <f>COUNTIFS(Active!C:C,A586)</f>
        <v>0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" t="s">
        <v>633</v>
      </c>
      <c r="B587" s="7">
        <f>VLOOKUP(A587,Tutors!A:B,2,0)</f>
        <v>478141716532</v>
      </c>
      <c r="C587" s="6" t="s">
        <v>477</v>
      </c>
      <c r="D587" s="6" t="s">
        <v>606</v>
      </c>
      <c r="E587" s="6" t="s">
        <v>13</v>
      </c>
      <c r="F587" s="9" t="str">
        <f>VLOOKUP(A587,Tutors!C:D,2,0)</f>
        <v>2069</v>
      </c>
      <c r="G587" s="8" t="str">
        <f>VLOOKUP(A587,Tutors!C:E,3,0)</f>
        <v/>
      </c>
      <c r="H587" s="8" t="str">
        <f>VLOOKUP(A587,Tutors!A:F,6,0)</f>
        <v>tokahassan5@gmail.com</v>
      </c>
      <c r="I587" s="8" t="str">
        <f>VLOOKUP(A587,Tutors!C:G,5,0)</f>
        <v>01012286588</v>
      </c>
      <c r="J587" s="8">
        <f>COUNTIFS(Active!C:C,A587)</f>
        <v>0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" t="s">
        <v>634</v>
      </c>
      <c r="B588" s="7">
        <f>VLOOKUP(A588,Tutors!A:B,2,0)</f>
        <v>459127286142</v>
      </c>
      <c r="C588" s="6" t="s">
        <v>477</v>
      </c>
      <c r="D588" s="6" t="s">
        <v>610</v>
      </c>
      <c r="E588" s="6" t="s">
        <v>35</v>
      </c>
      <c r="F588" s="9" t="str">
        <f>VLOOKUP(A588,Tutors!C:D,2,0)</f>
        <v>1862</v>
      </c>
      <c r="G588" s="8" t="str">
        <f>VLOOKUP(A588,Tutors!C:E,3,0)</f>
        <v/>
      </c>
      <c r="H588" s="8" t="str">
        <f>VLOOKUP(A588,Tutors!A:F,6,0)</f>
        <v>gamal.amer86@hotmail.com</v>
      </c>
      <c r="I588" s="8" t="str">
        <f>VLOOKUP(A588,Tutors!C:G,5,0)</f>
        <v/>
      </c>
      <c r="J588" s="8">
        <f>COUNTIFS(Active!C:C,A588)</f>
        <v>0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" t="s">
        <v>635</v>
      </c>
      <c r="B589" s="7">
        <f>VLOOKUP(A589,Tutors!A:B,2,0)</f>
        <v>854101526124</v>
      </c>
      <c r="C589" s="6" t="s">
        <v>303</v>
      </c>
      <c r="D589" s="6" t="s">
        <v>69</v>
      </c>
      <c r="E589" s="6" t="s">
        <v>35</v>
      </c>
      <c r="F589" s="9" t="str">
        <f>VLOOKUP(A589,Tutors!C:D,2,0)</f>
        <v>1817</v>
      </c>
      <c r="G589" s="8" t="str">
        <f>VLOOKUP(A589,Tutors!C:E,3,0)</f>
        <v>EG07-EG08-EG09-EG10-EG11-EG12</v>
      </c>
      <c r="H589" s="8" t="str">
        <f>VLOOKUP(A589,Tutors!A:F,6,0)</f>
        <v>melbasel101@gmail.com</v>
      </c>
      <c r="I589" s="8" t="str">
        <f>VLOOKUP(A589,Tutors!C:G,5,0)</f>
        <v/>
      </c>
      <c r="J589" s="8">
        <f>COUNTIFS(Active!C:C,A589)</f>
        <v>0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" t="s">
        <v>636</v>
      </c>
      <c r="B590" s="7">
        <f>VLOOKUP(A590,Tutors!A:B,2,0)</f>
        <v>913169734907</v>
      </c>
      <c r="C590" s="6" t="s">
        <v>477</v>
      </c>
      <c r="D590" s="6" t="s">
        <v>489</v>
      </c>
      <c r="E590" s="6" t="s">
        <v>35</v>
      </c>
      <c r="F590" s="9" t="str">
        <f>VLOOKUP(A590,Tutors!C:D,2,0)</f>
        <v>1759</v>
      </c>
      <c r="G590" s="8" t="str">
        <f>VLOOKUP(A590,Tutors!C:E,3,0)</f>
        <v>EG10-EG11-G12</v>
      </c>
      <c r="H590" s="8" t="str">
        <f>VLOOKUP(A590,Tutors!A:F,6,0)</f>
        <v/>
      </c>
      <c r="I590" s="8" t="str">
        <f>VLOOKUP(A590,Tutors!C:G,5,0)</f>
        <v/>
      </c>
      <c r="J590" s="8">
        <f>COUNTIFS(Active!C:C,A590)</f>
        <v>0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" t="s">
        <v>637</v>
      </c>
      <c r="B591" s="7">
        <f>VLOOKUP(A591,Tutors!A:B,2,0)</f>
        <v>708179253837</v>
      </c>
      <c r="C591" s="6" t="s">
        <v>477</v>
      </c>
      <c r="D591" s="6" t="s">
        <v>615</v>
      </c>
      <c r="E591" s="6" t="s">
        <v>13</v>
      </c>
      <c r="F591" s="9" t="str">
        <f>VLOOKUP(A591,Tutors!C:D,2,0)</f>
        <v>2160</v>
      </c>
      <c r="G591" s="8" t="str">
        <f>VLOOKUP(A591,Tutors!C:E,3,0)</f>
        <v/>
      </c>
      <c r="H591" s="8" t="str">
        <f>VLOOKUP(A591,Tutors!A:F,6,0)</f>
        <v>ranaantar33@gmail.com</v>
      </c>
      <c r="I591" s="8" t="str">
        <f>VLOOKUP(A591,Tutors!C:G,5,0)</f>
        <v>01128544922</v>
      </c>
      <c r="J591" s="8">
        <f>COUNTIFS(Active!C:C,A591)</f>
        <v>0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" t="s">
        <v>638</v>
      </c>
      <c r="B592" s="7">
        <f>VLOOKUP(A592,Tutors!A:B,2,0)</f>
        <v>103196870689</v>
      </c>
      <c r="C592" s="6" t="s">
        <v>477</v>
      </c>
      <c r="D592" s="6" t="s">
        <v>615</v>
      </c>
      <c r="E592" s="6" t="s">
        <v>13</v>
      </c>
      <c r="F592" s="9" t="str">
        <f>VLOOKUP(A592,Tutors!C:D,2,0)</f>
        <v>2018</v>
      </c>
      <c r="G592" s="8" t="str">
        <f>VLOOKUP(A592,Tutors!C:E,3,0)</f>
        <v/>
      </c>
      <c r="H592" s="8" t="str">
        <f>VLOOKUP(A592,Tutors!A:F,6,0)</f>
        <v>anna.maria.261997@gmail.com</v>
      </c>
      <c r="I592" s="8" t="str">
        <f>VLOOKUP(A592,Tutors!C:G,5,0)</f>
        <v>01202381996</v>
      </c>
      <c r="J592" s="8">
        <f>COUNTIFS(Active!C:C,A592)</f>
        <v>0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" t="s">
        <v>639</v>
      </c>
      <c r="B593" s="7">
        <f>VLOOKUP(A593,Tutors!A:B,2,0)</f>
        <v>568186930704</v>
      </c>
      <c r="C593" s="6" t="s">
        <v>477</v>
      </c>
      <c r="D593" s="6" t="s">
        <v>608</v>
      </c>
      <c r="E593" s="6" t="s">
        <v>184</v>
      </c>
      <c r="F593" s="9" t="str">
        <f>VLOOKUP(A593,Tutors!C:D,2,0)</f>
        <v>2185</v>
      </c>
      <c r="G593" s="8" t="str">
        <f>VLOOKUP(A593,Tutors!C:E,3,0)</f>
        <v/>
      </c>
      <c r="H593" s="8" t="str">
        <f>VLOOKUP(A593,Tutors!A:F,6,0)</f>
        <v/>
      </c>
      <c r="I593" s="8" t="str">
        <f>VLOOKUP(A593,Tutors!C:G,5,0)</f>
        <v/>
      </c>
      <c r="J593" s="8">
        <f>COUNTIFS(Active!C:C,A593)</f>
        <v>0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" t="s">
        <v>640</v>
      </c>
      <c r="B594" s="7">
        <f>VLOOKUP(A594,Tutors!A:B,2,0)</f>
        <v>492145757573</v>
      </c>
      <c r="C594" s="6" t="s">
        <v>477</v>
      </c>
      <c r="D594" s="6" t="s">
        <v>69</v>
      </c>
      <c r="E594" s="6" t="s">
        <v>184</v>
      </c>
      <c r="F594" s="9" t="str">
        <f>VLOOKUP(A594,Tutors!C:D,2,0)</f>
        <v>1789</v>
      </c>
      <c r="G594" s="7" t="s">
        <v>641</v>
      </c>
      <c r="H594" s="8" t="str">
        <f>VLOOKUP(A594,Tutors!A:F,6,0)</f>
        <v/>
      </c>
      <c r="I594" s="8" t="str">
        <f>VLOOKUP(A594,Tutors!C:G,5,0)</f>
        <v/>
      </c>
      <c r="J594" s="8">
        <f>COUNTIFS(Active!C:C,A594)</f>
        <v>0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" t="s">
        <v>642</v>
      </c>
      <c r="B595" s="7">
        <f>VLOOKUP(A595,Tutors!A:B,2,0)</f>
        <v>893170457017</v>
      </c>
      <c r="C595" s="6" t="s">
        <v>477</v>
      </c>
      <c r="D595" s="6" t="s">
        <v>537</v>
      </c>
      <c r="E595" s="6" t="s">
        <v>184</v>
      </c>
      <c r="F595" s="9" t="str">
        <f>VLOOKUP(A595,Tutors!C:D,2,0)</f>
        <v>1245</v>
      </c>
      <c r="G595" s="8" t="str">
        <f>VLOOKUP(A595,Tutors!C:E,3,0)</f>
        <v/>
      </c>
      <c r="H595" s="8" t="str">
        <f>VLOOKUP(A595,Tutors!A:F,6,0)</f>
        <v>abeer.fouad@nagwa.com</v>
      </c>
      <c r="I595" s="8">
        <f>VLOOKUP(A595,Tutors!C:G,5,0)</f>
        <v>201090406534</v>
      </c>
      <c r="J595" s="8">
        <f>COUNTIFS(Active!C:C,A595)</f>
        <v>0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" t="s">
        <v>643</v>
      </c>
      <c r="B596" s="7">
        <f>VLOOKUP(A596,Tutors!A:B,2,0)</f>
        <v>347126195768</v>
      </c>
      <c r="C596" s="6" t="s">
        <v>477</v>
      </c>
      <c r="D596" s="6" t="s">
        <v>510</v>
      </c>
      <c r="E596" s="6" t="s">
        <v>35</v>
      </c>
      <c r="F596" s="9" t="str">
        <f>VLOOKUP(A596,Tutors!C:D,2,0)</f>
        <v>2041</v>
      </c>
      <c r="G596" s="8" t="str">
        <f>VLOOKUP(A596,Tutors!C:E,3,0)</f>
        <v>G11</v>
      </c>
      <c r="H596" s="8" t="str">
        <f>VLOOKUP(A596,Tutors!A:F,6,0)</f>
        <v>omarkhaled7772016@gmail.com</v>
      </c>
      <c r="I596" s="8" t="str">
        <f>VLOOKUP(A596,Tutors!C:G,5,0)</f>
        <v>01119231204</v>
      </c>
      <c r="J596" s="8">
        <f>COUNTIFS(Active!C:C,A596)</f>
        <v>0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" t="s">
        <v>644</v>
      </c>
      <c r="B597" s="7">
        <f>VLOOKUP(A597,Tutors!A:B,2,0)</f>
        <v>458157430479</v>
      </c>
      <c r="C597" s="6" t="s">
        <v>303</v>
      </c>
      <c r="D597" s="6" t="s">
        <v>615</v>
      </c>
      <c r="E597" s="6" t="s">
        <v>35</v>
      </c>
      <c r="F597" s="9" t="str">
        <f>VLOOKUP(A597,Tutors!C:D,2,0)</f>
        <v>2164</v>
      </c>
      <c r="G597" s="8"/>
      <c r="H597" s="8" t="str">
        <f>VLOOKUP(A597,Tutors!A:F,6,0)</f>
        <v>maromina1986@gmail.com</v>
      </c>
      <c r="I597" s="8" t="str">
        <f>VLOOKUP(A597,Tutors!C:G,5,0)</f>
        <v>01282662428</v>
      </c>
      <c r="J597" s="8">
        <f>COUNTIFS(Active!C:C,A597)</f>
        <v>0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" t="s">
        <v>645</v>
      </c>
      <c r="B598" s="7">
        <f>VLOOKUP(A598,Tutors!A:B,2,0)</f>
        <v>837194029802</v>
      </c>
      <c r="C598" s="6" t="s">
        <v>477</v>
      </c>
      <c r="D598" s="6" t="s">
        <v>519</v>
      </c>
      <c r="E598" s="6" t="s">
        <v>35</v>
      </c>
      <c r="F598" s="9" t="str">
        <f>VLOOKUP(A598,Tutors!C:D,2,0)</f>
        <v>2196</v>
      </c>
      <c r="G598" s="8" t="str">
        <f>VLOOKUP(A598,Tutors!C:E,3,0)</f>
        <v>G11-G12</v>
      </c>
      <c r="H598" s="8" t="str">
        <f>VLOOKUP(A598,Tutors!A:F,6,0)</f>
        <v>samehmaged304@gmail.com</v>
      </c>
      <c r="I598" s="8" t="str">
        <f>VLOOKUP(A598,Tutors!C:G,5,0)</f>
        <v>01281097754</v>
      </c>
      <c r="J598" s="8">
        <f>COUNTIFS(Active!C:C,A598)</f>
        <v>0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" t="s">
        <v>646</v>
      </c>
      <c r="B599" s="7">
        <f>VLOOKUP(A599,Tutors!A:B,2,0)</f>
        <v>486174535434</v>
      </c>
      <c r="C599" s="6" t="s">
        <v>477</v>
      </c>
      <c r="D599" s="6" t="s">
        <v>527</v>
      </c>
      <c r="E599" s="6" t="s">
        <v>184</v>
      </c>
      <c r="F599" s="9" t="str">
        <f>VLOOKUP(A599,Tutors!C:D,2,0)</f>
        <v>2067</v>
      </c>
      <c r="G599" s="8" t="str">
        <f>VLOOKUP(A599,Tutors!C:E,3,0)</f>
        <v/>
      </c>
      <c r="H599" s="8" t="str">
        <f>VLOOKUP(A599,Tutors!A:F,6,0)</f>
        <v/>
      </c>
      <c r="I599" s="8" t="str">
        <f>VLOOKUP(A599,Tutors!C:G,5,0)</f>
        <v/>
      </c>
      <c r="J599" s="8">
        <f>COUNTIFS(Active!C:C,A599)</f>
        <v>0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" t="s">
        <v>647</v>
      </c>
      <c r="B600" s="7">
        <f>VLOOKUP(A600,Tutors!A:B,2,0)</f>
        <v>239130462525</v>
      </c>
      <c r="C600" s="6" t="s">
        <v>86</v>
      </c>
      <c r="D600" s="6" t="s">
        <v>47</v>
      </c>
      <c r="E600" s="6" t="s">
        <v>35</v>
      </c>
      <c r="F600" s="9" t="str">
        <f>VLOOKUP(A600,Tutors!C:D,2,0)</f>
        <v>1913</v>
      </c>
      <c r="G600" s="8" t="str">
        <f>VLOOKUP(A600,Tutors!C:E,3,0)</f>
        <v/>
      </c>
      <c r="H600" s="8" t="str">
        <f>VLOOKUP(A600,Tutors!A:F,6,0)</f>
        <v/>
      </c>
      <c r="I600" s="8" t="str">
        <f>VLOOKUP(A600,Tutors!C:G,5,0)</f>
        <v/>
      </c>
      <c r="J600" s="8">
        <f>COUNTIFS(Active!C:C,A600)</f>
        <v>0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" t="s">
        <v>648</v>
      </c>
      <c r="B601" s="7">
        <f>VLOOKUP(A601,Tutors!A:B,2,0)</f>
        <v>307134532301</v>
      </c>
      <c r="C601" s="6" t="s">
        <v>477</v>
      </c>
      <c r="D601" s="6" t="s">
        <v>489</v>
      </c>
      <c r="E601" s="6" t="s">
        <v>184</v>
      </c>
      <c r="F601" s="9" t="str">
        <f>VLOOKUP(A601,Tutors!C:D,2,0)</f>
        <v>1888</v>
      </c>
      <c r="G601" s="8" t="str">
        <f>VLOOKUP(A601,Tutors!C:E,3,0)</f>
        <v>G12</v>
      </c>
      <c r="H601" s="8" t="str">
        <f>VLOOKUP(A601,Tutors!A:F,6,0)</f>
        <v/>
      </c>
      <c r="I601" s="8" t="str">
        <f>VLOOKUP(A601,Tutors!C:G,5,0)</f>
        <v/>
      </c>
      <c r="J601" s="8">
        <f>COUNTIFS(Active!C:C,A601)</f>
        <v>0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" t="s">
        <v>649</v>
      </c>
      <c r="B602" s="7">
        <f>VLOOKUP(A602,Tutors!A:B,2,0)</f>
        <v>658171357514</v>
      </c>
      <c r="C602" s="6" t="s">
        <v>303</v>
      </c>
      <c r="D602" s="6" t="s">
        <v>69</v>
      </c>
      <c r="E602" s="6" t="s">
        <v>13</v>
      </c>
      <c r="F602" s="9" t="str">
        <f>VLOOKUP(A602,Tutors!C:D,2,0)</f>
        <v>2314</v>
      </c>
      <c r="G602" s="8" t="str">
        <f>VLOOKUP(A602,Tutors!C:E,3,0)</f>
        <v>EG07-EG08-EG09</v>
      </c>
      <c r="H602" s="8" t="str">
        <f>VLOOKUP(A602,Tutors!A:F,6,0)</f>
        <v>ahmedmansourmansour761@gmail.com</v>
      </c>
      <c r="I602" s="8" t="str">
        <f>VLOOKUP(A602,Tutors!C:G,5,0)</f>
        <v>01025906312</v>
      </c>
      <c r="J602" s="8">
        <f>COUNTIFS(Active!C:C,A602)</f>
        <v>0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" t="s">
        <v>650</v>
      </c>
      <c r="B603" s="7">
        <f>VLOOKUP(A603,Tutors!A:B,2,0)</f>
        <v>403103787010</v>
      </c>
      <c r="C603" s="6" t="s">
        <v>303</v>
      </c>
      <c r="D603" s="6" t="s">
        <v>69</v>
      </c>
      <c r="E603" s="6" t="s">
        <v>184</v>
      </c>
      <c r="F603" s="9" t="str">
        <f>VLOOKUP(A603,Tutors!C:D,2,0)</f>
        <v>1910</v>
      </c>
      <c r="G603" s="8"/>
      <c r="H603" s="8" t="str">
        <f>VLOOKUP(A603,Tutors!A:F,6,0)</f>
        <v>ayman.m.selim@gmail.com</v>
      </c>
      <c r="I603" s="8" t="str">
        <f>VLOOKUP(A603,Tutors!C:G,5,0)</f>
        <v>01025907492</v>
      </c>
      <c r="J603" s="8">
        <f>COUNTIFS(Active!C:C,A603)</f>
        <v>0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" t="s">
        <v>651</v>
      </c>
      <c r="B604" s="7">
        <f>VLOOKUP(A604,Tutors!A:B,2,0)</f>
        <v>418196047464</v>
      </c>
      <c r="C604" s="6" t="s">
        <v>477</v>
      </c>
      <c r="D604" s="6" t="s">
        <v>615</v>
      </c>
      <c r="E604" s="6" t="s">
        <v>35</v>
      </c>
      <c r="F604" s="9" t="str">
        <f>VLOOKUP(A604,Tutors!C:D,2,0)</f>
        <v>1974</v>
      </c>
      <c r="G604" s="8" t="str">
        <f>VLOOKUP(A604,Tutors!C:E,3,0)</f>
        <v/>
      </c>
      <c r="H604" s="8" t="str">
        <f>VLOOKUP(A604,Tutors!A:F,6,0)</f>
        <v>salma.essam.saad@gmail.com</v>
      </c>
      <c r="I604" s="8" t="str">
        <f>VLOOKUP(A604,Tutors!C:G,5,0)</f>
        <v>01141184357</v>
      </c>
      <c r="J604" s="8">
        <f>COUNTIFS(Active!C:C,A604)</f>
        <v>0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" t="s">
        <v>652</v>
      </c>
      <c r="B605" s="7">
        <f>VLOOKUP(A605,Tutors!A:B,2,0)</f>
        <v>284105320408</v>
      </c>
      <c r="C605" s="6" t="s">
        <v>477</v>
      </c>
      <c r="D605" s="6" t="s">
        <v>610</v>
      </c>
      <c r="E605" s="6" t="s">
        <v>184</v>
      </c>
      <c r="F605" s="9" t="str">
        <f>VLOOKUP(A605,Tutors!C:D,2,0)</f>
        <v>1757</v>
      </c>
      <c r="G605" s="8"/>
      <c r="H605" s="8" t="str">
        <f>VLOOKUP(A605,Tutors!A:F,6,0)</f>
        <v/>
      </c>
      <c r="I605" s="8" t="str">
        <f>VLOOKUP(A605,Tutors!C:G,5,0)</f>
        <v/>
      </c>
      <c r="J605" s="8">
        <f>COUNTIFS(Active!C:C,A605)</f>
        <v>0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" t="s">
        <v>653</v>
      </c>
      <c r="B606" s="7">
        <f>VLOOKUP(A606,Tutors!A:B,2,0)</f>
        <v>415159138915</v>
      </c>
      <c r="C606" s="6" t="s">
        <v>477</v>
      </c>
      <c r="D606" s="6" t="s">
        <v>610</v>
      </c>
      <c r="E606" s="6" t="s">
        <v>184</v>
      </c>
      <c r="F606" s="9" t="str">
        <f>VLOOKUP(A606,Tutors!C:D,2,0)</f>
        <v>2007</v>
      </c>
      <c r="G606" s="8"/>
      <c r="H606" s="8" t="str">
        <f>VLOOKUP(A606,Tutors!A:F,6,0)</f>
        <v/>
      </c>
      <c r="I606" s="8" t="str">
        <f>VLOOKUP(A606,Tutors!C:G,5,0)</f>
        <v/>
      </c>
      <c r="J606" s="8">
        <f>COUNTIFS(Active!C:C,A606)</f>
        <v>0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" t="s">
        <v>654</v>
      </c>
      <c r="B607" s="7">
        <f>VLOOKUP(A607,Tutors!A:B,2,0)</f>
        <v>812195754050</v>
      </c>
      <c r="C607" s="6" t="s">
        <v>86</v>
      </c>
      <c r="D607" s="6" t="s">
        <v>47</v>
      </c>
      <c r="E607" s="6" t="s">
        <v>184</v>
      </c>
      <c r="F607" s="9" t="str">
        <f>VLOOKUP(A607,Tutors!C:D,2,0)</f>
        <v>1857</v>
      </c>
      <c r="G607" s="8" t="str">
        <f>VLOOKUP(A607,Tutors!C:E,3,0)</f>
        <v/>
      </c>
      <c r="H607" s="8" t="str">
        <f>VLOOKUP(A607,Tutors!A:F,6,0)</f>
        <v/>
      </c>
      <c r="I607" s="8" t="str">
        <f>VLOOKUP(A607,Tutors!C:G,5,0)</f>
        <v/>
      </c>
      <c r="J607" s="8">
        <f>COUNTIFS(Active!C:C,A607)</f>
        <v>0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" t="s">
        <v>655</v>
      </c>
      <c r="B608" s="7">
        <f>VLOOKUP(A608,Tutors!A:B,2,0)</f>
        <v>159150394389</v>
      </c>
      <c r="C608" s="6" t="s">
        <v>86</v>
      </c>
      <c r="D608" s="6" t="s">
        <v>47</v>
      </c>
      <c r="E608" s="6" t="s">
        <v>184</v>
      </c>
      <c r="F608" s="9" t="str">
        <f>VLOOKUP(A608,Tutors!C:D,2,0)</f>
        <v>443</v>
      </c>
      <c r="G608" s="8" t="str">
        <f>VLOOKUP(A608,Tutors!C:E,3,0)</f>
        <v/>
      </c>
      <c r="H608" s="8" t="str">
        <f>VLOOKUP(A608,Tutors!A:F,6,0)</f>
        <v>amr.khattab@nagwa.com</v>
      </c>
      <c r="I608" s="8" t="str">
        <f>VLOOKUP(A608,Tutors!C:G,5,0)</f>
        <v/>
      </c>
      <c r="J608" s="8">
        <f>COUNTIFS(Active!C:C,A608)</f>
        <v>0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" t="s">
        <v>656</v>
      </c>
      <c r="B609" s="7">
        <f>VLOOKUP(A609,Tutors!A:B,2,0)</f>
        <v>408124082075</v>
      </c>
      <c r="C609" s="6" t="s">
        <v>86</v>
      </c>
      <c r="D609" s="6" t="s">
        <v>63</v>
      </c>
      <c r="E609" s="6" t="s">
        <v>35</v>
      </c>
      <c r="F609" s="9">
        <f>VLOOKUP(A609,Tutors!C:D,2,0)</f>
        <v>1363</v>
      </c>
      <c r="G609" s="8" t="str">
        <f>VLOOKUP(A609,Tutors!C:E,3,0)</f>
        <v/>
      </c>
      <c r="H609" s="8" t="str">
        <f>VLOOKUP(A609,Tutors!A:F,6,0)</f>
        <v>nourhan.hashad@nagwa.com</v>
      </c>
      <c r="I609" s="8">
        <f>VLOOKUP(A609,Tutors!C:G,5,0)</f>
        <v>201112094005</v>
      </c>
      <c r="J609" s="8">
        <f>COUNTIFS(Active!C:C,A609)</f>
        <v>0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" t="s">
        <v>657</v>
      </c>
      <c r="B610" s="7">
        <f>VLOOKUP(A610,Tutors!A:B,2,0)</f>
        <v>974193190698</v>
      </c>
      <c r="C610" s="6" t="s">
        <v>303</v>
      </c>
      <c r="D610" s="6" t="s">
        <v>47</v>
      </c>
      <c r="E610" s="6" t="s">
        <v>35</v>
      </c>
      <c r="F610" s="9">
        <f>VLOOKUP(A610,Tutors!C:D,2,0)</f>
        <v>2038</v>
      </c>
      <c r="G610" s="8" t="str">
        <f>VLOOKUP(A610,Tutors!C:E,3,0)</f>
        <v/>
      </c>
      <c r="H610" s="8" t="str">
        <f>VLOOKUP(A610,Tutors!A:F,6,0)</f>
        <v>smah46158@gmail.com</v>
      </c>
      <c r="I610" s="8" t="str">
        <f>VLOOKUP(A610,Tutors!C:G,5,0)</f>
        <v/>
      </c>
      <c r="J610" s="8">
        <f>COUNTIFS(Active!C:C,A610)</f>
        <v>0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" t="s">
        <v>658</v>
      </c>
      <c r="B611" s="7">
        <f>VLOOKUP(A611,Tutors!A:B,2,0)</f>
        <v>343102940549</v>
      </c>
      <c r="C611" s="6" t="s">
        <v>11</v>
      </c>
      <c r="D611" s="6" t="s">
        <v>25</v>
      </c>
      <c r="E611" s="6" t="s">
        <v>184</v>
      </c>
      <c r="F611" s="9">
        <f>VLOOKUP(A611,Tutors!C:D,2,0)</f>
        <v>2312</v>
      </c>
      <c r="G611" s="8" t="str">
        <f>VLOOKUP(A611,Tutors!C:E,3,0)</f>
        <v/>
      </c>
      <c r="H611" s="8" t="str">
        <f>VLOOKUP(A611,Tutors!A:F,6,0)</f>
        <v/>
      </c>
      <c r="I611" s="8" t="str">
        <f>VLOOKUP(A611,Tutors!C:G,5,0)</f>
        <v/>
      </c>
      <c r="J611" s="8">
        <f>COUNTIFS(Active!C:C,A611)</f>
        <v>0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" t="s">
        <v>659</v>
      </c>
      <c r="B612" s="7">
        <f>VLOOKUP(A612,Tutors!A:B,2,0)</f>
        <v>957149214309</v>
      </c>
      <c r="C612" s="6" t="s">
        <v>477</v>
      </c>
      <c r="D612" s="6" t="s">
        <v>608</v>
      </c>
      <c r="E612" s="6" t="s">
        <v>184</v>
      </c>
      <c r="F612" s="9">
        <f>VLOOKUP(A612,Tutors!C:D,2,0)</f>
        <v>1995</v>
      </c>
      <c r="G612" s="8" t="str">
        <f>VLOOKUP(A612,Tutors!C:E,3,0)</f>
        <v/>
      </c>
      <c r="H612" s="8" t="str">
        <f>VLOOKUP(A612,Tutors!A:F,6,0)</f>
        <v>nancy_88312@hotmail.com</v>
      </c>
      <c r="I612" s="8" t="str">
        <f>VLOOKUP(A612,Tutors!C:G,5,0)</f>
        <v>01004166127</v>
      </c>
      <c r="J612" s="8">
        <f>COUNTIFS(Active!C:C,A612)</f>
        <v>0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" t="s">
        <v>660</v>
      </c>
      <c r="B613" s="7">
        <f>VLOOKUP(A613,Tutors!A:B,2,0)</f>
        <v>295194323854</v>
      </c>
      <c r="C613" s="6" t="s">
        <v>477</v>
      </c>
      <c r="D613" s="6" t="s">
        <v>606</v>
      </c>
      <c r="E613" s="6" t="s">
        <v>184</v>
      </c>
      <c r="F613" s="9">
        <f>VLOOKUP(A613,Tutors!C:D,2,0)</f>
        <v>2167</v>
      </c>
      <c r="G613" s="8" t="str">
        <f>VLOOKUP(A613,Tutors!C:E,3,0)</f>
        <v/>
      </c>
      <c r="H613" s="8" t="str">
        <f>VLOOKUP(A613,Tutors!A:F,6,0)</f>
        <v>yousramohamed1984@gmail.com</v>
      </c>
      <c r="I613" s="8" t="str">
        <f>VLOOKUP(A613,Tutors!C:G,5,0)</f>
        <v>01007474664</v>
      </c>
      <c r="J613" s="8">
        <f>COUNTIFS(Active!C:C,A613)</f>
        <v>0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" t="s">
        <v>661</v>
      </c>
      <c r="B614" s="7">
        <f>VLOOKUP(A614,Tutors!A:B,2,0)</f>
        <v>926164261364</v>
      </c>
      <c r="C614" s="6" t="s">
        <v>477</v>
      </c>
      <c r="D614" s="6" t="s">
        <v>556</v>
      </c>
      <c r="E614" s="6" t="s">
        <v>35</v>
      </c>
      <c r="F614" s="9">
        <f>VLOOKUP(A614,Tutors!C:D,2,0)</f>
        <v>2217</v>
      </c>
      <c r="G614" s="8" t="str">
        <f>VLOOKUP(A614,Tutors!C:E,3,0)</f>
        <v>Philosophy EG10-EG11-EG12
 Psychology EG11-EG12</v>
      </c>
      <c r="H614" s="8" t="str">
        <f>VLOOKUP(A614,Tutors!A:F,6,0)</f>
        <v>hosni_edu@msn.com</v>
      </c>
      <c r="I614" s="8" t="str">
        <f>VLOOKUP(A614,Tutors!C:G,5,0)</f>
        <v>01143344200</v>
      </c>
      <c r="J614" s="8">
        <f>COUNTIFS(Active!C:C,A614)</f>
        <v>0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" t="s">
        <v>662</v>
      </c>
      <c r="B615" s="7">
        <f>VLOOKUP(A615,Tutors!A:B,2,0)</f>
        <v>198137454262</v>
      </c>
      <c r="C615" s="6" t="s">
        <v>477</v>
      </c>
      <c r="D615" s="6" t="s">
        <v>589</v>
      </c>
      <c r="E615" s="6" t="s">
        <v>13</v>
      </c>
      <c r="F615" s="9" t="str">
        <f>VLOOKUP(A615,Tutors!C:D,2,0)</f>
        <v>2279</v>
      </c>
      <c r="G615" s="8" t="str">
        <f>VLOOKUP(A615,Tutors!C:E,3,0)</f>
        <v>G11-G12</v>
      </c>
      <c r="H615" s="8" t="str">
        <f>VLOOKUP(A615,Tutors!A:F,6,0)</f>
        <v>samanor2010@gmail.com</v>
      </c>
      <c r="I615" s="8" t="str">
        <f>VLOOKUP(A615,Tutors!C:G,5,0)</f>
        <v/>
      </c>
      <c r="J615" s="8">
        <f>COUNTIFS(Active!C:C,A615)</f>
        <v>0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" t="s">
        <v>663</v>
      </c>
      <c r="B616" s="7">
        <f>VLOOKUP(A616,Tutors!A:B,2,0)</f>
        <v>395193419294</v>
      </c>
      <c r="C616" s="6" t="s">
        <v>477</v>
      </c>
      <c r="D616" s="6" t="s">
        <v>556</v>
      </c>
      <c r="E616" s="6" t="s">
        <v>184</v>
      </c>
      <c r="F616" s="9" t="str">
        <f>VLOOKUP(A616,Tutors!C:D,2,0)</f>
        <v>2033</v>
      </c>
      <c r="G616" s="8" t="str">
        <f>VLOOKUP(A616,Tutors!C:E,3,0)</f>
        <v/>
      </c>
      <c r="H616" s="8" t="str">
        <f>VLOOKUP(A616,Tutors!A:F,6,0)</f>
        <v>ayadaod2017@gmail.com</v>
      </c>
      <c r="I616" s="8" t="str">
        <f>VLOOKUP(A616,Tutors!C:G,5,0)</f>
        <v/>
      </c>
      <c r="J616" s="8">
        <f>COUNTIFS(Active!C:C,A616)</f>
        <v>0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" t="s">
        <v>664</v>
      </c>
      <c r="B617" s="7">
        <f>VLOOKUP(A617,Tutors!A:B,2,0)</f>
        <v>615158327698</v>
      </c>
      <c r="C617" s="6" t="s">
        <v>86</v>
      </c>
      <c r="D617" s="6" t="s">
        <v>250</v>
      </c>
      <c r="E617" s="6" t="s">
        <v>35</v>
      </c>
      <c r="F617" s="8" t="str">
        <f>VLOOKUP(A617,Tutors!C:D,2,0)</f>
        <v>1471</v>
      </c>
      <c r="G617" s="8" t="str">
        <f>VLOOKUP(A617,Tutors!C:E,3,0)</f>
        <v>EG04-EG05-EG06-EG07-EG08-EG09</v>
      </c>
      <c r="H617" s="8" t="str">
        <f>VLOOKUP(A617,Tutors!A:F,6,0)</f>
        <v>aliaa.makkawy@nagwa.com</v>
      </c>
      <c r="I617" s="8">
        <f>VLOOKUP(A617,Tutors!C:G,5,0)</f>
        <v>201063570903</v>
      </c>
      <c r="J617" s="8">
        <f>COUNTIFS(Active!C:C,A617)</f>
        <v>0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" t="s">
        <v>665</v>
      </c>
      <c r="B618" s="7">
        <f>VLOOKUP(A618,Tutors!A:B,2,0)</f>
        <v>518185761828</v>
      </c>
      <c r="C618" s="6" t="s">
        <v>303</v>
      </c>
      <c r="D618" s="6" t="s">
        <v>172</v>
      </c>
      <c r="E618" s="6" t="s">
        <v>184</v>
      </c>
      <c r="F618" s="8">
        <f>VLOOKUP(A618,Tutors!C:D,2,0)</f>
        <v>1850</v>
      </c>
      <c r="G618" s="8" t="str">
        <f>VLOOKUP(A618,Tutors!C:E,3,0)</f>
        <v/>
      </c>
      <c r="H618" s="8" t="str">
        <f>VLOOKUP(A618,Tutors!A:F,6,0)</f>
        <v/>
      </c>
      <c r="I618" s="8" t="str">
        <f>VLOOKUP(A618,Tutors!C:G,5,0)</f>
        <v/>
      </c>
      <c r="J618" s="8">
        <f>COUNTIFS(Active!C:C,A618)</f>
        <v>0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" t="s">
        <v>666</v>
      </c>
      <c r="B619" s="7">
        <f>VLOOKUP(A619,Tutors!A:B,2,0)</f>
        <v>928179812341</v>
      </c>
      <c r="C619" s="6" t="s">
        <v>477</v>
      </c>
      <c r="D619" s="6" t="s">
        <v>510</v>
      </c>
      <c r="E619" s="6" t="s">
        <v>184</v>
      </c>
      <c r="F619" s="8">
        <f>VLOOKUP(A619,Tutors!C:D,2,0)</f>
        <v>1945</v>
      </c>
      <c r="G619" s="8" t="str">
        <f>VLOOKUP(A619,Tutors!C:E,3,0)</f>
        <v/>
      </c>
      <c r="H619" s="8" t="str">
        <f>VLOOKUP(A619,Tutors!A:F,6,0)</f>
        <v>amiraaliphy@gmail.com</v>
      </c>
      <c r="I619" s="8" t="str">
        <f>VLOOKUP(A619,Tutors!C:G,5,0)</f>
        <v>01016171473</v>
      </c>
      <c r="J619" s="8">
        <f>COUNTIFS(Active!C:C,A619)</f>
        <v>0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" t="s">
        <v>667</v>
      </c>
      <c r="B620" s="7">
        <f>VLOOKUP(A620,Tutors!A:B,2,0)</f>
        <v>602141491647</v>
      </c>
      <c r="C620" s="6" t="s">
        <v>477</v>
      </c>
      <c r="D620" s="6" t="s">
        <v>519</v>
      </c>
      <c r="E620" s="6" t="s">
        <v>35</v>
      </c>
      <c r="F620" s="8">
        <f>VLOOKUP(A620,Tutors!C:D,2,0)</f>
        <v>2237</v>
      </c>
      <c r="G620" s="8" t="str">
        <f>VLOOKUP(A620,Tutors!C:E,3,0)</f>
        <v>EG10-EG11-G12</v>
      </c>
      <c r="H620" s="8" t="str">
        <f>VLOOKUP(A620,Tutors!A:F,6,0)</f>
        <v>moelsawy251@gmail.com</v>
      </c>
      <c r="I620" s="8" t="str">
        <f>VLOOKUP(A620,Tutors!C:G,5,0)</f>
        <v/>
      </c>
      <c r="J620" s="8">
        <f>COUNTIFS(Active!C:C,A620)</f>
        <v>0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" t="s">
        <v>668</v>
      </c>
      <c r="B621" s="7">
        <f>VLOOKUP(A621,Tutors!A:B,2,0)</f>
        <v>860125604984</v>
      </c>
      <c r="C621" s="6" t="s">
        <v>303</v>
      </c>
      <c r="D621" s="6" t="s">
        <v>615</v>
      </c>
      <c r="E621" s="6" t="s">
        <v>35</v>
      </c>
      <c r="F621" s="8">
        <f>VLOOKUP(A621,Tutors!C:D,2,0)</f>
        <v>1961</v>
      </c>
      <c r="G621" s="8" t="str">
        <f>VLOOKUP(A621,Tutors!C:E,3,0)</f>
        <v/>
      </c>
      <c r="H621" s="8" t="str">
        <f>VLOOKUP(A621,Tutors!A:F,6,0)</f>
        <v>toka.shokran@gmail.com</v>
      </c>
      <c r="I621" s="8" t="str">
        <f>VLOOKUP(A621,Tutors!C:G,5,0)</f>
        <v>01111163114</v>
      </c>
      <c r="J621" s="8">
        <f>COUNTIFS(Active!C:C,A621)</f>
        <v>0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" t="s">
        <v>669</v>
      </c>
      <c r="B622" s="7">
        <f>VLOOKUP(A622,Tutors!A:B,2,0)</f>
        <v>702160894872</v>
      </c>
      <c r="C622" s="6" t="s">
        <v>303</v>
      </c>
      <c r="D622" s="6" t="s">
        <v>610</v>
      </c>
      <c r="E622" s="6" t="s">
        <v>184</v>
      </c>
      <c r="F622" s="8">
        <f>VLOOKUP(A622,Tutors!C:D,2,0)</f>
        <v>2028</v>
      </c>
      <c r="G622" s="8"/>
      <c r="H622" s="8" t="str">
        <f>VLOOKUP(A622,Tutors!A:F,6,0)</f>
        <v/>
      </c>
      <c r="I622" s="8" t="str">
        <f>VLOOKUP(A622,Tutors!C:G,5,0)</f>
        <v/>
      </c>
      <c r="J622" s="8">
        <f>COUNTIFS(Active!C:C,A622)</f>
        <v>0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" t="s">
        <v>670</v>
      </c>
      <c r="B623" s="7">
        <f>VLOOKUP(A623,Tutors!A:B,2,0)</f>
        <v>424149471034</v>
      </c>
      <c r="C623" s="6" t="s">
        <v>303</v>
      </c>
      <c r="D623" s="6" t="s">
        <v>25</v>
      </c>
      <c r="E623" s="6" t="s">
        <v>184</v>
      </c>
      <c r="F623" s="8">
        <f>VLOOKUP(A623,Tutors!C:D,2,0)</f>
        <v>1989</v>
      </c>
      <c r="G623" s="8" t="str">
        <f>VLOOKUP(A623,Tutors!C:E,3,0)</f>
        <v/>
      </c>
      <c r="H623" s="8" t="str">
        <f>VLOOKUP(A623,Tutors!A:F,6,0)</f>
        <v/>
      </c>
      <c r="I623" s="8" t="str">
        <f>VLOOKUP(A623,Tutors!C:G,5,0)</f>
        <v/>
      </c>
      <c r="J623" s="8">
        <f>COUNTIFS(Active!C:C,A623)</f>
        <v>0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" t="s">
        <v>671</v>
      </c>
      <c r="B624" s="7">
        <f>VLOOKUP(A624,Tutors!A:B,2,0)</f>
        <v>895196457504</v>
      </c>
      <c r="C624" s="6" t="s">
        <v>86</v>
      </c>
      <c r="D624" s="6" t="s">
        <v>25</v>
      </c>
      <c r="E624" s="6" t="s">
        <v>184</v>
      </c>
      <c r="F624" s="8">
        <f>VLOOKUP(A624,Tutors!C:D,2,0)</f>
        <v>1886</v>
      </c>
      <c r="G624" s="8" t="str">
        <f>VLOOKUP(A624,Tutors!C:E,3,0)</f>
        <v/>
      </c>
      <c r="H624" s="8" t="str">
        <f>VLOOKUP(A624,Tutors!A:F,6,0)</f>
        <v/>
      </c>
      <c r="I624" s="8" t="str">
        <f>VLOOKUP(A624,Tutors!C:G,5,0)</f>
        <v/>
      </c>
      <c r="J624" s="8">
        <f>COUNTIFS(Active!C:C,A624)</f>
        <v>0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" t="s">
        <v>672</v>
      </c>
      <c r="B625" s="7">
        <f>VLOOKUP(A625,Tutors!A:B,2,0)</f>
        <v>945182868176</v>
      </c>
      <c r="C625" s="6" t="s">
        <v>86</v>
      </c>
      <c r="D625" s="6" t="s">
        <v>47</v>
      </c>
      <c r="E625" s="6" t="s">
        <v>184</v>
      </c>
      <c r="F625" s="8">
        <f>VLOOKUP(A625,Tutors!C:D,2,0)</f>
        <v>2074</v>
      </c>
      <c r="G625" s="8" t="str">
        <f>VLOOKUP(A625,Tutors!C:E,3,0)</f>
        <v/>
      </c>
      <c r="H625" s="8" t="str">
        <f>VLOOKUP(A625,Tutors!A:F,6,0)</f>
        <v/>
      </c>
      <c r="I625" s="8" t="str">
        <f>VLOOKUP(A625,Tutors!C:G,5,0)</f>
        <v/>
      </c>
      <c r="J625" s="8">
        <f>COUNTIFS(Active!C:C,A625)</f>
        <v>0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" t="s">
        <v>673</v>
      </c>
      <c r="B626" s="7" t="str">
        <f>VLOOKUP(A626,Tutors!A:B,2,0)</f>
        <v>#N/A</v>
      </c>
      <c r="C626" s="6" t="s">
        <v>477</v>
      </c>
      <c r="D626" s="6" t="s">
        <v>566</v>
      </c>
      <c r="E626" s="6" t="s">
        <v>674</v>
      </c>
      <c r="F626" s="8" t="str">
        <f>VLOOKUP(A626,Tutors!C:D,2,0)</f>
        <v>#N/A</v>
      </c>
      <c r="G626" s="8" t="str">
        <f>VLOOKUP(A626,Tutors!C:E,3,0)</f>
        <v>#N/A</v>
      </c>
      <c r="H626" s="8" t="str">
        <f>VLOOKUP(A626,Tutors!A:F,6,0)</f>
        <v>#N/A</v>
      </c>
      <c r="I626" s="8" t="str">
        <f>VLOOKUP(A626,Tutors!C:G,5,0)</f>
        <v>#N/A</v>
      </c>
      <c r="J626" s="8">
        <f>COUNTIFS(Active!C:C,A626)</f>
        <v>0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" t="s">
        <v>675</v>
      </c>
      <c r="B627" s="7">
        <f>VLOOKUP(A627,Tutors!A:B,2,0)</f>
        <v>137159402437</v>
      </c>
      <c r="C627" s="6" t="s">
        <v>477</v>
      </c>
      <c r="D627" s="6" t="s">
        <v>566</v>
      </c>
      <c r="E627" s="6" t="s">
        <v>184</v>
      </c>
      <c r="F627" s="8">
        <f>VLOOKUP(A627,Tutors!C:D,2,0)</f>
        <v>2336</v>
      </c>
      <c r="G627" s="8" t="str">
        <f>VLOOKUP(A627,Tutors!C:E,3,0)</f>
        <v>G11-G12</v>
      </c>
      <c r="H627" s="8" t="str">
        <f>VLOOKUP(A627,Tutors!A:F,6,0)</f>
        <v>mohamedr7713253@gmail.com</v>
      </c>
      <c r="I627" s="8" t="str">
        <f>VLOOKUP(A627,Tutors!C:G,5,0)</f>
        <v>01007713253</v>
      </c>
      <c r="J627" s="8">
        <f>COUNTIFS(Active!C:C,A627)</f>
        <v>0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" t="s">
        <v>676</v>
      </c>
      <c r="B628" s="7">
        <f>VLOOKUP(A628,Tutors!A:B,2,0)</f>
        <v>454134237907</v>
      </c>
      <c r="C628" s="6" t="s">
        <v>477</v>
      </c>
      <c r="D628" s="6" t="s">
        <v>615</v>
      </c>
      <c r="E628" s="6" t="s">
        <v>13</v>
      </c>
      <c r="F628" s="8">
        <f>VLOOKUP(A628,Tutors!C:D,2,0)</f>
        <v>2341</v>
      </c>
      <c r="G628" s="8" t="str">
        <f>VLOOKUP(A628,Tutors!C:E,3,0)</f>
        <v/>
      </c>
      <c r="H628" s="8" t="str">
        <f>VLOOKUP(A628,Tutors!A:F,6,0)</f>
        <v>mirna_tareksalah97@yahoo.com</v>
      </c>
      <c r="I628" s="8" t="str">
        <f>VLOOKUP(A628,Tutors!C:G,5,0)</f>
        <v>01225300158</v>
      </c>
      <c r="J628" s="8">
        <f>COUNTIFS(Active!C:C,A628)</f>
        <v>0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" t="s">
        <v>677</v>
      </c>
      <c r="B629" s="7">
        <f>VLOOKUP(A629,Tutors!A:B,2,0)</f>
        <v>937186279710</v>
      </c>
      <c r="C629" s="6" t="s">
        <v>477</v>
      </c>
      <c r="D629" s="6" t="s">
        <v>615</v>
      </c>
      <c r="E629" s="6" t="s">
        <v>13</v>
      </c>
      <c r="F629" s="8">
        <f>VLOOKUP(A629,Tutors!C:D,2,0)</f>
        <v>2338</v>
      </c>
      <c r="G629" s="8" t="str">
        <f>VLOOKUP(A629,Tutors!C:E,3,0)</f>
        <v/>
      </c>
      <c r="H629" s="8" t="str">
        <f>VLOOKUP(A629,Tutors!A:F,6,0)</f>
        <v>remonamoon@gmail.com</v>
      </c>
      <c r="I629" s="8" t="str">
        <f>VLOOKUP(A629,Tutors!C:G,5,0)</f>
        <v>01003647713</v>
      </c>
      <c r="J629" s="8">
        <f>COUNTIFS(Active!C:C,A629)</f>
        <v>0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" t="s">
        <v>678</v>
      </c>
      <c r="B630" s="7">
        <f>VLOOKUP(A630,Tutors!A:B,2,0)</f>
        <v>857181851641</v>
      </c>
      <c r="C630" s="6" t="s">
        <v>477</v>
      </c>
      <c r="D630" s="6" t="s">
        <v>69</v>
      </c>
      <c r="E630" s="6" t="s">
        <v>184</v>
      </c>
      <c r="F630" s="8">
        <f>VLOOKUP(A630,Tutors!C:D,2,0)</f>
        <v>2263</v>
      </c>
      <c r="G630" s="8" t="str">
        <f>VLOOKUP(A630,Tutors!C:E,3,0)</f>
        <v>EG08-EG09-EG10-EG11-EG12</v>
      </c>
      <c r="H630" s="8" t="str">
        <f>VLOOKUP(A630,Tutors!A:F,6,0)</f>
        <v>islam.m.darweesh@gmail.com</v>
      </c>
      <c r="I630" s="8" t="str">
        <f>VLOOKUP(A630,Tutors!C:G,5,0)</f>
        <v>01153839716</v>
      </c>
      <c r="J630" s="8">
        <f>COUNTIFS(Active!C:C,A630)</f>
        <v>0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" t="s">
        <v>679</v>
      </c>
      <c r="B631" s="7" t="str">
        <f>VLOOKUP(A631,Tutors!A:B,2,0)</f>
        <v>No ID</v>
      </c>
      <c r="C631" s="6" t="s">
        <v>11</v>
      </c>
      <c r="D631" s="6" t="s">
        <v>25</v>
      </c>
      <c r="E631" s="6" t="s">
        <v>184</v>
      </c>
      <c r="F631" s="8" t="str">
        <f>VLOOKUP(A631,Tutors!C:D,2,0)</f>
        <v/>
      </c>
      <c r="G631" s="8" t="str">
        <f>VLOOKUP(A631,Tutors!C:E,3,0)</f>
        <v/>
      </c>
      <c r="H631" s="8" t="str">
        <f>VLOOKUP(A631,Tutors!A:F,6,0)</f>
        <v/>
      </c>
      <c r="I631" s="8" t="str">
        <f>VLOOKUP(A631,Tutors!C:G,5,0)</f>
        <v/>
      </c>
      <c r="J631" s="8">
        <f>COUNTIFS(Active!C:C,A631)</f>
        <v>0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" t="s">
        <v>680</v>
      </c>
      <c r="B632" s="7">
        <f>VLOOKUP(A632,Tutors!A:B,2,0)</f>
        <v>716141713108</v>
      </c>
      <c r="C632" s="6" t="s">
        <v>303</v>
      </c>
      <c r="D632" s="6" t="s">
        <v>172</v>
      </c>
      <c r="E632" s="6" t="s">
        <v>35</v>
      </c>
      <c r="F632" s="8">
        <f>VLOOKUP(A632,Tutors!C:D,2,0)</f>
        <v>2355</v>
      </c>
      <c r="G632" s="8" t="str">
        <f>VLOOKUP(A632,Tutors!C:E,3,0)</f>
        <v>EG07-EG08-EG09</v>
      </c>
      <c r="H632" s="8" t="str">
        <f>VLOOKUP(A632,Tutors!A:F,6,0)</f>
        <v>nrmeensaeed28191@gmail.com</v>
      </c>
      <c r="I632" s="8" t="str">
        <f>VLOOKUP(A632,Tutors!C:G,5,0)</f>
        <v>01065167912</v>
      </c>
      <c r="J632" s="8">
        <f>COUNTIFS(Active!C:C,A632)</f>
        <v>0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" t="s">
        <v>681</v>
      </c>
      <c r="B633" s="7">
        <f>VLOOKUP(A633,Tutors!A:B,2,0)</f>
        <v>905158654524</v>
      </c>
      <c r="C633" s="6" t="s">
        <v>86</v>
      </c>
      <c r="D633" s="6" t="s">
        <v>203</v>
      </c>
      <c r="E633" s="6" t="s">
        <v>674</v>
      </c>
      <c r="F633" s="8" t="str">
        <f>VLOOKUP(A633,Tutors!C:D,2,0)</f>
        <v/>
      </c>
      <c r="G633" s="8" t="str">
        <f>VLOOKUP(A633,Tutors!C:E,3,0)</f>
        <v/>
      </c>
      <c r="H633" s="8" t="str">
        <f>VLOOKUP(A633,Tutors!A:F,6,0)</f>
        <v>rabdo6492@gmail.com</v>
      </c>
      <c r="I633" s="8" t="str">
        <f>VLOOKUP(A633,Tutors!C:G,5,0)</f>
        <v/>
      </c>
      <c r="J633" s="8">
        <f>COUNTIFS(Active!C:C,A633)</f>
        <v>0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" t="s">
        <v>682</v>
      </c>
      <c r="B634" s="7">
        <f>VLOOKUP(A634,Tutors!A:B,2,0)</f>
        <v>783123583101</v>
      </c>
      <c r="C634" s="6" t="s">
        <v>477</v>
      </c>
      <c r="D634" s="6" t="s">
        <v>25</v>
      </c>
      <c r="E634" s="6" t="s">
        <v>35</v>
      </c>
      <c r="F634" s="8">
        <f>VLOOKUP(A634,Tutors!C:D,2,0)</f>
        <v>2376</v>
      </c>
      <c r="G634" s="8" t="str">
        <f>VLOOKUP(A634,Tutors!C:E,3,0)</f>
        <v>EG09-EG10-EG11</v>
      </c>
      <c r="H634" s="8" t="str">
        <f>VLOOKUP(A634,Tutors!A:F,6,0)</f>
        <v>nehalzaher@gmail.com</v>
      </c>
      <c r="I634" s="8">
        <f>VLOOKUP(A634,Tutors!C:G,5,0)</f>
        <v>91111734555</v>
      </c>
      <c r="J634" s="8">
        <f>COUNTIFS(Active!C:C,A634)</f>
        <v>0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" t="s">
        <v>683</v>
      </c>
      <c r="B635" s="7">
        <f>VLOOKUP(A635,Tutors!A:B,2,0)</f>
        <v>529183826745</v>
      </c>
      <c r="C635" s="6" t="s">
        <v>477</v>
      </c>
      <c r="D635" s="6" t="s">
        <v>615</v>
      </c>
      <c r="E635" s="6" t="s">
        <v>13</v>
      </c>
      <c r="F635" s="8">
        <f>VLOOKUP(A635,Tutors!C:D,2,0)</f>
        <v>2379</v>
      </c>
      <c r="G635" s="8" t="str">
        <f>VLOOKUP(A635,Tutors!C:E,3,0)</f>
        <v/>
      </c>
      <c r="H635" s="8" t="str">
        <f>VLOOKUP(A635,Tutors!A:F,6,0)</f>
        <v>rehamsultan718@gmail.com</v>
      </c>
      <c r="I635" s="8" t="str">
        <f>VLOOKUP(A635,Tutors!C:G,5,0)</f>
        <v>01099408611</v>
      </c>
      <c r="J635" s="8">
        <f>COUNTIFS(Active!C:C,A635)</f>
        <v>0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" t="s">
        <v>684</v>
      </c>
      <c r="B636" s="7">
        <f>VLOOKUP(A636,Tutors!A:B,2,0)</f>
        <v>794175742320</v>
      </c>
      <c r="C636" s="6" t="s">
        <v>86</v>
      </c>
      <c r="D636" s="6" t="s">
        <v>69</v>
      </c>
      <c r="E636" s="6" t="s">
        <v>184</v>
      </c>
      <c r="F636" s="8">
        <f>VLOOKUP(A636,Tutors!C:D,2,0)</f>
        <v>2370</v>
      </c>
      <c r="G636" s="8"/>
      <c r="H636" s="8" t="str">
        <f>VLOOKUP(A636,Tutors!A:F,6,0)</f>
        <v/>
      </c>
      <c r="I636" s="8" t="str">
        <f>VLOOKUP(A636,Tutors!C:G,5,0)</f>
        <v/>
      </c>
      <c r="J636" s="8">
        <f>COUNTIFS(Active!C:C,A636)</f>
        <v>0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" t="s">
        <v>685</v>
      </c>
      <c r="B637" s="7">
        <f>VLOOKUP(A637,Tutors!A:B,2,0)</f>
        <v>587173545189</v>
      </c>
      <c r="C637" s="6" t="s">
        <v>477</v>
      </c>
      <c r="D637" s="6" t="s">
        <v>69</v>
      </c>
      <c r="E637" s="6" t="s">
        <v>35</v>
      </c>
      <c r="F637" s="8">
        <f>VLOOKUP(A637,Tutors!C:D,2,0)</f>
        <v>2371</v>
      </c>
      <c r="G637" s="8" t="str">
        <f>VLOOKUP(A637,Tutors!C:E,3,0)</f>
        <v>EG08-EG09-EG10-EG11-EG12</v>
      </c>
      <c r="H637" s="8" t="str">
        <f>VLOOKUP(A637,Tutors!A:F,6,0)</f>
        <v>saleh8015@gmail.com</v>
      </c>
      <c r="I637" s="8" t="str">
        <f>VLOOKUP(A637,Tutors!C:G,5,0)</f>
        <v>01122606455</v>
      </c>
      <c r="J637" s="8">
        <f>COUNTIFS(Active!C:C,A637)</f>
        <v>0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" t="s">
        <v>686</v>
      </c>
      <c r="B638" s="7">
        <f>VLOOKUP(A638,Tutors!A:B,2,0)</f>
        <v>140157603065</v>
      </c>
      <c r="C638" s="6" t="s">
        <v>86</v>
      </c>
      <c r="D638" s="6" t="s">
        <v>47</v>
      </c>
      <c r="E638" s="6" t="s">
        <v>184</v>
      </c>
      <c r="F638" s="8">
        <f>VLOOKUP(A638,Tutors!C:D,2,0)</f>
        <v>2380</v>
      </c>
      <c r="G638" s="8" t="str">
        <f>VLOOKUP(A638,Tutors!C:E,3,0)</f>
        <v>EG04</v>
      </c>
      <c r="H638" s="8" t="str">
        <f>VLOOKUP(A638,Tutors!A:F,6,0)</f>
        <v/>
      </c>
      <c r="I638" s="8" t="str">
        <f>VLOOKUP(A638,Tutors!C:G,5,0)</f>
        <v/>
      </c>
      <c r="J638" s="8">
        <f>COUNTIFS(Active!C:C,A638)</f>
        <v>0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" t="s">
        <v>687</v>
      </c>
      <c r="B639" s="7">
        <f>VLOOKUP(A639,Tutors!A:B,2,0)</f>
        <v>839185648325</v>
      </c>
      <c r="C639" s="6" t="s">
        <v>86</v>
      </c>
      <c r="D639" s="6" t="s">
        <v>203</v>
      </c>
      <c r="E639" s="6" t="s">
        <v>35</v>
      </c>
      <c r="F639" s="8">
        <f>VLOOKUP(A639,Tutors!C:D,2,0)</f>
        <v>2399</v>
      </c>
      <c r="G639" s="8" t="str">
        <f>VLOOKUP(A639,Tutors!C:E,3,0)</f>
        <v>EG04-EG05-EG06-G7</v>
      </c>
      <c r="H639" s="8" t="str">
        <f>VLOOKUP(A639,Tutors!A:F,6,0)</f>
        <v>maighalia54@gmail.com</v>
      </c>
      <c r="I639" s="8" t="str">
        <f>VLOOKUP(A639,Tutors!C:G,5,0)</f>
        <v>01122888386</v>
      </c>
      <c r="J639" s="8">
        <f>COUNTIFS(Active!C:C,A639)</f>
        <v>0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" t="s">
        <v>688</v>
      </c>
      <c r="B640" s="7">
        <f>VLOOKUP(A640,Tutors!A:B,2,0)</f>
        <v>975141754312</v>
      </c>
      <c r="C640" s="6" t="s">
        <v>477</v>
      </c>
      <c r="D640" s="6" t="s">
        <v>478</v>
      </c>
      <c r="E640" s="6" t="s">
        <v>674</v>
      </c>
      <c r="F640" s="8">
        <f>VLOOKUP(A640,Tutors!C:D,2,0)</f>
        <v>1999</v>
      </c>
      <c r="G640" s="8" t="str">
        <f>VLOOKUP(A640,Tutors!C:E,3,0)</f>
        <v/>
      </c>
      <c r="H640" s="8" t="str">
        <f>VLOOKUP(A640,Tutors!A:F,6,0)</f>
        <v/>
      </c>
      <c r="I640" s="8" t="str">
        <f>VLOOKUP(A640,Tutors!C:G,5,0)</f>
        <v/>
      </c>
      <c r="J640" s="8">
        <f>COUNTIFS(Active!C:C,A640)</f>
        <v>0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" t="s">
        <v>689</v>
      </c>
      <c r="B641" s="7">
        <f>VLOOKUP(A641,Tutors!A:B,2,0)</f>
        <v>846101762818</v>
      </c>
      <c r="C641" s="6" t="s">
        <v>477</v>
      </c>
      <c r="D641" s="6" t="s">
        <v>489</v>
      </c>
      <c r="E641" s="6" t="s">
        <v>184</v>
      </c>
      <c r="F641" s="8">
        <f>VLOOKUP(A641,Tutors!C:D,2,0)</f>
        <v>1781</v>
      </c>
      <c r="G641" s="8" t="str">
        <f>VLOOKUP(A641,Tutors!C:E,3,0)</f>
        <v/>
      </c>
      <c r="H641" s="8" t="str">
        <f>VLOOKUP(A641,Tutors!A:F,6,0)</f>
        <v/>
      </c>
      <c r="I641" s="8" t="str">
        <f>VLOOKUP(A641,Tutors!C:G,5,0)</f>
        <v/>
      </c>
      <c r="J641" s="8">
        <f>COUNTIFS(Active!C:C,A641)</f>
        <v>0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" t="s">
        <v>690</v>
      </c>
      <c r="B642" s="7" t="str">
        <f>VLOOKUP(A642,Tutors!A:B,2,0)</f>
        <v>No ID</v>
      </c>
      <c r="C642" s="6" t="s">
        <v>477</v>
      </c>
      <c r="D642" s="6" t="s">
        <v>691</v>
      </c>
      <c r="E642" s="6" t="s">
        <v>674</v>
      </c>
      <c r="F642" s="8" t="str">
        <f>VLOOKUP(A642,Tutors!C:D,2,0)</f>
        <v/>
      </c>
      <c r="G642" s="8" t="str">
        <f>VLOOKUP(A642,Tutors!C:E,3,0)</f>
        <v/>
      </c>
      <c r="H642" s="8" t="str">
        <f>VLOOKUP(A642,Tutors!A:F,6,0)</f>
        <v/>
      </c>
      <c r="I642" s="8" t="str">
        <f>VLOOKUP(A642,Tutors!C:G,5,0)</f>
        <v/>
      </c>
      <c r="J642" s="8">
        <f>COUNTIFS(Active!C:C,A642)</f>
        <v>0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" t="s">
        <v>692</v>
      </c>
      <c r="B643" s="7" t="str">
        <f>VLOOKUP(A643,Tutors!A:B,2,0)</f>
        <v>No ID</v>
      </c>
      <c r="C643" s="11"/>
      <c r="D643" s="6" t="s">
        <v>47</v>
      </c>
      <c r="E643" s="6" t="s">
        <v>384</v>
      </c>
      <c r="F643" s="8" t="str">
        <f>VLOOKUP(A643,Tutors!C:D,2,0)</f>
        <v/>
      </c>
      <c r="G643" s="8" t="str">
        <f>VLOOKUP(A643,Tutors!C:E,3,0)</f>
        <v/>
      </c>
      <c r="H643" s="8" t="str">
        <f>VLOOKUP(A643,Tutors!A:F,6,0)</f>
        <v/>
      </c>
      <c r="I643" s="8" t="str">
        <f>VLOOKUP(A643,Tutors!C:G,5,0)</f>
        <v/>
      </c>
      <c r="J643" s="8">
        <f>COUNTIFS(Active!C:C,A643)</f>
        <v>0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" t="s">
        <v>693</v>
      </c>
      <c r="B644" s="7">
        <f>VLOOKUP(A644,Tutors!A:B,2,0)</f>
        <v>876163930275</v>
      </c>
      <c r="C644" s="6" t="s">
        <v>303</v>
      </c>
      <c r="D644" s="6" t="s">
        <v>47</v>
      </c>
      <c r="E644" s="6" t="s">
        <v>35</v>
      </c>
      <c r="F644" s="8">
        <f>VLOOKUP(A644,Tutors!C:D,2,0)</f>
        <v>1374</v>
      </c>
      <c r="G644" s="8" t="str">
        <f>VLOOKUP(A644,Tutors!C:E,3,0)</f>
        <v/>
      </c>
      <c r="H644" s="8" t="str">
        <f>VLOOKUP(A644,Tutors!A:F,6,0)</f>
        <v>mohamed.ahmed.kamal@nagwa.com</v>
      </c>
      <c r="I644" s="8" t="str">
        <f>VLOOKUP(A644,Tutors!C:G,5,0)</f>
        <v>01001120294</v>
      </c>
      <c r="J644" s="8">
        <f>COUNTIFS(Active!C:C,A644)</f>
        <v>0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" t="s">
        <v>694</v>
      </c>
      <c r="B645" s="7">
        <f>VLOOKUP(A645,Tutors!A:B,2,0)</f>
        <v>962104368108</v>
      </c>
      <c r="C645" s="6" t="s">
        <v>86</v>
      </c>
      <c r="D645" s="6" t="s">
        <v>47</v>
      </c>
      <c r="E645" s="6" t="s">
        <v>35</v>
      </c>
      <c r="F645" s="8">
        <f>VLOOKUP(A645,Tutors!C:D,2,0)</f>
        <v>1928</v>
      </c>
      <c r="G645" s="8" t="str">
        <f>VLOOKUP(A645,Tutors!C:E,3,0)</f>
        <v>EG04-EG05-EG06-EG07-EG08-EG09</v>
      </c>
      <c r="H645" s="8" t="str">
        <f>VLOOKUP(A645,Tutors!A:F,6,0)</f>
        <v/>
      </c>
      <c r="I645" s="8" t="str">
        <f>VLOOKUP(A645,Tutors!C:G,5,0)</f>
        <v/>
      </c>
      <c r="J645" s="8">
        <f>COUNTIFS(Active!C:C,A645)</f>
        <v>0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" t="s">
        <v>695</v>
      </c>
      <c r="B646" s="7" t="str">
        <f>VLOOKUP(A646,Tutors!A:B,2,0)</f>
        <v>No ID</v>
      </c>
      <c r="C646" s="6" t="s">
        <v>303</v>
      </c>
      <c r="D646" s="6" t="s">
        <v>69</v>
      </c>
      <c r="E646" s="6" t="s">
        <v>35</v>
      </c>
      <c r="F646" s="8" t="str">
        <f>VLOOKUP(A646,Tutors!C:D,2,0)</f>
        <v/>
      </c>
      <c r="G646" s="8" t="str">
        <f>VLOOKUP(A646,Tutors!C:E,3,0)</f>
        <v>EG07-EG08-EG09-EG10</v>
      </c>
      <c r="H646" s="8" t="str">
        <f>VLOOKUP(A646,Tutors!A:F,6,0)</f>
        <v/>
      </c>
      <c r="I646" s="8" t="str">
        <f>VLOOKUP(A646,Tutors!C:G,5,0)</f>
        <v/>
      </c>
      <c r="J646" s="8">
        <f>COUNTIFS(Active!C:C,A646)</f>
        <v>0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" t="s">
        <v>696</v>
      </c>
      <c r="B647" s="7" t="str">
        <f>VLOOKUP(A647,Tutors!A:B,2,0)</f>
        <v>No ID</v>
      </c>
      <c r="C647" s="6" t="s">
        <v>303</v>
      </c>
      <c r="D647" s="6" t="s">
        <v>172</v>
      </c>
      <c r="E647" s="6" t="s">
        <v>184</v>
      </c>
      <c r="F647" s="8" t="str">
        <f>VLOOKUP(A647,Tutors!C:D,2,0)</f>
        <v/>
      </c>
      <c r="G647" s="8" t="str">
        <f>VLOOKUP(A647,Tutors!C:E,3,0)</f>
        <v>EG07-EG08-EG09</v>
      </c>
      <c r="H647" s="8" t="str">
        <f>VLOOKUP(A647,Tutors!A:F,6,0)</f>
        <v/>
      </c>
      <c r="I647" s="8" t="str">
        <f>VLOOKUP(A647,Tutors!C:G,5,0)</f>
        <v/>
      </c>
      <c r="J647" s="8">
        <f>COUNTIFS(Active!C:C,A647)</f>
        <v>0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" t="s">
        <v>697</v>
      </c>
      <c r="B648" s="7">
        <f>VLOOKUP(A648,Tutors!A:B,2,0)</f>
        <v>194168206386</v>
      </c>
      <c r="C648" s="6" t="s">
        <v>477</v>
      </c>
      <c r="D648" s="6" t="s">
        <v>69</v>
      </c>
      <c r="E648" s="6" t="s">
        <v>35</v>
      </c>
      <c r="F648" s="8">
        <f>VLOOKUP(A648,Tutors!C:D,2,0)</f>
        <v>2412</v>
      </c>
      <c r="G648" s="8" t="str">
        <f>VLOOKUP(A648,Tutors!C:E,3,0)</f>
        <v>EG10-EG11-EG12</v>
      </c>
      <c r="H648" s="8" t="str">
        <f>VLOOKUP(A648,Tutors!A:F,6,0)</f>
        <v>shemsad94@gmail.com</v>
      </c>
      <c r="I648" s="8" t="str">
        <f>VLOOKUP(A648,Tutors!C:G,5,0)</f>
        <v>01000478016</v>
      </c>
      <c r="J648" s="8">
        <f>COUNTIFS(Active!C:C,A648)</f>
        <v>0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" t="s">
        <v>698</v>
      </c>
      <c r="B649" s="7">
        <f>VLOOKUP(A649,Tutors!A:B,2,0)</f>
        <v>904157297454</v>
      </c>
      <c r="C649" s="6" t="s">
        <v>11</v>
      </c>
      <c r="D649" s="6" t="s">
        <v>25</v>
      </c>
      <c r="E649" s="6" t="s">
        <v>184</v>
      </c>
      <c r="F649" s="8">
        <f>VLOOKUP(A649,Tutors!C:D,2,0)</f>
        <v>2425</v>
      </c>
      <c r="G649" s="8" t="str">
        <f>VLOOKUP(A649,Tutors!C:E,3,0)</f>
        <v>EG01-EG02-EG03</v>
      </c>
      <c r="H649" s="8" t="str">
        <f>VLOOKUP(A649,Tutors!A:F,6,0)</f>
        <v>shaimaa.shawshaw@gmail.com</v>
      </c>
      <c r="I649" s="8" t="str">
        <f>VLOOKUP(A649,Tutors!C:G,5,0)</f>
        <v>01061516190</v>
      </c>
      <c r="J649" s="8">
        <f>COUNTIFS(Active!C:C,A649)</f>
        <v>0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" t="s">
        <v>699</v>
      </c>
      <c r="B650" s="7">
        <f>VLOOKUP(A650,Tutors!A:B,2,0)</f>
        <v>139146351896</v>
      </c>
      <c r="C650" s="6" t="s">
        <v>86</v>
      </c>
      <c r="D650" s="6" t="s">
        <v>203</v>
      </c>
      <c r="E650" s="6" t="s">
        <v>35</v>
      </c>
      <c r="F650" s="8">
        <f>VLOOKUP(A650,Tutors!C:D,2,0)</f>
        <v>2435</v>
      </c>
      <c r="G650" s="8" t="str">
        <f>VLOOKUP(A650,Tutors!C:E,3,0)</f>
        <v>EG04-EG05-EG06</v>
      </c>
      <c r="H650" s="8" t="str">
        <f>VLOOKUP(A650,Tutors!A:F,6,0)</f>
        <v>manarnabil88@gmail.com</v>
      </c>
      <c r="I650" s="8" t="str">
        <f>VLOOKUP(A650,Tutors!C:G,5,0)</f>
        <v/>
      </c>
      <c r="J650" s="8">
        <f>COUNTIFS(Active!C:C,A650)</f>
        <v>0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" t="s">
        <v>700</v>
      </c>
      <c r="B651" s="7">
        <f>VLOOKUP(A651,Tutors!A:B,2,0)</f>
        <v>969151976052</v>
      </c>
      <c r="C651" s="6" t="s">
        <v>86</v>
      </c>
      <c r="D651" s="6" t="s">
        <v>47</v>
      </c>
      <c r="E651" s="6" t="s">
        <v>184</v>
      </c>
      <c r="F651" s="8">
        <f>VLOOKUP(A651,Tutors!C:D,2,0)</f>
        <v>2468</v>
      </c>
      <c r="G651" s="8" t="str">
        <f>VLOOKUP(A651,Tutors!C:E,3,0)</f>
        <v>EG04-EG05-EG06</v>
      </c>
      <c r="H651" s="8" t="str">
        <f>VLOOKUP(A651,Tutors!A:F,6,0)</f>
        <v>rihameltawil91@gmail.com</v>
      </c>
      <c r="I651" s="8" t="str">
        <f>VLOOKUP(A651,Tutors!C:G,5,0)</f>
        <v/>
      </c>
      <c r="J651" s="8">
        <f>COUNTIFS(Active!C:C,A651)</f>
        <v>0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" t="s">
        <v>701</v>
      </c>
      <c r="B652" s="7">
        <f>VLOOKUP(A652,Tutors!A:B,2,0)</f>
        <v>458171934281</v>
      </c>
      <c r="C652" s="6" t="s">
        <v>86</v>
      </c>
      <c r="D652" s="6" t="s">
        <v>25</v>
      </c>
      <c r="E652" s="6" t="s">
        <v>184</v>
      </c>
      <c r="F652" s="8">
        <f>VLOOKUP(A652,Tutors!C:D,2,0)</f>
        <v>2472</v>
      </c>
      <c r="G652" s="8" t="str">
        <f>VLOOKUP(A652,Tutors!C:E,3,0)</f>
        <v>EG04-EG05-EG06-EG07-EG08-EG09</v>
      </c>
      <c r="H652" s="8" t="str">
        <f>VLOOKUP(A652,Tutors!A:F,6,0)</f>
        <v/>
      </c>
      <c r="I652" s="8" t="str">
        <f>VLOOKUP(A652,Tutors!C:G,5,0)</f>
        <v/>
      </c>
      <c r="J652" s="8">
        <f>COUNTIFS(Active!C:C,A652)</f>
        <v>0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" t="s">
        <v>702</v>
      </c>
      <c r="B653" s="7">
        <f>VLOOKUP(A653,Tutors!A:B,2,0)</f>
        <v>925193924973</v>
      </c>
      <c r="C653" s="6" t="s">
        <v>11</v>
      </c>
      <c r="D653" s="6" t="s">
        <v>25</v>
      </c>
      <c r="E653" s="6" t="s">
        <v>35</v>
      </c>
      <c r="F653" s="8">
        <f>VLOOKUP(A653,Tutors!C:D,2,0)</f>
        <v>2487</v>
      </c>
      <c r="G653" s="8" t="str">
        <f>VLOOKUP(A653,Tutors!C:E,3,0)</f>
        <v>EG01-EG02-EG03</v>
      </c>
      <c r="H653" s="8" t="str">
        <f>VLOOKUP(A653,Tutors!A:F,6,0)</f>
        <v>amira.galal60@yahoo.com</v>
      </c>
      <c r="I653" s="8" t="str">
        <f>VLOOKUP(A653,Tutors!C:G,5,0)</f>
        <v>01013983718</v>
      </c>
      <c r="J653" s="8">
        <f>COUNTIFS(Active!C:C,A653)</f>
        <v>0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" t="s">
        <v>703</v>
      </c>
      <c r="B654" s="7">
        <f>VLOOKUP(A654,Tutors!A:B,2,0)</f>
        <v>675158027827</v>
      </c>
      <c r="C654" s="6" t="s">
        <v>303</v>
      </c>
      <c r="D654" s="6" t="s">
        <v>203</v>
      </c>
      <c r="E654" s="6" t="s">
        <v>35</v>
      </c>
      <c r="F654" s="8">
        <f>VLOOKUP(A654,Tutors!C:D,2,0)</f>
        <v>2492</v>
      </c>
      <c r="G654" s="8" t="str">
        <f>VLOOKUP(A654,Tutors!C:E,3,0)</f>
        <v>EG07-EG08-EG09</v>
      </c>
      <c r="H654" s="8" t="str">
        <f>VLOOKUP(A654,Tutors!A:F,6,0)</f>
        <v>zidanhanan106@gmail.com</v>
      </c>
      <c r="I654" s="8" t="str">
        <f>VLOOKUP(A654,Tutors!C:G,5,0)</f>
        <v>01000832547</v>
      </c>
      <c r="J654" s="8">
        <f>COUNTIFS(Active!C:C,A654)</f>
        <v>0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" t="s">
        <v>704</v>
      </c>
      <c r="B655" s="7">
        <f>VLOOKUP(A655,Tutors!A:B,2,0)</f>
        <v>803173848636</v>
      </c>
      <c r="C655" s="6" t="s">
        <v>86</v>
      </c>
      <c r="D655" s="6" t="s">
        <v>126</v>
      </c>
      <c r="E655" s="6" t="s">
        <v>184</v>
      </c>
      <c r="F655" s="8">
        <f>VLOOKUP(A655,Tutors!C:D,2,0)</f>
        <v>2498</v>
      </c>
      <c r="G655" s="8" t="str">
        <f>VLOOKUP(A655,Tutors!C:E,3,0)</f>
        <v>EG04-EG05-EG06</v>
      </c>
      <c r="H655" s="8" t="str">
        <f>VLOOKUP(A655,Tutors!A:F,6,0)</f>
        <v>ranaelbadry753@gmail.com</v>
      </c>
      <c r="I655" s="8" t="str">
        <f>VLOOKUP(A655,Tutors!C:G,5,0)</f>
        <v>01090632568</v>
      </c>
      <c r="J655" s="8">
        <f>COUNTIFS(Active!C:C,A655)</f>
        <v>0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" t="s">
        <v>705</v>
      </c>
      <c r="B656" s="7">
        <f>VLOOKUP(A656,Tutors!A:B,2,0)</f>
        <v>827159763903</v>
      </c>
      <c r="C656" s="6" t="s">
        <v>86</v>
      </c>
      <c r="D656" s="6" t="s">
        <v>250</v>
      </c>
      <c r="E656" s="6" t="s">
        <v>184</v>
      </c>
      <c r="F656" s="8">
        <f>VLOOKUP(A656,Tutors!C:D,2,0)</f>
        <v>2488</v>
      </c>
      <c r="G656" s="8" t="str">
        <f>VLOOKUP(A656,Tutors!C:E,3,0)</f>
        <v>EG04-EG05-EG06-EG07</v>
      </c>
      <c r="H656" s="8" t="str">
        <f>VLOOKUP(A656,Tutors!A:F,6,0)</f>
        <v>abdo11ashraf99@gmail.com</v>
      </c>
      <c r="I656" s="8" t="str">
        <f>VLOOKUP(A656,Tutors!C:G,5,0)</f>
        <v>01025827201</v>
      </c>
      <c r="J656" s="8">
        <f>COUNTIFS(Active!C:C,A656)</f>
        <v>0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" t="s">
        <v>706</v>
      </c>
      <c r="B657" s="7" t="str">
        <f>VLOOKUP(A657,Tutors!A:B,2,0)</f>
        <v>No ID</v>
      </c>
      <c r="C657" s="6" t="s">
        <v>11</v>
      </c>
      <c r="D657" s="6" t="s">
        <v>63</v>
      </c>
      <c r="E657" s="6" t="s">
        <v>184</v>
      </c>
      <c r="F657" s="8" t="str">
        <f>VLOOKUP(A657,Tutors!C:D,2,0)</f>
        <v/>
      </c>
      <c r="G657" s="8" t="str">
        <f>VLOOKUP(A657,Tutors!C:E,3,0)</f>
        <v>EG01-EG02-EG03-EG04</v>
      </c>
      <c r="H657" s="8" t="str">
        <f>VLOOKUP(A657,Tutors!A:F,6,0)</f>
        <v/>
      </c>
      <c r="I657" s="8" t="str">
        <f>VLOOKUP(A657,Tutors!C:G,5,0)</f>
        <v/>
      </c>
      <c r="J657" s="8">
        <f>COUNTIFS(Active!C:C,A657)</f>
        <v>0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" t="s">
        <v>707</v>
      </c>
      <c r="B658" s="7">
        <f>VLOOKUP(A658,Tutors!A:B,2,0)</f>
        <v>795161084548</v>
      </c>
      <c r="C658" s="6" t="s">
        <v>477</v>
      </c>
      <c r="D658" s="6" t="s">
        <v>608</v>
      </c>
      <c r="E658" s="6" t="s">
        <v>13</v>
      </c>
      <c r="F658" s="8">
        <f>VLOOKUP(A658,Tutors!C:D,2,0)</f>
        <v>2532</v>
      </c>
      <c r="G658" s="8" t="str">
        <f>VLOOKUP(A658,Tutors!C:E,3,0)</f>
        <v/>
      </c>
      <c r="H658" s="8" t="str">
        <f>VLOOKUP(A658,Tutors!A:F,6,0)</f>
        <v>yasmiensaied90@gmail.com</v>
      </c>
      <c r="I658" s="8" t="str">
        <f>VLOOKUP(A658,Tutors!C:G,5,0)</f>
        <v/>
      </c>
      <c r="J658" s="8">
        <f>COUNTIFS(Active!C:C,A658)</f>
        <v>0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" t="s">
        <v>708</v>
      </c>
      <c r="B659" s="7" t="str">
        <f>VLOOKUP(A659,Tutors!A:B,2,0)</f>
        <v>No ID</v>
      </c>
      <c r="C659" s="6" t="s">
        <v>477</v>
      </c>
      <c r="D659" s="6" t="s">
        <v>25</v>
      </c>
      <c r="E659" s="6" t="s">
        <v>184</v>
      </c>
      <c r="F659" s="8" t="str">
        <f>VLOOKUP(A659,Tutors!C:D,2,0)</f>
        <v/>
      </c>
      <c r="G659" s="8" t="str">
        <f>VLOOKUP(A659,Tutors!C:E,3,0)</f>
        <v>EG09-EG10-EG11</v>
      </c>
      <c r="H659" s="8" t="str">
        <f>VLOOKUP(A659,Tutors!A:F,6,0)</f>
        <v/>
      </c>
      <c r="I659" s="8" t="str">
        <f>VLOOKUP(A659,Tutors!C:G,5,0)</f>
        <v/>
      </c>
      <c r="J659" s="8">
        <f>COUNTIFS(Active!C:C,A659)</f>
        <v>0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" t="s">
        <v>709</v>
      </c>
      <c r="B660" s="7" t="str">
        <f>VLOOKUP(A660,Tutors!A:B,2,0)</f>
        <v>No ID</v>
      </c>
      <c r="C660" s="6" t="s">
        <v>11</v>
      </c>
      <c r="D660" s="6" t="s">
        <v>63</v>
      </c>
      <c r="E660" s="6" t="s">
        <v>13</v>
      </c>
      <c r="F660" s="8" t="str">
        <f>VLOOKUP(A660,Tutors!C:D,2,0)</f>
        <v/>
      </c>
      <c r="G660" s="8" t="str">
        <f>VLOOKUP(A660,Tutors!C:E,3,0)</f>
        <v>EG01-EG02-EG03-EG04-EG05-EG06</v>
      </c>
      <c r="H660" s="8" t="str">
        <f>VLOOKUP(A660,Tutors!A:F,6,0)</f>
        <v/>
      </c>
      <c r="I660" s="8" t="str">
        <f>VLOOKUP(A660,Tutors!C:G,5,0)</f>
        <v/>
      </c>
      <c r="J660" s="8">
        <f>COUNTIFS(Active!C:C,A660)</f>
        <v>0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" t="s">
        <v>710</v>
      </c>
      <c r="B661" s="7">
        <f>VLOOKUP(A661,Tutors!A:B,2,0)</f>
        <v>638195271502</v>
      </c>
      <c r="C661" s="6" t="s">
        <v>303</v>
      </c>
      <c r="D661" s="6" t="s">
        <v>203</v>
      </c>
      <c r="E661" s="6" t="s">
        <v>13</v>
      </c>
      <c r="F661" s="8">
        <f>VLOOKUP(A661,Tutors!C:D,2,0)</f>
        <v>2559</v>
      </c>
      <c r="G661" s="8" t="str">
        <f>VLOOKUP(A661,Tutors!C:E,3,0)</f>
        <v>EG07-EG08-EG09</v>
      </c>
      <c r="H661" s="8" t="str">
        <f>VLOOKUP(A661,Tutors!A:F,6,0)</f>
        <v>hany.hawas175@gmail.com</v>
      </c>
      <c r="I661" s="8" t="str">
        <f>VLOOKUP(A661,Tutors!C:G,5,0)</f>
        <v/>
      </c>
      <c r="J661" s="8">
        <f>COUNTIFS(Active!C:C,A661)</f>
        <v>0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" t="s">
        <v>711</v>
      </c>
      <c r="B662" s="7" t="str">
        <f>VLOOKUP(A662,Tutors!A:B,2,0)</f>
        <v>No ID</v>
      </c>
      <c r="C662" s="6" t="s">
        <v>303</v>
      </c>
      <c r="D662" s="6" t="s">
        <v>25</v>
      </c>
      <c r="E662" s="6" t="s">
        <v>13</v>
      </c>
      <c r="F662" s="8" t="str">
        <f>VLOOKUP(A662,Tutors!C:D,2,0)</f>
        <v/>
      </c>
      <c r="G662" s="8" t="str">
        <f>VLOOKUP(A662,Tutors!C:E,3,0)</f>
        <v>EG07-EG08-EG09-EG10-EG11-EG12</v>
      </c>
      <c r="H662" s="8" t="str">
        <f>VLOOKUP(A662,Tutors!A:F,6,0)</f>
        <v/>
      </c>
      <c r="I662" s="8" t="str">
        <f>VLOOKUP(A662,Tutors!C:G,5,0)</f>
        <v/>
      </c>
      <c r="J662" s="8">
        <f>COUNTIFS(Active!C:C,A662)</f>
        <v>0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" t="s">
        <v>712</v>
      </c>
      <c r="B663" s="7">
        <f>VLOOKUP(A663,Tutors!A:B,2,0)</f>
        <v>367106989606</v>
      </c>
      <c r="C663" s="6" t="s">
        <v>303</v>
      </c>
      <c r="D663" s="6" t="s">
        <v>25</v>
      </c>
      <c r="E663" s="6" t="s">
        <v>184</v>
      </c>
      <c r="F663" s="8">
        <f>VLOOKUP(A663,Tutors!C:D,2,0)</f>
        <v>2585</v>
      </c>
      <c r="G663" s="8" t="str">
        <f>VLOOKUP(A663,Tutors!C:E,3,0)</f>
        <v>EG07-EG08-EG09-EG10-EG11-EG12</v>
      </c>
      <c r="H663" s="8" t="str">
        <f>VLOOKUP(A663,Tutors!A:F,6,0)</f>
        <v>jasminaahmed60@gmail.com</v>
      </c>
      <c r="I663" s="8" t="str">
        <f>VLOOKUP(A663,Tutors!C:G,5,0)</f>
        <v/>
      </c>
      <c r="J663" s="8">
        <f>COUNTIFS(Active!C:C,A663)</f>
        <v>0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" t="s">
        <v>713</v>
      </c>
      <c r="B664" s="7">
        <f>VLOOKUP(A664,Tutors!A:B,2,0)</f>
        <v>746149714625</v>
      </c>
      <c r="C664" s="6" t="s">
        <v>86</v>
      </c>
      <c r="D664" s="6" t="s">
        <v>25</v>
      </c>
      <c r="E664" s="6" t="s">
        <v>184</v>
      </c>
      <c r="F664" s="8">
        <f>VLOOKUP(A664,Tutors!C:D,2,0)</f>
        <v>2591</v>
      </c>
      <c r="G664" s="8" t="str">
        <f>VLOOKUP(A664,Tutors!C:E,3,0)</f>
        <v>EG04-EG05-EG06</v>
      </c>
      <c r="H664" s="8" t="str">
        <f>VLOOKUP(A664,Tutors!A:F,6,0)</f>
        <v>nsanad90@gmail.com</v>
      </c>
      <c r="I664" s="8" t="str">
        <f>VLOOKUP(A664,Tutors!C:G,5,0)</f>
        <v/>
      </c>
      <c r="J664" s="8">
        <f>COUNTIFS(Active!C:C,A664)</f>
        <v>0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" t="s">
        <v>714</v>
      </c>
      <c r="B665" s="7">
        <f>VLOOKUP(A665,Tutors!A:B,2,0)</f>
        <v>235192420945</v>
      </c>
      <c r="C665" s="6" t="s">
        <v>303</v>
      </c>
      <c r="D665" s="6" t="s">
        <v>25</v>
      </c>
      <c r="E665" s="6" t="s">
        <v>35</v>
      </c>
      <c r="F665" s="8">
        <f>VLOOKUP(A665,Tutors!C:D,2,0)</f>
        <v>2606</v>
      </c>
      <c r="G665" s="8" t="str">
        <f>VLOOKUP(A665,Tutors!C:E,3,0)</f>
        <v>EG07-EG08-EG09-EG10-EG11-EG12</v>
      </c>
      <c r="H665" s="8" t="str">
        <f>VLOOKUP(A665,Tutors!A:F,6,0)</f>
        <v>hakem2006@gmail.com</v>
      </c>
      <c r="I665" s="8" t="str">
        <f>VLOOKUP(A665,Tutors!C:G,5,0)</f>
        <v/>
      </c>
      <c r="J665" s="8">
        <f>COUNTIFS(Active!C:C,A665)</f>
        <v>0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" t="s">
        <v>715</v>
      </c>
      <c r="B666" s="7">
        <f>VLOOKUP(A666,Tutors!A:B,2,0)</f>
        <v>175142750434</v>
      </c>
      <c r="C666" s="6" t="s">
        <v>11</v>
      </c>
      <c r="D666" s="6" t="s">
        <v>69</v>
      </c>
      <c r="E666" s="6" t="s">
        <v>184</v>
      </c>
      <c r="F666" s="8">
        <f>VLOOKUP(A666,Tutors!C:D,2,0)</f>
        <v>2600</v>
      </c>
      <c r="G666" s="8" t="str">
        <f>VLOOKUP(A666,Tutors!C:E,3,0)</f>
        <v>EG01-EG02-EG03</v>
      </c>
      <c r="H666" s="8" t="str">
        <f>VLOOKUP(A666,Tutors!A:F,6,0)</f>
        <v>dodo.lougy2014@gmail.com</v>
      </c>
      <c r="I666" s="8" t="str">
        <f>VLOOKUP(A666,Tutors!C:G,5,0)</f>
        <v/>
      </c>
      <c r="J666" s="8">
        <f>COUNTIFS(Active!C:C,A666)</f>
        <v>0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" t="s">
        <v>716</v>
      </c>
      <c r="B667" s="7">
        <f>VLOOKUP(A667,Tutors!A:B,2,0)</f>
        <v>156165436060</v>
      </c>
      <c r="C667" s="6" t="s">
        <v>303</v>
      </c>
      <c r="D667" s="6" t="s">
        <v>69</v>
      </c>
      <c r="E667" s="6" t="s">
        <v>184</v>
      </c>
      <c r="F667" s="8">
        <f>VLOOKUP(A667,Tutors!C:D,2,0)</f>
        <v>2599</v>
      </c>
      <c r="G667" s="8" t="str">
        <f>VLOOKUP(A667,Tutors!C:E,3,0)</f>
        <v>EG06-EG07-EG08-EG09</v>
      </c>
      <c r="H667" s="8" t="str">
        <f>VLOOKUP(A667,Tutors!A:F,6,0)</f>
        <v>okhalim2022@gmail.com</v>
      </c>
      <c r="I667" s="8" t="str">
        <f>VLOOKUP(A667,Tutors!C:G,5,0)</f>
        <v>01024105035</v>
      </c>
      <c r="J667" s="8">
        <f>COUNTIFS(Active!C:C,A667)</f>
        <v>0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" t="s">
        <v>717</v>
      </c>
      <c r="B668" s="7">
        <f>VLOOKUP(A668,Tutors!A:B,2,0)</f>
        <v>696138691285</v>
      </c>
      <c r="C668" s="6" t="s">
        <v>86</v>
      </c>
      <c r="D668" s="6" t="s">
        <v>47</v>
      </c>
      <c r="E668" s="6" t="s">
        <v>35</v>
      </c>
      <c r="F668" s="8">
        <f>VLOOKUP(A668,Tutors!C:D,2,0)</f>
        <v>2258</v>
      </c>
      <c r="G668" s="8" t="str">
        <f>VLOOKUP(A668,Tutors!C:E,3,0)</f>
        <v>EG04-EG05-EG06</v>
      </c>
      <c r="H668" s="8" t="str">
        <f>VLOOKUP(A668,Tutors!A:F,6,0)</f>
        <v>egymath2020@gmail.com</v>
      </c>
      <c r="I668" s="8" t="str">
        <f>VLOOKUP(A668,Tutors!C:G,5,0)</f>
        <v>01550007664</v>
      </c>
      <c r="J668" s="8">
        <f>COUNTIFS(Active!C:C,A668)</f>
        <v>0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" t="s">
        <v>718</v>
      </c>
      <c r="B669" s="7">
        <f>VLOOKUP(A669,Tutors!A:B,2,0)</f>
        <v>596160630240</v>
      </c>
      <c r="C669" s="6" t="s">
        <v>86</v>
      </c>
      <c r="D669" s="6" t="s">
        <v>47</v>
      </c>
      <c r="E669" s="6" t="s">
        <v>13</v>
      </c>
      <c r="F669" s="8">
        <f>VLOOKUP(A669,Tutors!C:D,2,0)</f>
        <v>2622</v>
      </c>
      <c r="G669" s="8" t="str">
        <f>VLOOKUP(A669,Tutors!C:E,3,0)</f>
        <v>EG04-EG05-EG06</v>
      </c>
      <c r="H669" s="8" t="str">
        <f>VLOOKUP(A669,Tutors!A:F,6,0)</f>
        <v>dalianabil145@gmail.com</v>
      </c>
      <c r="I669" s="8" t="str">
        <f>VLOOKUP(A669,Tutors!C:G,5,0)</f>
        <v/>
      </c>
      <c r="J669" s="8">
        <f>COUNTIFS(Active!C:C,A669)</f>
        <v>0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" t="s">
        <v>719</v>
      </c>
      <c r="B670" s="7" t="str">
        <f>VLOOKUP(A670,Tutors!A:B,2,0)</f>
        <v>No ID</v>
      </c>
      <c r="C670" s="6" t="s">
        <v>86</v>
      </c>
      <c r="D670" s="6" t="s">
        <v>69</v>
      </c>
      <c r="E670" s="6" t="s">
        <v>35</v>
      </c>
      <c r="F670" s="8" t="str">
        <f>VLOOKUP(A670,Tutors!C:D,2,0)</f>
        <v/>
      </c>
      <c r="G670" s="8" t="str">
        <f>VLOOKUP(A670,Tutors!C:E,3,0)</f>
        <v>EG04-EG05-EG06</v>
      </c>
      <c r="H670" s="8" t="str">
        <f>VLOOKUP(A670,Tutors!A:F,6,0)</f>
        <v/>
      </c>
      <c r="I670" s="8" t="str">
        <f>VLOOKUP(A670,Tutors!C:G,5,0)</f>
        <v/>
      </c>
      <c r="J670" s="8">
        <f>COUNTIFS(Active!C:C,A670)</f>
        <v>0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" t="s">
        <v>720</v>
      </c>
      <c r="B671" s="7">
        <f>VLOOKUP(A671,Tutors!A:B,2,0)</f>
        <v>828156185164</v>
      </c>
      <c r="C671" s="6" t="s">
        <v>86</v>
      </c>
      <c r="D671" s="6" t="s">
        <v>25</v>
      </c>
      <c r="E671" s="6" t="s">
        <v>35</v>
      </c>
      <c r="F671" s="8">
        <f>VLOOKUP(A671,Tutors!C:D,2,0)</f>
        <v>2646</v>
      </c>
      <c r="G671" s="8" t="str">
        <f>VLOOKUP(A671,Tutors!C:E,3,0)</f>
        <v>EG04-EG05-EG06</v>
      </c>
      <c r="H671" s="8" t="str">
        <f>VLOOKUP(A671,Tutors!A:F,6,0)</f>
        <v>poissons29.2@gmail.com</v>
      </c>
      <c r="I671" s="8" t="str">
        <f>VLOOKUP(A671,Tutors!C:G,5,0)</f>
        <v/>
      </c>
      <c r="J671" s="8">
        <f>COUNTIFS(Active!C:C,A671)</f>
        <v>0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" t="s">
        <v>721</v>
      </c>
      <c r="B672" s="7">
        <f>VLOOKUP(A672,Tutors!A:B,2,0)</f>
        <v>305106396548</v>
      </c>
      <c r="C672" s="6" t="s">
        <v>303</v>
      </c>
      <c r="D672" s="6" t="s">
        <v>25</v>
      </c>
      <c r="E672" s="6" t="s">
        <v>35</v>
      </c>
      <c r="F672" s="8">
        <f>VLOOKUP(A672,Tutors!C:D,2,0)</f>
        <v>2641</v>
      </c>
      <c r="G672" s="8" t="str">
        <f>VLOOKUP(A672,Tutors!C:E,3,0)</f>
        <v>EG07-EG08-EG09</v>
      </c>
      <c r="H672" s="8" t="str">
        <f>VLOOKUP(A672,Tutors!A:F,6,0)</f>
        <v>gamerahmedg@gmail.com</v>
      </c>
      <c r="I672" s="8" t="str">
        <f>VLOOKUP(A672,Tutors!C:G,5,0)</f>
        <v/>
      </c>
      <c r="J672" s="8">
        <f>COUNTIFS(Active!C:C,A672)</f>
        <v>0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" t="s">
        <v>722</v>
      </c>
      <c r="B673" s="7">
        <f>VLOOKUP(A673,Tutors!A:B,2,0)</f>
        <v>630141786235</v>
      </c>
      <c r="C673" s="6" t="s">
        <v>86</v>
      </c>
      <c r="D673" s="6" t="s">
        <v>69</v>
      </c>
      <c r="E673" s="6" t="s">
        <v>35</v>
      </c>
      <c r="F673" s="8">
        <f>VLOOKUP(A673,Tutors!C:D,2,0)</f>
        <v>2662</v>
      </c>
      <c r="G673" s="8" t="str">
        <f>VLOOKUP(A673,Tutors!C:E,3,0)</f>
        <v>EG04-EG05-EG06</v>
      </c>
      <c r="H673" s="8" t="str">
        <f>VLOOKUP(A673,Tutors!A:F,6,0)</f>
        <v>mwnyalghzaly@gmail.com</v>
      </c>
      <c r="I673" s="8" t="str">
        <f>VLOOKUP(A673,Tutors!C:G,5,0)</f>
        <v>01121870666</v>
      </c>
      <c r="J673" s="8">
        <f>COUNTIFS(Active!C:C,A673)</f>
        <v>0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" t="s">
        <v>723</v>
      </c>
      <c r="B674" s="7">
        <f>VLOOKUP(A674,Tutors!A:B,2,0)</f>
        <v>868143149757</v>
      </c>
      <c r="C674" s="6" t="s">
        <v>303</v>
      </c>
      <c r="D674" s="6" t="s">
        <v>63</v>
      </c>
      <c r="E674" s="6" t="s">
        <v>35</v>
      </c>
      <c r="F674" s="8">
        <f>VLOOKUP(A674,Tutors!C:D,2,0)</f>
        <v>2672</v>
      </c>
      <c r="G674" s="8" t="str">
        <f>VLOOKUP(A674,Tutors!C:E,3,0)</f>
        <v>EG07-EG08-EG09</v>
      </c>
      <c r="H674" s="8" t="str">
        <f>VLOOKUP(A674,Tutors!A:F,6,0)</f>
        <v>mrfthsyn962@gmail.com</v>
      </c>
      <c r="I674" s="8" t="str">
        <f>VLOOKUP(A674,Tutors!C:G,5,0)</f>
        <v/>
      </c>
      <c r="J674" s="8">
        <f>COUNTIFS(Active!C:C,A674)</f>
        <v>0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" t="s">
        <v>724</v>
      </c>
      <c r="B675" s="7" t="str">
        <f>VLOOKUP(A675,Tutors!A:B,2,0)</f>
        <v>No ID</v>
      </c>
      <c r="C675" s="6" t="s">
        <v>303</v>
      </c>
      <c r="D675" s="6" t="s">
        <v>47</v>
      </c>
      <c r="E675" s="6" t="s">
        <v>13</v>
      </c>
      <c r="F675" s="8" t="str">
        <f>VLOOKUP(A675,Tutors!C:D,2,0)</f>
        <v/>
      </c>
      <c r="G675" s="8" t="str">
        <f>VLOOKUP(A675,Tutors!C:E,3,0)</f>
        <v>EG07-EG08-EG09</v>
      </c>
      <c r="H675" s="8" t="str">
        <f>VLOOKUP(A675,Tutors!A:F,6,0)</f>
        <v/>
      </c>
      <c r="I675" s="8" t="str">
        <f>VLOOKUP(A675,Tutors!C:G,5,0)</f>
        <v/>
      </c>
      <c r="J675" s="8">
        <f>COUNTIFS(Active!C:C,A675)</f>
        <v>0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" t="s">
        <v>725</v>
      </c>
      <c r="B676" s="7">
        <f>VLOOKUP(A676,Tutors!A:B,2,0)</f>
        <v>643165236429</v>
      </c>
      <c r="C676" s="6" t="s">
        <v>303</v>
      </c>
      <c r="D676" s="6" t="s">
        <v>172</v>
      </c>
      <c r="E676" s="6" t="s">
        <v>35</v>
      </c>
      <c r="F676" s="8">
        <f>VLOOKUP(A676,Tutors!C:D,2,0)</f>
        <v>2655</v>
      </c>
      <c r="G676" s="8" t="str">
        <f>VLOOKUP(A676,Tutors!C:E,3,0)</f>
        <v>EG07-EG08-EG09</v>
      </c>
      <c r="H676" s="8" t="str">
        <f>VLOOKUP(A676,Tutors!A:F,6,0)</f>
        <v>abeervet81@gmail.com</v>
      </c>
      <c r="I676" s="8" t="str">
        <f>VLOOKUP(A676,Tutors!C:G,5,0)</f>
        <v/>
      </c>
      <c r="J676" s="8">
        <f>COUNTIFS(Active!C:C,A676)</f>
        <v>0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" t="s">
        <v>726</v>
      </c>
      <c r="B677" s="7">
        <f>VLOOKUP(A677,Tutors!A:B,2,0)</f>
        <v>689156982321</v>
      </c>
      <c r="C677" s="6" t="s">
        <v>86</v>
      </c>
      <c r="D677" s="6" t="s">
        <v>172</v>
      </c>
      <c r="E677" s="6" t="s">
        <v>35</v>
      </c>
      <c r="F677" s="8">
        <f>VLOOKUP(A677,Tutors!C:D,2,0)</f>
        <v>2690</v>
      </c>
      <c r="G677" s="8" t="str">
        <f>VLOOKUP(A677,Tutors!C:E,3,0)</f>
        <v>EG04-EG05-EG06</v>
      </c>
      <c r="H677" s="8" t="str">
        <f>VLOOKUP(A677,Tutors!A:F,6,0)</f>
        <v>nayeramahmoed@gmail.com</v>
      </c>
      <c r="I677" s="8" t="str">
        <f>VLOOKUP(A677,Tutors!C:G,5,0)</f>
        <v/>
      </c>
      <c r="J677" s="8">
        <f>COUNTIFS(Active!C:C,A677)</f>
        <v>0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" t="s">
        <v>727</v>
      </c>
      <c r="B678" s="7" t="str">
        <f>VLOOKUP(A678,Tutors!A:B,2,0)</f>
        <v>No ID</v>
      </c>
      <c r="C678" s="6" t="s">
        <v>11</v>
      </c>
      <c r="D678" s="6" t="s">
        <v>69</v>
      </c>
      <c r="E678" s="6" t="s">
        <v>13</v>
      </c>
      <c r="F678" s="8" t="str">
        <f>VLOOKUP(A678,Tutors!C:D,2,0)</f>
        <v/>
      </c>
      <c r="G678" s="8" t="str">
        <f>VLOOKUP(A678,Tutors!C:E,3,0)</f>
        <v>EG01-EG02-EG03-EG04</v>
      </c>
      <c r="H678" s="8" t="str">
        <f>VLOOKUP(A678,Tutors!A:F,6,0)</f>
        <v/>
      </c>
      <c r="I678" s="8" t="str">
        <f>VLOOKUP(A678,Tutors!C:G,5,0)</f>
        <v/>
      </c>
      <c r="J678" s="8">
        <f>COUNTIFS(Active!C:C,A678)</f>
        <v>0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" t="s">
        <v>728</v>
      </c>
      <c r="B679" s="7">
        <f>VLOOKUP(A679,Tutors!A:B,2,0)</f>
        <v>767182953239</v>
      </c>
      <c r="C679" s="6" t="s">
        <v>11</v>
      </c>
      <c r="D679" s="6" t="s">
        <v>69</v>
      </c>
      <c r="E679" s="10" t="s">
        <v>9</v>
      </c>
      <c r="F679" s="8">
        <f>VLOOKUP(A679,Tutors!C:D,2,0)</f>
        <v>2688</v>
      </c>
      <c r="G679" s="8" t="str">
        <f>VLOOKUP(A679,Tutors!C:E,3,0)</f>
        <v>EG01-EG02-EG03-EG04-EG05-EG06</v>
      </c>
      <c r="H679" s="8" t="str">
        <f>VLOOKUP(A679,Tutors!A:F,6,0)</f>
        <v>hebakamal1991@gmail.com</v>
      </c>
      <c r="I679" s="8" t="str">
        <f>VLOOKUP(A679,Tutors!C:G,5,0)</f>
        <v>01129502289</v>
      </c>
      <c r="J679" s="8">
        <f>COUNTIFS(Active!C:C,A679)</f>
        <v>1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" t="s">
        <v>729</v>
      </c>
      <c r="B680" s="7" t="str">
        <f>VLOOKUP(A680,Tutors!A:B,2,0)</f>
        <v>No ID</v>
      </c>
      <c r="C680" s="6" t="s">
        <v>11</v>
      </c>
      <c r="D680" s="6" t="s">
        <v>63</v>
      </c>
      <c r="E680" s="6" t="s">
        <v>13</v>
      </c>
      <c r="F680" s="8" t="str">
        <f>VLOOKUP(A680,Tutors!C:D,2,0)</f>
        <v/>
      </c>
      <c r="G680" s="8" t="str">
        <f>VLOOKUP(A680,Tutors!C:E,3,0)</f>
        <v>EG01-EG02-EG03-EG04-EG05-EG06</v>
      </c>
      <c r="H680" s="8" t="str">
        <f>VLOOKUP(A680,Tutors!A:F,6,0)</f>
        <v/>
      </c>
      <c r="I680" s="8" t="str">
        <f>VLOOKUP(A680,Tutors!C:G,5,0)</f>
        <v/>
      </c>
      <c r="J680" s="8">
        <f>COUNTIFS(Active!C:C,A680)</f>
        <v>0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" t="s">
        <v>730</v>
      </c>
      <c r="B681" s="7">
        <f>VLOOKUP(A681,Tutors!A:B,2,0)</f>
        <v>678163084015</v>
      </c>
      <c r="C681" s="6" t="s">
        <v>86</v>
      </c>
      <c r="D681" s="6" t="s">
        <v>172</v>
      </c>
      <c r="E681" s="6" t="s">
        <v>184</v>
      </c>
      <c r="F681" s="8">
        <f>VLOOKUP(A681,Tutors!C:D,2,0)</f>
        <v>2719</v>
      </c>
      <c r="G681" s="8" t="str">
        <f>VLOOKUP(A681,Tutors!C:E,3,0)</f>
        <v>EG04-EG05-EG06</v>
      </c>
      <c r="H681" s="8" t="str">
        <f>VLOOKUP(A681,Tutors!A:F,6,0)</f>
        <v>nadawaleed1155@gmail.com</v>
      </c>
      <c r="I681" s="8" t="str">
        <f>VLOOKUP(A681,Tutors!C:G,5,0)</f>
        <v>01024516454</v>
      </c>
      <c r="J681" s="8">
        <f>COUNTIFS(Active!C:C,A681)</f>
        <v>0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" t="s">
        <v>731</v>
      </c>
      <c r="B682" s="7">
        <f>VLOOKUP(A682,Tutors!A:B,2,0)</f>
        <v>938102694209</v>
      </c>
      <c r="C682" s="6" t="s">
        <v>86</v>
      </c>
      <c r="D682" s="6" t="s">
        <v>47</v>
      </c>
      <c r="E682" s="6" t="s">
        <v>35</v>
      </c>
      <c r="F682" s="8">
        <f>VLOOKUP(A682,Tutors!C:D,2,0)</f>
        <v>2728</v>
      </c>
      <c r="G682" s="8" t="str">
        <f>VLOOKUP(A682,Tutors!C:E,3,0)</f>
        <v>EG02-EG03-EG04-EG05-EG06</v>
      </c>
      <c r="H682" s="8" t="str">
        <f>VLOOKUP(A682,Tutors!A:F,6,0)</f>
        <v>nourhan866@yahoo.com</v>
      </c>
      <c r="I682" s="8" t="str">
        <f>VLOOKUP(A682,Tutors!C:G,5,0)</f>
        <v>01208185748</v>
      </c>
      <c r="J682" s="8">
        <f>COUNTIFS(Active!C:C,A682)</f>
        <v>0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" t="s">
        <v>732</v>
      </c>
      <c r="B683" s="7">
        <f>VLOOKUP(A683,Tutors!A:B,2,0)</f>
        <v>913159713718</v>
      </c>
      <c r="C683" s="6" t="s">
        <v>477</v>
      </c>
      <c r="D683" s="6" t="s">
        <v>63</v>
      </c>
      <c r="E683" s="6" t="s">
        <v>35</v>
      </c>
      <c r="F683" s="8">
        <f>VLOOKUP(A683,Tutors!C:D,2,0)</f>
        <v>2738</v>
      </c>
      <c r="G683" s="8" t="str">
        <f>VLOOKUP(A683,Tutors!C:E,3,0)</f>
        <v>EG09-EG10-EG11</v>
      </c>
      <c r="H683" s="8" t="str">
        <f>VLOOKUP(A683,Tutors!A:F,6,0)</f>
        <v>mbdalbast990@gmail.com</v>
      </c>
      <c r="I683" s="8" t="str">
        <f>VLOOKUP(A683,Tutors!C:G,5,0)</f>
        <v>01025284144</v>
      </c>
      <c r="J683" s="8">
        <f>COUNTIFS(Active!C:C,A683)</f>
        <v>0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" t="s">
        <v>733</v>
      </c>
      <c r="B684" s="7">
        <f>VLOOKUP(A684,Tutors!A:B,2,0)</f>
        <v>487176043708</v>
      </c>
      <c r="C684" s="6" t="s">
        <v>86</v>
      </c>
      <c r="D684" s="6" t="s">
        <v>172</v>
      </c>
      <c r="E684" s="6" t="s">
        <v>184</v>
      </c>
      <c r="F684" s="8">
        <f>VLOOKUP(A684,Tutors!C:D,2,0)</f>
        <v>2744</v>
      </c>
      <c r="G684" s="8" t="str">
        <f>VLOOKUP(A684,Tutors!C:E,3,0)</f>
        <v>EG04-EG05-EG06</v>
      </c>
      <c r="H684" s="8" t="str">
        <f>VLOOKUP(A684,Tutors!A:F,6,0)</f>
        <v>aya.alaa85@yahoo.com</v>
      </c>
      <c r="I684" s="8" t="str">
        <f>VLOOKUP(A684,Tutors!C:G,5,0)</f>
        <v>01159348705</v>
      </c>
      <c r="J684" s="8">
        <f>COUNTIFS(Active!C:C,A684)</f>
        <v>0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" t="s">
        <v>734</v>
      </c>
      <c r="B685" s="7" t="str">
        <f>VLOOKUP(A685,Tutors!A:B,2,0)</f>
        <v>No ID</v>
      </c>
      <c r="C685" s="6" t="s">
        <v>11</v>
      </c>
      <c r="D685" s="6" t="s">
        <v>69</v>
      </c>
      <c r="E685" s="6" t="s">
        <v>13</v>
      </c>
      <c r="F685" s="8" t="str">
        <f>VLOOKUP(A685,Tutors!C:D,2,0)</f>
        <v/>
      </c>
      <c r="G685" s="8" t="str">
        <f>VLOOKUP(A685,Tutors!C:E,3,0)</f>
        <v>EG01-EG02-EG03</v>
      </c>
      <c r="H685" s="8" t="str">
        <f>VLOOKUP(A685,Tutors!A:F,6,0)</f>
        <v/>
      </c>
      <c r="I685" s="8" t="str">
        <f>VLOOKUP(A685,Tutors!C:G,5,0)</f>
        <v/>
      </c>
      <c r="J685" s="8">
        <f>COUNTIFS(Active!C:C,A685)</f>
        <v>0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" t="s">
        <v>735</v>
      </c>
      <c r="B686" s="7" t="str">
        <f>VLOOKUP(A686,Tutors!A:B,2,0)</f>
        <v>No ID</v>
      </c>
      <c r="C686" s="6" t="s">
        <v>303</v>
      </c>
      <c r="D686" s="6" t="s">
        <v>172</v>
      </c>
      <c r="E686" s="6" t="s">
        <v>35</v>
      </c>
      <c r="F686" s="8" t="str">
        <f>VLOOKUP(A686,Tutors!C:D,2,0)</f>
        <v/>
      </c>
      <c r="G686" s="8" t="str">
        <f>VLOOKUP(A686,Tutors!C:E,3,0)</f>
        <v>EG04-EG05-EG06-EG07-EG08-EG09</v>
      </c>
      <c r="H686" s="8" t="str">
        <f>VLOOKUP(A686,Tutors!A:F,6,0)</f>
        <v/>
      </c>
      <c r="I686" s="8" t="str">
        <f>VLOOKUP(A686,Tutors!C:G,5,0)</f>
        <v/>
      </c>
      <c r="J686" s="8">
        <f>COUNTIFS(Active!C:C,A686)</f>
        <v>0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" t="s">
        <v>736</v>
      </c>
      <c r="B687" s="7" t="str">
        <f>VLOOKUP(A687,Tutors!A:B,2,0)</f>
        <v>No ID</v>
      </c>
      <c r="C687" s="6" t="s">
        <v>303</v>
      </c>
      <c r="D687" s="6" t="s">
        <v>172</v>
      </c>
      <c r="E687" s="6" t="s">
        <v>13</v>
      </c>
      <c r="F687" s="8" t="str">
        <f>VLOOKUP(A687,Tutors!C:D,2,0)</f>
        <v/>
      </c>
      <c r="G687" s="8" t="str">
        <f>VLOOKUP(A687,Tutors!C:E,3,0)</f>
        <v>EG04-EG05-EG06-EG07-EG08-EG09</v>
      </c>
      <c r="H687" s="8" t="str">
        <f>VLOOKUP(A687,Tutors!A:F,6,0)</f>
        <v/>
      </c>
      <c r="I687" s="8" t="str">
        <f>VLOOKUP(A687,Tutors!C:G,5,0)</f>
        <v/>
      </c>
      <c r="J687" s="8">
        <f>COUNTIFS(Active!C:C,A687)</f>
        <v>0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" t="s">
        <v>737</v>
      </c>
      <c r="B688" s="7">
        <f>VLOOKUP(A688,Tutors!A:B,2,0)</f>
        <v>597190609069</v>
      </c>
      <c r="C688" s="6" t="s">
        <v>86</v>
      </c>
      <c r="D688" s="6" t="s">
        <v>25</v>
      </c>
      <c r="E688" s="6" t="s">
        <v>184</v>
      </c>
      <c r="F688" s="8">
        <f>VLOOKUP(A688,Tutors!C:D,2,0)</f>
        <v>2769</v>
      </c>
      <c r="G688" s="8" t="str">
        <f>VLOOKUP(A688,Tutors!C:E,3,0)</f>
        <v>EG04-EG05-EG06-EG07</v>
      </c>
      <c r="H688" s="8" t="str">
        <f>VLOOKUP(A688,Tutors!A:F,6,0)</f>
        <v>kristeensamir361@gmail.com</v>
      </c>
      <c r="I688" s="8" t="str">
        <f>VLOOKUP(A688,Tutors!C:G,5,0)</f>
        <v/>
      </c>
      <c r="J688" s="8">
        <f>COUNTIFS(Active!C:C,A688)</f>
        <v>0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" t="s">
        <v>738</v>
      </c>
      <c r="B689" s="7" t="str">
        <f>VLOOKUP(A689,Tutors!A:B,2,0)</f>
        <v>No ID</v>
      </c>
      <c r="C689" s="6" t="s">
        <v>86</v>
      </c>
      <c r="D689" s="6" t="s">
        <v>126</v>
      </c>
      <c r="E689" s="6" t="s">
        <v>13</v>
      </c>
      <c r="F689" s="8" t="str">
        <f>VLOOKUP(A689,Tutors!C:D,2,0)</f>
        <v/>
      </c>
      <c r="G689" s="8" t="str">
        <f>VLOOKUP(A689,Tutors!C:E,3,0)</f>
        <v>EG04-EG05-EG06</v>
      </c>
      <c r="H689" s="8" t="str">
        <f>VLOOKUP(A689,Tutors!A:F,6,0)</f>
        <v/>
      </c>
      <c r="I689" s="8" t="str">
        <f>VLOOKUP(A689,Tutors!C:G,5,0)</f>
        <v/>
      </c>
      <c r="J689" s="8">
        <f>COUNTIFS(Active!C:C,A689)</f>
        <v>0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" t="s">
        <v>739</v>
      </c>
      <c r="B690" s="7" t="str">
        <f>VLOOKUP(A690,Tutors!A:B,2,0)</f>
        <v>No ID</v>
      </c>
      <c r="C690" s="6" t="s">
        <v>303</v>
      </c>
      <c r="D690" s="6" t="s">
        <v>69</v>
      </c>
      <c r="E690" s="6" t="s">
        <v>13</v>
      </c>
      <c r="F690" s="8" t="str">
        <f>VLOOKUP(A690,Tutors!C:D,2,0)</f>
        <v/>
      </c>
      <c r="G690" s="8" t="str">
        <f>VLOOKUP(A690,Tutors!C:E,3,0)</f>
        <v>EG07-EG08-EG09-EG10-EG11-EG12</v>
      </c>
      <c r="H690" s="8" t="str">
        <f>VLOOKUP(A690,Tutors!A:F,6,0)</f>
        <v/>
      </c>
      <c r="I690" s="8" t="str">
        <f>VLOOKUP(A690,Tutors!C:G,5,0)</f>
        <v/>
      </c>
      <c r="J690" s="8">
        <f>COUNTIFS(Active!C:C,A690)</f>
        <v>0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" t="s">
        <v>740</v>
      </c>
      <c r="B691" s="7">
        <f>VLOOKUP(A691,Tutors!A:B,2,0)</f>
        <v>837150415794</v>
      </c>
      <c r="C691" s="6" t="s">
        <v>11</v>
      </c>
      <c r="D691" s="6" t="s">
        <v>47</v>
      </c>
      <c r="E691" s="6" t="s">
        <v>35</v>
      </c>
      <c r="F691" s="8">
        <f>VLOOKUP(A691,Tutors!C:D,2,0)</f>
        <v>2776</v>
      </c>
      <c r="G691" s="8" t="str">
        <f>VLOOKUP(A691,Tutors!C:E,3,0)</f>
        <v>EG01-EG02-EG03-EG04-EG05-EG06</v>
      </c>
      <c r="H691" s="8" t="str">
        <f>VLOOKUP(A691,Tutors!A:F,6,0)</f>
        <v>gorgy7martina@gmail.com</v>
      </c>
      <c r="I691" s="8" t="str">
        <f>VLOOKUP(A691,Tutors!C:G,5,0)</f>
        <v/>
      </c>
      <c r="J691" s="8">
        <f>COUNTIFS(Active!C:C,A691)</f>
        <v>0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" t="s">
        <v>741</v>
      </c>
      <c r="B692" s="7">
        <f>VLOOKUP(A692,Tutors!A:B,2,0)</f>
        <v>540154691675</v>
      </c>
      <c r="C692" s="6" t="s">
        <v>86</v>
      </c>
      <c r="D692" s="6" t="s">
        <v>172</v>
      </c>
      <c r="E692" s="6" t="s">
        <v>184</v>
      </c>
      <c r="F692" s="8">
        <f>VLOOKUP(A692,Tutors!C:D,2,0)</f>
        <v>2788</v>
      </c>
      <c r="G692" s="8" t="str">
        <f>VLOOKUP(A692,Tutors!C:E,3,0)</f>
        <v>EG03-EG04-EG05-EG06</v>
      </c>
      <c r="H692" s="8" t="str">
        <f>VLOOKUP(A692,Tutors!A:F,6,0)</f>
        <v>hadeermuhamad3@gmail.com</v>
      </c>
      <c r="I692" s="8" t="str">
        <f>VLOOKUP(A692,Tutors!C:G,5,0)</f>
        <v>01270016684.    -     03 3563898</v>
      </c>
      <c r="J692" s="8">
        <f>COUNTIFS(Active!C:C,A692)</f>
        <v>0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" t="s">
        <v>742</v>
      </c>
      <c r="B693" s="7">
        <f>VLOOKUP(A693,Tutors!A:B,2,0)</f>
        <v>782124541790</v>
      </c>
      <c r="C693" s="6" t="s">
        <v>11</v>
      </c>
      <c r="D693" s="6" t="s">
        <v>25</v>
      </c>
      <c r="E693" s="6" t="s">
        <v>184</v>
      </c>
      <c r="F693" s="8">
        <f>VLOOKUP(A693,Tutors!C:D,2,0)</f>
        <v>2789</v>
      </c>
      <c r="G693" s="8" t="str">
        <f>VLOOKUP(A693,Tutors!C:E,3,0)</f>
        <v>EG01-EG02-EG03-EG04-EG05</v>
      </c>
      <c r="H693" s="8" t="str">
        <f>VLOOKUP(A693,Tutors!A:F,6,0)</f>
        <v>marwacambridge66@gmail.com</v>
      </c>
      <c r="I693" s="8" t="str">
        <f>VLOOKUP(A693,Tutors!C:G,5,0)</f>
        <v/>
      </c>
      <c r="J693" s="8">
        <f>COUNTIFS(Active!C:C,A693)</f>
        <v>0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" t="s">
        <v>743</v>
      </c>
      <c r="B694" s="7" t="str">
        <f>VLOOKUP(A694,Tutors!A:B,2,0)</f>
        <v>No ID</v>
      </c>
      <c r="C694" s="6" t="s">
        <v>11</v>
      </c>
      <c r="D694" s="6" t="s">
        <v>25</v>
      </c>
      <c r="E694" s="6" t="s">
        <v>13</v>
      </c>
      <c r="F694" s="8" t="str">
        <f>VLOOKUP(A694,Tutors!C:D,2,0)</f>
        <v/>
      </c>
      <c r="G694" s="8" t="str">
        <f>VLOOKUP(A694,Tutors!C:E,3,0)</f>
        <v>EG01-EG02-EG03-EG04-EG05-EG06</v>
      </c>
      <c r="H694" s="8" t="str">
        <f>VLOOKUP(A694,Tutors!A:F,6,0)</f>
        <v/>
      </c>
      <c r="I694" s="8" t="str">
        <f>VLOOKUP(A694,Tutors!C:G,5,0)</f>
        <v/>
      </c>
      <c r="J694" s="8">
        <f>COUNTIFS(Active!C:C,A694)</f>
        <v>0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" t="s">
        <v>744</v>
      </c>
      <c r="B695" s="7" t="str">
        <f>VLOOKUP(A695,Tutors!A:B,2,0)</f>
        <v>No ID</v>
      </c>
      <c r="C695" s="6" t="s">
        <v>86</v>
      </c>
      <c r="D695" s="6" t="s">
        <v>63</v>
      </c>
      <c r="E695" s="6" t="s">
        <v>13</v>
      </c>
      <c r="F695" s="8" t="str">
        <f>VLOOKUP(A695,Tutors!C:D,2,0)</f>
        <v/>
      </c>
      <c r="G695" s="8" t="str">
        <f>VLOOKUP(A695,Tutors!C:E,3,0)</f>
        <v>EG03-EG04-EG05-EG06</v>
      </c>
      <c r="H695" s="8" t="str">
        <f>VLOOKUP(A695,Tutors!A:F,6,0)</f>
        <v/>
      </c>
      <c r="I695" s="8" t="str">
        <f>VLOOKUP(A695,Tutors!C:G,5,0)</f>
        <v/>
      </c>
      <c r="J695" s="8">
        <f>COUNTIFS(Active!C:C,A695)</f>
        <v>0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" t="s">
        <v>745</v>
      </c>
      <c r="B696" s="7" t="str">
        <f>VLOOKUP(A696,Tutors!A:B,2,0)</f>
        <v>No ID</v>
      </c>
      <c r="C696" s="6" t="s">
        <v>303</v>
      </c>
      <c r="D696" s="6" t="s">
        <v>63</v>
      </c>
      <c r="E696" s="6" t="s">
        <v>13</v>
      </c>
      <c r="F696" s="8" t="str">
        <f>VLOOKUP(A696,Tutors!C:D,2,0)</f>
        <v/>
      </c>
      <c r="G696" s="8" t="str">
        <f>VLOOKUP(A696,Tutors!C:E,3,0)</f>
        <v>EG07-EG08-EG09</v>
      </c>
      <c r="H696" s="8" t="str">
        <f>VLOOKUP(A696,Tutors!A:F,6,0)</f>
        <v/>
      </c>
      <c r="I696" s="8" t="str">
        <f>VLOOKUP(A696,Tutors!C:G,5,0)</f>
        <v/>
      </c>
      <c r="J696" s="8">
        <f>COUNTIFS(Active!C:C,A696)</f>
        <v>0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" t="s">
        <v>746</v>
      </c>
      <c r="B697" s="7">
        <f>VLOOKUP(A697,Tutors!A:B,2,0)</f>
        <v>960189502368</v>
      </c>
      <c r="C697" s="6" t="s">
        <v>11</v>
      </c>
      <c r="D697" s="6" t="s">
        <v>25</v>
      </c>
      <c r="E697" s="6" t="s">
        <v>184</v>
      </c>
      <c r="F697" s="8">
        <f>VLOOKUP(A697,Tutors!C:D,2,0)</f>
        <v>2786</v>
      </c>
      <c r="G697" s="8" t="str">
        <f>VLOOKUP(A697,Tutors!C:E,3,0)</f>
        <v>EG01-EG02-EG03</v>
      </c>
      <c r="H697" s="8" t="str">
        <f>VLOOKUP(A697,Tutors!A:F,6,0)</f>
        <v>nourananwar47@gmail.com</v>
      </c>
      <c r="I697" s="8" t="str">
        <f>VLOOKUP(A697,Tutors!C:G,5,0)</f>
        <v/>
      </c>
      <c r="J697" s="8">
        <f>COUNTIFS(Active!C:C,A697)</f>
        <v>0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" t="s">
        <v>747</v>
      </c>
      <c r="B698" s="7" t="str">
        <f>VLOOKUP(A698,Tutors!A:B,2,0)</f>
        <v>No ID</v>
      </c>
      <c r="C698" s="6" t="s">
        <v>11</v>
      </c>
      <c r="D698" s="6" t="s">
        <v>60</v>
      </c>
      <c r="E698" s="6" t="s">
        <v>13</v>
      </c>
      <c r="F698" s="8" t="str">
        <f>VLOOKUP(A698,Tutors!C:D,2,0)</f>
        <v/>
      </c>
      <c r="G698" s="8" t="str">
        <f>VLOOKUP(A698,Tutors!C:E,3,0)</f>
        <v>EG01-EG02-EG03</v>
      </c>
      <c r="H698" s="8" t="str">
        <f>VLOOKUP(A698,Tutors!A:F,6,0)</f>
        <v/>
      </c>
      <c r="I698" s="8" t="str">
        <f>VLOOKUP(A698,Tutors!C:G,5,0)</f>
        <v/>
      </c>
      <c r="J698" s="8">
        <f>COUNTIFS(Active!C:C,A698)</f>
        <v>0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" t="s">
        <v>748</v>
      </c>
      <c r="B699" s="7" t="str">
        <f>VLOOKUP(A699,Tutors!A:B,2,0)</f>
        <v>No ID</v>
      </c>
      <c r="C699" s="6" t="s">
        <v>11</v>
      </c>
      <c r="D699" s="6" t="s">
        <v>12</v>
      </c>
      <c r="E699" s="6" t="s">
        <v>13</v>
      </c>
      <c r="F699" s="8" t="str">
        <f>VLOOKUP(A699,Tutors!C:D,2,0)</f>
        <v/>
      </c>
      <c r="G699" s="8" t="str">
        <f>VLOOKUP(A699,Tutors!C:E,3,0)</f>
        <v>EG01-EG02-EG03</v>
      </c>
      <c r="H699" s="8" t="str">
        <f>VLOOKUP(A699,Tutors!A:F,6,0)</f>
        <v/>
      </c>
      <c r="I699" s="8" t="str">
        <f>VLOOKUP(A699,Tutors!C:G,5,0)</f>
        <v/>
      </c>
      <c r="J699" s="8">
        <f>COUNTIFS(Active!C:C,A699)</f>
        <v>0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" t="s">
        <v>749</v>
      </c>
      <c r="B700" s="7">
        <f>VLOOKUP(A700,Tutors!A:B,2,0)</f>
        <v>803104946740</v>
      </c>
      <c r="C700" s="6" t="s">
        <v>86</v>
      </c>
      <c r="D700" s="6" t="s">
        <v>126</v>
      </c>
      <c r="E700" s="10" t="s">
        <v>9</v>
      </c>
      <c r="F700" s="8">
        <f>VLOOKUP(A700,Tutors!C:D,2,0)</f>
        <v>2754</v>
      </c>
      <c r="G700" s="8" t="str">
        <f>VLOOKUP(A700,Tutors!C:E,3,0)</f>
        <v>EG04-EG05-EG06</v>
      </c>
      <c r="H700" s="8" t="str">
        <f>VLOOKUP(A700,Tutors!A:F,6,0)</f>
        <v>basyouni.3d@gmail.com</v>
      </c>
      <c r="I700" s="8" t="str">
        <f>VLOOKUP(A700,Tutors!C:G,5,0)</f>
        <v>+201008786722</v>
      </c>
      <c r="J700" s="8">
        <f>COUNTIFS(Active!C:C,A700)</f>
        <v>1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" t="s">
        <v>750</v>
      </c>
      <c r="B701" s="7">
        <f>VLOOKUP(A701,Tutors!A:B,2,0)</f>
        <v>407151345617</v>
      </c>
      <c r="C701" s="6" t="s">
        <v>11</v>
      </c>
      <c r="D701" s="6" t="s">
        <v>47</v>
      </c>
      <c r="E701" s="10" t="s">
        <v>9</v>
      </c>
      <c r="F701" s="8">
        <f>VLOOKUP(A701,Tutors!C:D,2,0)</f>
        <v>2819</v>
      </c>
      <c r="G701" s="8" t="str">
        <f>VLOOKUP(A701,Tutors!C:E,3,0)</f>
        <v>EG01-EG02-EG03</v>
      </c>
      <c r="H701" s="8" t="str">
        <f>VLOOKUP(A701,Tutors!A:F,6,0)</f>
        <v>loreesnashaat@gmail.com</v>
      </c>
      <c r="I701" s="8" t="str">
        <f>VLOOKUP(A701,Tutors!C:G,5,0)</f>
        <v>01223512495</v>
      </c>
      <c r="J701" s="8">
        <f>COUNTIFS(Active!C:C,A701)</f>
        <v>1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" t="s">
        <v>751</v>
      </c>
      <c r="B702" s="7">
        <f>VLOOKUP(A702,Tutors!A:B,2,0)</f>
        <v>474179052159</v>
      </c>
      <c r="C702" s="6" t="s">
        <v>86</v>
      </c>
      <c r="D702" s="6" t="s">
        <v>25</v>
      </c>
      <c r="E702" s="6" t="s">
        <v>13</v>
      </c>
      <c r="F702" s="8">
        <f>VLOOKUP(A702,Tutors!C:D,2,0)</f>
        <v>2829</v>
      </c>
      <c r="G702" s="8" t="str">
        <f>VLOOKUP(A702,Tutors!C:E,3,0)</f>
        <v>EG04-EG05-EG06-EG07-EG08-EG09</v>
      </c>
      <c r="H702" s="8" t="str">
        <f>VLOOKUP(A702,Tutors!A:F,6,0)</f>
        <v>gadallahyasmine@gmail.com</v>
      </c>
      <c r="I702" s="8" t="str">
        <f>VLOOKUP(A702,Tutors!C:G,5,0)</f>
        <v/>
      </c>
      <c r="J702" s="8">
        <f>COUNTIFS(Active!C:C,A702)</f>
        <v>0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" t="s">
        <v>752</v>
      </c>
      <c r="B703" s="7">
        <f>VLOOKUP(A703,Tutors!A:B,2,0)</f>
        <v>405140392850</v>
      </c>
      <c r="C703" s="6" t="s">
        <v>86</v>
      </c>
      <c r="D703" s="6" t="s">
        <v>203</v>
      </c>
      <c r="E703" s="10" t="s">
        <v>9</v>
      </c>
      <c r="F703" s="8">
        <f>VLOOKUP(A703,Tutors!C:D,2,0)</f>
        <v>2820</v>
      </c>
      <c r="G703" s="8" t="str">
        <f>VLOOKUP(A703,Tutors!C:E,3,0)</f>
        <v>EG03-EG04-EG05-EG06</v>
      </c>
      <c r="H703" s="8" t="str">
        <f>VLOOKUP(A703,Tutors!A:F,6,0)</f>
        <v>sarahamdy.hamza2015@gmail.com</v>
      </c>
      <c r="I703" s="8" t="str">
        <f>VLOOKUP(A703,Tutors!C:G,5,0)</f>
        <v/>
      </c>
      <c r="J703" s="8">
        <f>COUNTIFS(Active!C:C,A703)</f>
        <v>1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" t="s">
        <v>753</v>
      </c>
      <c r="B704" s="7">
        <f>VLOOKUP(A704,Tutors!A:B,2,0)</f>
        <v>464168323849</v>
      </c>
      <c r="C704" s="6" t="s">
        <v>11</v>
      </c>
      <c r="D704" s="6" t="s">
        <v>12</v>
      </c>
      <c r="E704" s="6" t="s">
        <v>13</v>
      </c>
      <c r="F704" s="8">
        <f>VLOOKUP(A704,Tutors!C:D,2,0)</f>
        <v>2822</v>
      </c>
      <c r="G704" s="8" t="str">
        <f>VLOOKUP(A704,Tutors!C:E,3,0)</f>
        <v>EG01-EG02-EG03</v>
      </c>
      <c r="H704" s="8" t="str">
        <f>VLOOKUP(A704,Tutors!A:F,6,0)</f>
        <v>maihassan1234567@gmail.com</v>
      </c>
      <c r="I704" s="8" t="str">
        <f>VLOOKUP(A704,Tutors!C:G,5,0)</f>
        <v/>
      </c>
      <c r="J704" s="8">
        <f>COUNTIFS(Active!C:C,A704)</f>
        <v>0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" t="s">
        <v>754</v>
      </c>
      <c r="B705" s="7">
        <f>VLOOKUP(A705,Tutors!A:B,2,0)</f>
        <v>513101076505</v>
      </c>
      <c r="C705" s="6" t="s">
        <v>86</v>
      </c>
      <c r="D705" s="6" t="s">
        <v>203</v>
      </c>
      <c r="E705" s="10" t="s">
        <v>9</v>
      </c>
      <c r="F705" s="8">
        <f>VLOOKUP(A705,Tutors!C:D,2,0)</f>
        <v>2821</v>
      </c>
      <c r="G705" s="8" t="str">
        <f>VLOOKUP(A705,Tutors!C:E,3,0)</f>
        <v>EG03-EG04-EG05-EG06</v>
      </c>
      <c r="H705" s="8" t="str">
        <f>VLOOKUP(A705,Tutors!A:F,6,0)</f>
        <v>wafaaryan348@gmail.com</v>
      </c>
      <c r="I705" s="8" t="str">
        <f>VLOOKUP(A705,Tutors!C:G,5,0)</f>
        <v/>
      </c>
      <c r="J705" s="8">
        <f>COUNTIFS(Active!C:C,A705)</f>
        <v>1</v>
      </c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" t="s">
        <v>755</v>
      </c>
      <c r="B706" s="7">
        <f>VLOOKUP(A706,Tutors!A:B,2,0)</f>
        <v>609181324791</v>
      </c>
      <c r="C706" s="6" t="s">
        <v>11</v>
      </c>
      <c r="D706" s="6" t="s">
        <v>25</v>
      </c>
      <c r="E706" s="6" t="s">
        <v>184</v>
      </c>
      <c r="F706" s="8">
        <f>VLOOKUP(A706,Tutors!C:D,2,0)</f>
        <v>2512</v>
      </c>
      <c r="G706" s="8" t="str">
        <f>VLOOKUP(A706,Tutors!C:E,3,0)</f>
        <v>EG01-EG02-EG03</v>
      </c>
      <c r="H706" s="8" t="str">
        <f>VLOOKUP(A706,Tutors!A:F,6,0)</f>
        <v/>
      </c>
      <c r="I706" s="8" t="str">
        <f>VLOOKUP(A706,Tutors!C:G,5,0)</f>
        <v/>
      </c>
      <c r="J706" s="8">
        <f>COUNTIFS(Active!C:C,A706)</f>
        <v>0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" t="s">
        <v>756</v>
      </c>
      <c r="B707" s="7">
        <f>VLOOKUP(A707,Tutors!A:B,2,0)</f>
        <v>189136923623</v>
      </c>
      <c r="C707" s="6" t="s">
        <v>86</v>
      </c>
      <c r="D707" s="6" t="s">
        <v>250</v>
      </c>
      <c r="E707" s="6" t="s">
        <v>13</v>
      </c>
      <c r="F707" s="8">
        <f>VLOOKUP(A707,Tutors!C:D,2,0)</f>
        <v>2542</v>
      </c>
      <c r="G707" s="8" t="str">
        <f>VLOOKUP(A707,Tutors!C:E,3,0)</f>
        <v>EG04-EG05-EG06</v>
      </c>
      <c r="H707" s="8" t="str">
        <f>VLOOKUP(A707,Tutors!A:F,6,0)</f>
        <v>nayeraismailm@gmail.com</v>
      </c>
      <c r="I707" s="8" t="str">
        <f>VLOOKUP(A707,Tutors!C:G,5,0)</f>
        <v>01022608292</v>
      </c>
      <c r="J707" s="8">
        <f>COUNTIFS(Active!C:C,A707)</f>
        <v>0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" t="s">
        <v>757</v>
      </c>
      <c r="B708" s="7">
        <f>VLOOKUP(A708,Tutors!A:B,2,0)</f>
        <v>878128791902</v>
      </c>
      <c r="C708" s="6" t="s">
        <v>303</v>
      </c>
      <c r="D708" s="6" t="s">
        <v>69</v>
      </c>
      <c r="E708" s="10" t="s">
        <v>9</v>
      </c>
      <c r="F708" s="8">
        <f>VLOOKUP(A708,Tutors!C:D,2,0)</f>
        <v>2638</v>
      </c>
      <c r="G708" s="8" t="str">
        <f>VLOOKUP(A708,Tutors!C:E,3,0)</f>
        <v>EG04-EG05-EG06-EG07-EG08-EG09</v>
      </c>
      <c r="H708" s="8" t="str">
        <f>VLOOKUP(A708,Tutors!A:F,6,0)</f>
        <v>mohsenqandel03@gmail.com</v>
      </c>
      <c r="I708" s="8" t="str">
        <f>VLOOKUP(A708,Tutors!C:G,5,0)</f>
        <v/>
      </c>
      <c r="J708" s="8">
        <f>COUNTIFS(Active!C:C,A708)</f>
        <v>1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" t="s">
        <v>758</v>
      </c>
      <c r="B709" s="7">
        <f>VLOOKUP(A709,Tutors!A:B,2,0)</f>
        <v>516103937369</v>
      </c>
      <c r="C709" s="6" t="s">
        <v>86</v>
      </c>
      <c r="D709" s="6" t="s">
        <v>126</v>
      </c>
      <c r="E709" s="6" t="s">
        <v>35</v>
      </c>
      <c r="F709" s="7">
        <v>2079.0</v>
      </c>
      <c r="G709" s="7" t="s">
        <v>759</v>
      </c>
      <c r="H709" s="8" t="str">
        <f>VLOOKUP(A709,Tutors!A:F,6,0)</f>
        <v>mohammed.eid.gad@gmail.com</v>
      </c>
      <c r="I709" s="8" t="str">
        <f>VLOOKUP(A709,Tutors!C:G,5,0)</f>
        <v>01027610533</v>
      </c>
      <c r="J709" s="8">
        <f>COUNTIFS(Active!C:C,A709)</f>
        <v>0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" t="s">
        <v>760</v>
      </c>
      <c r="B710" s="7">
        <f>VLOOKUP(A710,Tutors!A:B,2,0)</f>
        <v>516123085380</v>
      </c>
      <c r="C710" s="11"/>
      <c r="D710" s="11"/>
      <c r="E710" s="6" t="s">
        <v>35</v>
      </c>
      <c r="F710" s="8" t="str">
        <f>VLOOKUP(A710,Tutors!C:D,2,0)</f>
        <v>#N/A</v>
      </c>
      <c r="G710" s="8" t="str">
        <f>VLOOKUP(A710,Tutors!C:E,3,0)</f>
        <v/>
      </c>
      <c r="H710" s="8" t="str">
        <f>VLOOKUP(A710,Tutors!A:F,6,0)</f>
        <v>israaibrahim182@gmail.com</v>
      </c>
      <c r="I710" s="8" t="str">
        <f>VLOOKUP(A710,Tutors!C:G,5,0)</f>
        <v/>
      </c>
      <c r="J710" s="8">
        <f>COUNTIFS(Active!C:C,A710)</f>
        <v>0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" t="s">
        <v>761</v>
      </c>
      <c r="B711" s="7">
        <f>VLOOKUP(A711,Tutors!A:B,2,0)</f>
        <v>324151012329</v>
      </c>
      <c r="C711" s="11"/>
      <c r="D711" s="11"/>
      <c r="E711" s="6" t="s">
        <v>35</v>
      </c>
      <c r="F711" s="8" t="str">
        <f>VLOOKUP(A711,Tutors!C:D,2,0)</f>
        <v>#N/A</v>
      </c>
      <c r="G711" s="8" t="str">
        <f>VLOOKUP(A711,Tutors!C:E,3,0)</f>
        <v/>
      </c>
      <c r="H711" s="8" t="str">
        <f>VLOOKUP(A711,Tutors!A:F,6,0)</f>
        <v>mahmoud.abdo@nagwa.com</v>
      </c>
      <c r="I711" s="8" t="str">
        <f>VLOOKUP(A711,Tutors!C:G,5,0)</f>
        <v/>
      </c>
      <c r="J711" s="8">
        <f>COUNTIFS(Active!C:C,A711)</f>
        <v>0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" t="s">
        <v>762</v>
      </c>
      <c r="B712" s="7">
        <f>VLOOKUP(A712,Tutors!A:B,2,0)</f>
        <v>416167232707</v>
      </c>
      <c r="C712" s="12" t="s">
        <v>86</v>
      </c>
      <c r="D712" s="12" t="s">
        <v>126</v>
      </c>
      <c r="E712" s="6" t="s">
        <v>9</v>
      </c>
      <c r="F712" s="9" t="str">
        <f>VLOOKUP(A712,Tutors!C:D,2,0)</f>
        <v>2289</v>
      </c>
      <c r="G712" s="7" t="s">
        <v>127</v>
      </c>
      <c r="H712" s="8" t="str">
        <f>VLOOKUP(A712,Tutors!A:F,6,0)</f>
        <v>aabdalgamal@gmail.com</v>
      </c>
      <c r="I712" s="8" t="str">
        <f>VLOOKUP(A712,Tutors!C:G,5,0)</f>
        <v>01033208400</v>
      </c>
      <c r="J712" s="8">
        <f>COUNTIFS(Active!C:C,A712)</f>
        <v>0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" t="s">
        <v>763</v>
      </c>
      <c r="B713" s="7">
        <f>VLOOKUP(A713,Tutors!A:B,2,0)</f>
        <v>873160320409</v>
      </c>
      <c r="C713" s="11"/>
      <c r="D713" s="11"/>
      <c r="E713" s="6" t="s">
        <v>184</v>
      </c>
      <c r="F713" s="8" t="str">
        <f>VLOOKUP(A713,Tutors!C:D,2,0)</f>
        <v>#N/A</v>
      </c>
      <c r="G713" s="8" t="str">
        <f>VLOOKUP(A713,Tutors!C:E,3,0)</f>
        <v/>
      </c>
      <c r="H713" s="8" t="str">
        <f>VLOOKUP(A713,Tutors!A:F,6,0)</f>
        <v/>
      </c>
      <c r="I713" s="8" t="str">
        <f>VLOOKUP(A713,Tutors!C:G,5,0)</f>
        <v/>
      </c>
      <c r="J713" s="8">
        <f>COUNTIFS(Active!C:C,A713)</f>
        <v>0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" t="s">
        <v>764</v>
      </c>
      <c r="B714" s="7">
        <f>VLOOKUP(A714,Tutors!A:B,2,0)</f>
        <v>482158476754</v>
      </c>
      <c r="C714" s="11"/>
      <c r="D714" s="11"/>
      <c r="E714" s="6" t="s">
        <v>184</v>
      </c>
      <c r="F714" s="8" t="str">
        <f>VLOOKUP(A714,Tutors!C:D,2,0)</f>
        <v>#N/A</v>
      </c>
      <c r="G714" s="8" t="str">
        <f>VLOOKUP(A714,Tutors!C:E,3,0)</f>
        <v/>
      </c>
      <c r="H714" s="8" t="str">
        <f>VLOOKUP(A714,Tutors!A:F,6,0)</f>
        <v/>
      </c>
      <c r="I714" s="8" t="str">
        <f>VLOOKUP(A714,Tutors!C:G,5,0)</f>
        <v/>
      </c>
      <c r="J714" s="8">
        <f>COUNTIFS(Active!C:C,A714)</f>
        <v>0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" t="s">
        <v>765</v>
      </c>
      <c r="B715" s="7">
        <f>VLOOKUP(A715,Tutors!A:B,2,0)</f>
        <v>785160848368</v>
      </c>
      <c r="C715" s="11"/>
      <c r="D715" s="11"/>
      <c r="E715" s="6" t="s">
        <v>184</v>
      </c>
      <c r="F715" s="8" t="str">
        <f>VLOOKUP(A715,Tutors!C:D,2,0)</f>
        <v>#N/A</v>
      </c>
      <c r="G715" s="8" t="str">
        <f>VLOOKUP(A715,Tutors!C:E,3,0)</f>
        <v/>
      </c>
      <c r="H715" s="8" t="str">
        <f>VLOOKUP(A715,Tutors!A:F,6,0)</f>
        <v/>
      </c>
      <c r="I715" s="8" t="str">
        <f>VLOOKUP(A715,Tutors!C:G,5,0)</f>
        <v/>
      </c>
      <c r="J715" s="8">
        <f>COUNTIFS(Active!C:C,A715)</f>
        <v>0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" t="s">
        <v>766</v>
      </c>
      <c r="B716" s="7">
        <f>VLOOKUP(A716,Tutors!A:B,2,0)</f>
        <v>956195390908</v>
      </c>
      <c r="C716" s="11"/>
      <c r="D716" s="11"/>
      <c r="E716" s="6" t="s">
        <v>184</v>
      </c>
      <c r="F716" s="8" t="str">
        <f>VLOOKUP(A716,Tutors!C:D,2,0)</f>
        <v>#N/A</v>
      </c>
      <c r="G716" s="8" t="str">
        <f>VLOOKUP(A716,Tutors!C:E,3,0)</f>
        <v/>
      </c>
      <c r="H716" s="8" t="str">
        <f>VLOOKUP(A716,Tutors!A:F,6,0)</f>
        <v/>
      </c>
      <c r="I716" s="8" t="str">
        <f>VLOOKUP(A716,Tutors!C:G,5,0)</f>
        <v/>
      </c>
      <c r="J716" s="8">
        <f>COUNTIFS(Active!C:C,A716)</f>
        <v>0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" t="s">
        <v>767</v>
      </c>
      <c r="B717" s="7">
        <f>VLOOKUP(A717,Tutors!A:B,2,0)</f>
        <v>802195734191</v>
      </c>
      <c r="C717" s="11"/>
      <c r="D717" s="11"/>
      <c r="E717" s="6" t="s">
        <v>184</v>
      </c>
      <c r="F717" s="8" t="str">
        <f>VLOOKUP(A717,Tutors!C:D,2,0)</f>
        <v>#N/A</v>
      </c>
      <c r="G717" s="8" t="str">
        <f>VLOOKUP(A717,Tutors!C:E,3,0)</f>
        <v/>
      </c>
      <c r="H717" s="8" t="str">
        <f>VLOOKUP(A717,Tutors!A:F,6,0)</f>
        <v/>
      </c>
      <c r="I717" s="8" t="str">
        <f>VLOOKUP(A717,Tutors!C:G,5,0)</f>
        <v/>
      </c>
      <c r="J717" s="8">
        <f>COUNTIFS(Active!C:C,A717)</f>
        <v>0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" t="s">
        <v>768</v>
      </c>
      <c r="B718" s="7">
        <f>VLOOKUP(A718,Tutors!A:B,2,0)</f>
        <v>542163764786</v>
      </c>
      <c r="C718" s="11"/>
      <c r="D718" s="11"/>
      <c r="E718" s="6" t="s">
        <v>184</v>
      </c>
      <c r="F718" s="8" t="str">
        <f>VLOOKUP(A718,Tutors!C:D,2,0)</f>
        <v>#N/A</v>
      </c>
      <c r="G718" s="8" t="str">
        <f>VLOOKUP(A718,Tutors!C:E,3,0)</f>
        <v/>
      </c>
      <c r="H718" s="8" t="str">
        <f>VLOOKUP(A718,Tutors!A:F,6,0)</f>
        <v/>
      </c>
      <c r="I718" s="8" t="str">
        <f>VLOOKUP(A718,Tutors!C:G,5,0)</f>
        <v/>
      </c>
      <c r="J718" s="8">
        <f>COUNTIFS(Active!C:C,A718)</f>
        <v>0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" t="s">
        <v>769</v>
      </c>
      <c r="B719" s="7">
        <f>VLOOKUP(A719,Tutors!A:B,2,0)</f>
        <v>943182573596</v>
      </c>
      <c r="C719" s="11"/>
      <c r="D719" s="11"/>
      <c r="E719" s="6" t="s">
        <v>35</v>
      </c>
      <c r="F719" s="8" t="str">
        <f>VLOOKUP(A719,Tutors!C:D,2,0)</f>
        <v>#N/A</v>
      </c>
      <c r="G719" s="8" t="str">
        <f>VLOOKUP(A719,Tutors!C:E,3,0)</f>
        <v/>
      </c>
      <c r="H719" s="8" t="str">
        <f>VLOOKUP(A719,Tutors!A:F,6,0)</f>
        <v>esraamorsy78@gmail.com</v>
      </c>
      <c r="I719" s="8" t="str">
        <f>VLOOKUP(A719,Tutors!C:G,5,0)</f>
        <v/>
      </c>
      <c r="J719" s="8">
        <f>COUNTIFS(Active!C:C,A719)</f>
        <v>0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" t="s">
        <v>770</v>
      </c>
      <c r="B720" s="7">
        <f>VLOOKUP(A720,Tutors!A:B,2,0)</f>
        <v>963108518023</v>
      </c>
      <c r="C720" s="11"/>
      <c r="D720" s="11"/>
      <c r="E720" s="6" t="s">
        <v>35</v>
      </c>
      <c r="F720" s="8" t="str">
        <f>VLOOKUP(A720,Tutors!C:D,2,0)</f>
        <v>#N/A</v>
      </c>
      <c r="G720" s="8" t="str">
        <f>VLOOKUP(A720,Tutors!C:E,3,0)</f>
        <v/>
      </c>
      <c r="H720" s="8" t="str">
        <f>VLOOKUP(A720,Tutors!A:F,6,0)</f>
        <v/>
      </c>
      <c r="I720" s="8" t="str">
        <f>VLOOKUP(A720,Tutors!C:G,5,0)</f>
        <v/>
      </c>
      <c r="J720" s="8">
        <f>COUNTIFS(Active!C:C,A720)</f>
        <v>0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" t="s">
        <v>771</v>
      </c>
      <c r="B721" s="7">
        <f>VLOOKUP(A721,Tutors!A:B,2,0)</f>
        <v>514126712393</v>
      </c>
      <c r="C721" s="12" t="s">
        <v>11</v>
      </c>
      <c r="D721" s="12" t="s">
        <v>25</v>
      </c>
      <c r="E721" s="10" t="s">
        <v>9</v>
      </c>
      <c r="F721" s="8">
        <f>VLOOKUP(A721,Tutors!C:D,2,0)</f>
        <v>2827</v>
      </c>
      <c r="G721" s="8" t="str">
        <f>VLOOKUP(A721,Tutors!C:E,3,0)</f>
        <v>EG01-EG02-EG03</v>
      </c>
      <c r="H721" s="8" t="str">
        <f>VLOOKUP(A721,Tutors!A:F,6,0)</f>
        <v>marianmaher01094762364@gmail.com</v>
      </c>
      <c r="I721" s="8" t="str">
        <f>VLOOKUP(A721,Tutors!C:G,5,0)</f>
        <v/>
      </c>
      <c r="J721" s="8">
        <f>COUNTIFS(Active!C:C,A721)</f>
        <v>1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" t="s">
        <v>772</v>
      </c>
      <c r="B722" s="7">
        <f>VLOOKUP(A722,Tutors!A:B,2,0)</f>
        <v>352134305787</v>
      </c>
      <c r="C722" s="11"/>
      <c r="D722" s="11"/>
      <c r="E722" s="6" t="s">
        <v>384</v>
      </c>
      <c r="F722" s="9" t="str">
        <f>VLOOKUP(A722,Tutors!C:D,2,0)</f>
        <v>1212</v>
      </c>
      <c r="G722" s="8" t="str">
        <f>VLOOKUP(A722,Tutors!C:E,3,0)</f>
        <v/>
      </c>
      <c r="H722" s="8" t="str">
        <f>VLOOKUP(A722,Tutors!A:F,6,0)</f>
        <v/>
      </c>
      <c r="I722" s="8" t="str">
        <f>VLOOKUP(A722,Tutors!C:G,5,0)</f>
        <v/>
      </c>
      <c r="J722" s="8">
        <f>COUNTIFS(Active!C:C,A722)</f>
        <v>0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" t="s">
        <v>773</v>
      </c>
      <c r="B723" s="7">
        <f>VLOOKUP(A723,Tutors!A:B,2,0)</f>
        <v>437189298603</v>
      </c>
      <c r="C723" s="11"/>
      <c r="D723" s="11"/>
      <c r="E723" s="6" t="s">
        <v>384</v>
      </c>
      <c r="F723" s="9" t="str">
        <f>VLOOKUP(A723,Tutors!C:D,2,0)</f>
        <v>1863</v>
      </c>
      <c r="G723" s="8" t="str">
        <f>VLOOKUP(A723,Tutors!C:E,3,0)</f>
        <v>G11-G12</v>
      </c>
      <c r="H723" s="8" t="str">
        <f>VLOOKUP(A723,Tutors!A:F,6,0)</f>
        <v/>
      </c>
      <c r="I723" s="8" t="str">
        <f>VLOOKUP(A723,Tutors!C:G,5,0)</f>
        <v/>
      </c>
      <c r="J723" s="8">
        <f>COUNTIFS(Active!C:C,A723)</f>
        <v>0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" t="s">
        <v>774</v>
      </c>
      <c r="B724" s="7">
        <f>VLOOKUP(A724,Tutors!A:B,2,0)</f>
        <v>594131489651</v>
      </c>
      <c r="C724" s="11"/>
      <c r="D724" s="11"/>
      <c r="E724" s="6" t="s">
        <v>384</v>
      </c>
      <c r="F724" s="8">
        <f>VLOOKUP(A724,Tutors!C:D,2,0)</f>
        <v>1926</v>
      </c>
      <c r="G724" s="8" t="str">
        <f>VLOOKUP(A724,Tutors!C:E,3,0)</f>
        <v/>
      </c>
      <c r="H724" s="8" t="str">
        <f>VLOOKUP(A724,Tutors!A:F,6,0)</f>
        <v/>
      </c>
      <c r="I724" s="8" t="str">
        <f>VLOOKUP(A724,Tutors!C:G,5,0)</f>
        <v/>
      </c>
      <c r="J724" s="8">
        <f>COUNTIFS(Active!C:C,A724)</f>
        <v>0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" t="s">
        <v>775</v>
      </c>
      <c r="B725" s="7">
        <f>VLOOKUP(A725,Tutors!A:B,2,0)</f>
        <v>848146561605</v>
      </c>
      <c r="C725" s="11"/>
      <c r="D725" s="11"/>
      <c r="E725" s="6" t="s">
        <v>384</v>
      </c>
      <c r="F725" s="9" t="str">
        <f>VLOOKUP(A725,Tutors!C:D,2,0)</f>
        <v>1943</v>
      </c>
      <c r="G725" s="7" t="s">
        <v>776</v>
      </c>
      <c r="H725" s="8" t="str">
        <f>VLOOKUP(A725,Tutors!A:F,6,0)</f>
        <v>ahmedsaladin10@gmail.com</v>
      </c>
      <c r="I725" s="8" t="str">
        <f>VLOOKUP(A725,Tutors!C:G,5,0)</f>
        <v>01141745377</v>
      </c>
      <c r="J725" s="8">
        <f>COUNTIFS(Active!C:C,A725)</f>
        <v>0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" t="s">
        <v>777</v>
      </c>
      <c r="B726" s="7">
        <f>VLOOKUP(A726,Tutors!A:B,2,0)</f>
        <v>258141760167</v>
      </c>
      <c r="C726" s="11"/>
      <c r="D726" s="11"/>
      <c r="E726" s="6" t="s">
        <v>384</v>
      </c>
      <c r="F726" s="9" t="str">
        <f>VLOOKUP(A726,Tutors!C:D,2,0)</f>
        <v>1971</v>
      </c>
      <c r="G726" s="8" t="str">
        <f>VLOOKUP(A726,Tutors!C:E,3,0)</f>
        <v>EG10-EG11-G12</v>
      </c>
      <c r="H726" s="8" t="str">
        <f>VLOOKUP(A726,Tutors!A:F,6,0)</f>
        <v>mrbadrawy333@gmail.com</v>
      </c>
      <c r="I726" s="8" t="str">
        <f>VLOOKUP(A726,Tutors!C:G,5,0)</f>
        <v>01152735223</v>
      </c>
      <c r="J726" s="8">
        <f>COUNTIFS(Active!C:C,A726)</f>
        <v>0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" t="s">
        <v>778</v>
      </c>
      <c r="B727" s="7">
        <f>VLOOKUP(A727,Tutors!A:B,2,0)</f>
        <v>535169286572</v>
      </c>
      <c r="C727" s="11"/>
      <c r="D727" s="11"/>
      <c r="E727" s="6" t="s">
        <v>384</v>
      </c>
      <c r="F727" s="9">
        <f>VLOOKUP(A727,Tutors!C:D,2,0)</f>
        <v>1980</v>
      </c>
      <c r="G727" s="8" t="str">
        <f>VLOOKUP(A727,Tutors!C:E,3,0)</f>
        <v/>
      </c>
      <c r="H727" s="8" t="str">
        <f>VLOOKUP(A727,Tutors!A:F,6,0)</f>
        <v>mg306@hotmail.com</v>
      </c>
      <c r="I727" s="8" t="str">
        <f>VLOOKUP(A727,Tutors!C:G,5,0)</f>
        <v/>
      </c>
      <c r="J727" s="8">
        <f>COUNTIFS(Active!C:C,A727)</f>
        <v>0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" t="s">
        <v>779</v>
      </c>
      <c r="B728" s="7">
        <f>VLOOKUP(A728,Tutors!A:B,2,0)</f>
        <v>285163691768</v>
      </c>
      <c r="C728" s="11"/>
      <c r="D728" s="11"/>
      <c r="E728" s="6" t="s">
        <v>384</v>
      </c>
      <c r="F728" s="9" t="str">
        <f>VLOOKUP(A728,Tutors!C:D,2,0)</f>
        <v>1972</v>
      </c>
      <c r="G728" s="8" t="str">
        <f>VLOOKUP(A728,Tutors!C:E,3,0)</f>
        <v/>
      </c>
      <c r="H728" s="8" t="str">
        <f>VLOOKUP(A728,Tutors!A:F,6,0)</f>
        <v/>
      </c>
      <c r="I728" s="8" t="str">
        <f>VLOOKUP(A728,Tutors!C:G,5,0)</f>
        <v/>
      </c>
      <c r="J728" s="8">
        <f>COUNTIFS(Active!C:C,A728)</f>
        <v>0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" t="s">
        <v>780</v>
      </c>
      <c r="B729" s="7">
        <f>VLOOKUP(A729,Tutors!A:B,2,0)</f>
        <v>102179305430</v>
      </c>
      <c r="C729" s="11"/>
      <c r="D729" s="11"/>
      <c r="E729" s="6" t="s">
        <v>384</v>
      </c>
      <c r="F729" s="8">
        <f>VLOOKUP(A729,Tutors!C:D,2,0)</f>
        <v>2022</v>
      </c>
      <c r="G729" s="8" t="str">
        <f>VLOOKUP(A729,Tutors!C:E,3,0)</f>
        <v/>
      </c>
      <c r="H729" s="8" t="str">
        <f>VLOOKUP(A729,Tutors!A:F,6,0)</f>
        <v/>
      </c>
      <c r="I729" s="8" t="str">
        <f>VLOOKUP(A729,Tutors!C:G,5,0)</f>
        <v/>
      </c>
      <c r="J729" s="8">
        <f>COUNTIFS(Active!C:C,A729)</f>
        <v>0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" t="s">
        <v>781</v>
      </c>
      <c r="B730" s="7">
        <f>VLOOKUP(A730,Tutors!A:B,2,0)</f>
        <v>797194713202</v>
      </c>
      <c r="C730" s="11"/>
      <c r="D730" s="11"/>
      <c r="E730" s="6" t="s">
        <v>384</v>
      </c>
      <c r="F730" s="9" t="str">
        <f>VLOOKUP(A730,Tutors!C:D,2,0)</f>
        <v>2037</v>
      </c>
      <c r="G730" s="8" t="str">
        <f>VLOOKUP(A730,Tutors!C:E,3,0)</f>
        <v/>
      </c>
      <c r="H730" s="8" t="str">
        <f>VLOOKUP(A730,Tutors!A:F,6,0)</f>
        <v/>
      </c>
      <c r="I730" s="8" t="str">
        <f>VLOOKUP(A730,Tutors!C:G,5,0)</f>
        <v/>
      </c>
      <c r="J730" s="8">
        <f>COUNTIFS(Active!C:C,A730)</f>
        <v>0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" t="s">
        <v>782</v>
      </c>
      <c r="B731" s="7">
        <f>VLOOKUP(A731,Tutors!A:B,2,0)</f>
        <v>107149593948</v>
      </c>
      <c r="C731" s="11"/>
      <c r="D731" s="11"/>
      <c r="E731" s="6" t="s">
        <v>384</v>
      </c>
      <c r="F731" s="8">
        <f>VLOOKUP(A731,Tutors!C:D,2,0)</f>
        <v>2095</v>
      </c>
      <c r="G731" s="8" t="str">
        <f>VLOOKUP(A731,Tutors!C:E,3,0)</f>
        <v/>
      </c>
      <c r="H731" s="8" t="str">
        <f>VLOOKUP(A731,Tutors!A:F,6,0)</f>
        <v/>
      </c>
      <c r="I731" s="8" t="str">
        <f>VLOOKUP(A731,Tutors!C:G,5,0)</f>
        <v/>
      </c>
      <c r="J731" s="8">
        <f>COUNTIFS(Active!C:C,A731)</f>
        <v>0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" t="s">
        <v>783</v>
      </c>
      <c r="B732" s="7">
        <f>VLOOKUP(A732,Tutors!A:B,2,0)</f>
        <v>435147575802</v>
      </c>
      <c r="C732" s="11"/>
      <c r="D732" s="11"/>
      <c r="E732" s="6" t="s">
        <v>384</v>
      </c>
      <c r="F732" s="9" t="str">
        <f>VLOOKUP(A732,Tutors!C:D,2,0)</f>
        <v>2259</v>
      </c>
      <c r="G732" s="8" t="str">
        <f>VLOOKUP(A732,Tutors!C:E,3,0)</f>
        <v/>
      </c>
      <c r="H732" s="8" t="str">
        <f>VLOOKUP(A732,Tutors!A:F,6,0)</f>
        <v/>
      </c>
      <c r="I732" s="8" t="str">
        <f>VLOOKUP(A732,Tutors!C:G,5,0)</f>
        <v/>
      </c>
      <c r="J732" s="8">
        <f>COUNTIFS(Active!C:C,A732)</f>
        <v>0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" t="s">
        <v>784</v>
      </c>
      <c r="B733" s="7">
        <f>VLOOKUP(A733,Tutors!A:B,2,0)</f>
        <v>472109857194</v>
      </c>
      <c r="C733" s="11"/>
      <c r="D733" s="11"/>
      <c r="E733" s="6" t="s">
        <v>384</v>
      </c>
      <c r="F733" s="9" t="str">
        <f>VLOOKUP(A733,Tutors!C:D,2,0)</f>
        <v>2208</v>
      </c>
      <c r="G733" s="8" t="str">
        <f>VLOOKUP(A733,Tutors!C:E,3,0)</f>
        <v>EG10-EG11-G12</v>
      </c>
      <c r="H733" s="8" t="str">
        <f>VLOOKUP(A733,Tutors!A:F,6,0)</f>
        <v/>
      </c>
      <c r="I733" s="8" t="str">
        <f>VLOOKUP(A733,Tutors!C:G,5,0)</f>
        <v/>
      </c>
      <c r="J733" s="8">
        <f>COUNTIFS(Active!C:C,A733)</f>
        <v>0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" t="s">
        <v>785</v>
      </c>
      <c r="B734" s="7">
        <f>VLOOKUP(A734,Tutors!A:B,2,0)</f>
        <v>480107524608</v>
      </c>
      <c r="C734" s="11"/>
      <c r="D734" s="11"/>
      <c r="E734" s="6" t="s">
        <v>384</v>
      </c>
      <c r="F734" s="9" t="str">
        <f>VLOOKUP(A734,Tutors!C:D,2,0)</f>
        <v>2214</v>
      </c>
      <c r="G734" s="8" t="str">
        <f>VLOOKUP(A734,Tutors!C:E,3,0)</f>
        <v>EG04-EG05-EG06-EG07</v>
      </c>
      <c r="H734" s="8" t="str">
        <f>VLOOKUP(A734,Tutors!A:F,6,0)</f>
        <v/>
      </c>
      <c r="I734" s="8" t="str">
        <f>VLOOKUP(A734,Tutors!C:G,5,0)</f>
        <v/>
      </c>
      <c r="J734" s="8">
        <f>COUNTIFS(Active!C:C,A734)</f>
        <v>0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" t="s">
        <v>786</v>
      </c>
      <c r="B735" s="7">
        <f>VLOOKUP(A735,Tutors!A:B,2,0)</f>
        <v>279185808176</v>
      </c>
      <c r="C735" s="11"/>
      <c r="D735" s="11"/>
      <c r="E735" s="6" t="s">
        <v>384</v>
      </c>
      <c r="F735" s="9" t="str">
        <f>VLOOKUP(A735,Tutors!C:D,2,0)</f>
        <v>2239</v>
      </c>
      <c r="G735" s="8" t="str">
        <f>VLOOKUP(A735,Tutors!C:E,3,0)</f>
        <v/>
      </c>
      <c r="H735" s="8" t="str">
        <f>VLOOKUP(A735,Tutors!A:F,6,0)</f>
        <v/>
      </c>
      <c r="I735" s="8" t="str">
        <f>VLOOKUP(A735,Tutors!C:G,5,0)</f>
        <v/>
      </c>
      <c r="J735" s="8">
        <f>COUNTIFS(Active!C:C,A735)</f>
        <v>0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" t="s">
        <v>787</v>
      </c>
      <c r="B736" s="7">
        <f>VLOOKUP(A736,Tutors!A:B,2,0)</f>
        <v>238140327279</v>
      </c>
      <c r="C736" s="11"/>
      <c r="D736" s="11"/>
      <c r="E736" s="6" t="s">
        <v>384</v>
      </c>
      <c r="F736" s="8">
        <f>VLOOKUP(A736,Tutors!C:D,2,0)</f>
        <v>2350</v>
      </c>
      <c r="G736" s="8" t="str">
        <f>VLOOKUP(A736,Tutors!C:E,3,0)</f>
        <v>EG07-EG08-EG09</v>
      </c>
      <c r="H736" s="8" t="str">
        <f>VLOOKUP(A736,Tutors!A:F,6,0)</f>
        <v/>
      </c>
      <c r="I736" s="8" t="str">
        <f>VLOOKUP(A736,Tutors!C:G,5,0)</f>
        <v/>
      </c>
      <c r="J736" s="8">
        <f>COUNTIFS(Active!C:C,A736)</f>
        <v>0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" t="s">
        <v>788</v>
      </c>
      <c r="B737" s="7">
        <f>VLOOKUP(A737,Tutors!A:B,2,0)</f>
        <v>804162065074</v>
      </c>
      <c r="C737" s="11"/>
      <c r="D737" s="11"/>
      <c r="E737" s="6" t="s">
        <v>384</v>
      </c>
      <c r="F737" s="8">
        <f>VLOOKUP(A737,Tutors!C:D,2,0)</f>
        <v>2453</v>
      </c>
      <c r="G737" s="8" t="str">
        <f>VLOOKUP(A737,Tutors!C:E,3,0)</f>
        <v>EG07-EG08-EG09</v>
      </c>
      <c r="H737" s="8" t="str">
        <f>VLOOKUP(A737,Tutors!A:F,6,0)</f>
        <v/>
      </c>
      <c r="I737" s="8" t="str">
        <f>VLOOKUP(A737,Tutors!C:G,5,0)</f>
        <v/>
      </c>
      <c r="J737" s="8">
        <f>COUNTIFS(Active!C:C,A737)</f>
        <v>0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" t="s">
        <v>789</v>
      </c>
      <c r="B738" s="7">
        <f>VLOOKUP(A738,Tutors!A:B,2,0)</f>
        <v>742164906960</v>
      </c>
      <c r="C738" s="11"/>
      <c r="D738" s="11"/>
      <c r="E738" s="6" t="s">
        <v>384</v>
      </c>
      <c r="F738" s="8">
        <f>VLOOKUP(A738,Tutors!C:D,2,0)</f>
        <v>2051</v>
      </c>
      <c r="G738" s="8" t="str">
        <f>VLOOKUP(A738,Tutors!C:E,3,0)</f>
        <v/>
      </c>
      <c r="H738" s="8" t="str">
        <f>VLOOKUP(A738,Tutors!A:F,6,0)</f>
        <v>mohammedtawfik1974@gmail.com</v>
      </c>
      <c r="I738" s="8" t="str">
        <f>VLOOKUP(A738,Tutors!C:G,5,0)</f>
        <v/>
      </c>
      <c r="J738" s="8">
        <f>COUNTIFS(Active!C:C,A738)</f>
        <v>0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" t="s">
        <v>790</v>
      </c>
      <c r="B739" s="7">
        <f>VLOOKUP(A739,Tutors!A:B,2,0)</f>
        <v>960186095390</v>
      </c>
      <c r="C739" s="11"/>
      <c r="D739" s="11"/>
      <c r="E739" s="6" t="s">
        <v>384</v>
      </c>
      <c r="F739" s="8">
        <f>VLOOKUP(A739,Tutors!C:D,2,0)</f>
        <v>2587</v>
      </c>
      <c r="G739" s="8" t="str">
        <f>VLOOKUP(A739,Tutors!C:E,3,0)</f>
        <v>EG01-EG02-EG03</v>
      </c>
      <c r="H739" s="8" t="str">
        <f>VLOOKUP(A739,Tutors!A:F,6,0)</f>
        <v>nesmasultan933@gmail.com</v>
      </c>
      <c r="I739" s="8" t="str">
        <f>VLOOKUP(A739,Tutors!C:G,5,0)</f>
        <v/>
      </c>
      <c r="J739" s="8">
        <f>COUNTIFS(Active!C:C,A739)</f>
        <v>0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" t="s">
        <v>791</v>
      </c>
      <c r="B740" s="7">
        <f>VLOOKUP(A740,Tutors!A:B,2,0)</f>
        <v>389136139475</v>
      </c>
      <c r="C740" s="12" t="s">
        <v>11</v>
      </c>
      <c r="D740" s="12" t="s">
        <v>47</v>
      </c>
      <c r="E740" s="10" t="s">
        <v>9</v>
      </c>
      <c r="F740" s="8">
        <f>VLOOKUP(A740,Tutors!C:D,2,0)</f>
        <v>2834</v>
      </c>
      <c r="G740" s="8" t="str">
        <f>VLOOKUP(A740,Tutors!C:E,3,0)</f>
        <v>EG01-EG02-EG03</v>
      </c>
      <c r="H740" s="8" t="str">
        <f>VLOOKUP(A740,Tutors!A:F,6,0)</f>
        <v>safaazidan44@gmail.com</v>
      </c>
      <c r="I740" s="8" t="str">
        <f>VLOOKUP(A740,Tutors!C:G,5,0)</f>
        <v/>
      </c>
      <c r="J740" s="8">
        <f>COUNTIFS(Active!C:C,A740)</f>
        <v>1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3" t="s">
        <v>792</v>
      </c>
      <c r="B741" s="7">
        <f>VLOOKUP(A741,Tutors!A:B,2,0)</f>
        <v>584170187314</v>
      </c>
      <c r="C741" s="12" t="s">
        <v>86</v>
      </c>
      <c r="D741" s="12" t="s">
        <v>25</v>
      </c>
      <c r="E741" s="10" t="s">
        <v>9</v>
      </c>
      <c r="F741" s="8">
        <f>VLOOKUP(A741,Tutors!C:D,2,0)</f>
        <v>2823</v>
      </c>
      <c r="G741" s="8" t="str">
        <f>VLOOKUP(A741,Tutors!C:E,3,0)</f>
        <v>EG04-EG05-EG06-EG07-EG08-EG09</v>
      </c>
      <c r="H741" s="8" t="str">
        <f>VLOOKUP(A741,Tutors!A:F,6,0)</f>
        <v>mostafahamad00000@gmail.com</v>
      </c>
      <c r="I741" s="8" t="str">
        <f>VLOOKUP(A741,Tutors!C:G,5,0)</f>
        <v/>
      </c>
      <c r="J741" s="8">
        <f>COUNTIFS(Active!C:C,A741)</f>
        <v>0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" t="s">
        <v>793</v>
      </c>
      <c r="B742" s="7">
        <f>VLOOKUP(A742,Tutors!A:B,2,0)</f>
        <v>418150453208</v>
      </c>
      <c r="C742" s="12" t="s">
        <v>11</v>
      </c>
      <c r="D742" s="12" t="s">
        <v>25</v>
      </c>
      <c r="E742" s="10" t="s">
        <v>9</v>
      </c>
      <c r="F742" s="8">
        <f>VLOOKUP(A742,Tutors!C:D,2,0)</f>
        <v>2840</v>
      </c>
      <c r="G742" s="8" t="str">
        <f>VLOOKUP(A742,Tutors!C:E,3,0)</f>
        <v>EG01-EG02-EG03</v>
      </c>
      <c r="H742" s="8" t="str">
        <f>VLOOKUP(A742,Tutors!A:F,6,0)</f>
        <v>mariawahib600@gmail.com</v>
      </c>
      <c r="I742" s="8" t="str">
        <f>VLOOKUP(A742,Tutors!C:G,5,0)</f>
        <v/>
      </c>
      <c r="J742" s="8">
        <f>COUNTIFS(Active!C:C,A742)</f>
        <v>1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" t="s">
        <v>794</v>
      </c>
      <c r="B743" s="7">
        <f>VLOOKUP(A743,Tutors!A:B,2,0)</f>
        <v>592102843710</v>
      </c>
      <c r="C743" s="6" t="s">
        <v>303</v>
      </c>
      <c r="D743" s="6" t="s">
        <v>63</v>
      </c>
      <c r="E743" s="6" t="s">
        <v>13</v>
      </c>
      <c r="F743" s="8">
        <f>VLOOKUP(A743,Tutors!C:D,2,0)</f>
        <v>2841</v>
      </c>
      <c r="G743" s="8" t="str">
        <f>VLOOKUP(A743,Tutors!C:E,3,0)</f>
        <v>EG07-EG08-EG09</v>
      </c>
      <c r="H743" s="8" t="str">
        <f>VLOOKUP(A743,Tutors!A:F,6,0)</f>
        <v>khairykamal63@gmail.com</v>
      </c>
      <c r="I743" s="8">
        <f>VLOOKUP(A743,Tutors!C:G,5,0)</f>
        <v>1003571622</v>
      </c>
      <c r="J743" s="8">
        <f>COUNTIFS(Active!C:C,A743)</f>
        <v>0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" t="s">
        <v>795</v>
      </c>
      <c r="B744" s="7">
        <f>VLOOKUP(A744,Tutors!A:B,2,0)</f>
        <v>653130960231</v>
      </c>
      <c r="C744" s="6" t="s">
        <v>303</v>
      </c>
      <c r="D744" s="6" t="s">
        <v>63</v>
      </c>
      <c r="E744" s="10" t="s">
        <v>9</v>
      </c>
      <c r="F744" s="8">
        <f>VLOOKUP(A744,Tutors!C:D,2,0)</f>
        <v>2839</v>
      </c>
      <c r="G744" s="8" t="str">
        <f>VLOOKUP(A744,Tutors!C:E,3,0)</f>
        <v>EG07-EG08-EG09</v>
      </c>
      <c r="H744" s="8" t="str">
        <f>VLOOKUP(A744,Tutors!A:F,6,0)</f>
        <v>mohamedhussain5078@gmail.com</v>
      </c>
      <c r="I744" s="8" t="str">
        <f>VLOOKUP(A744,Tutors!C:G,5,0)</f>
        <v>01095569461</v>
      </c>
      <c r="J744" s="8">
        <f>COUNTIFS(Active!C:C,A744)</f>
        <v>1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" t="s">
        <v>796</v>
      </c>
      <c r="B745" s="7">
        <f>VLOOKUP(A745,Tutors!A:B,2,0)</f>
        <v>127152579046</v>
      </c>
      <c r="C745" s="6" t="s">
        <v>86</v>
      </c>
      <c r="D745" s="6" t="s">
        <v>25</v>
      </c>
      <c r="E745" s="10" t="s">
        <v>9</v>
      </c>
      <c r="F745" s="8">
        <f>VLOOKUP(A745,Tutors!C:D,2,0)</f>
        <v>2842</v>
      </c>
      <c r="G745" s="8" t="str">
        <f>VLOOKUP(A745,Tutors!C:E,3,0)</f>
        <v>EG03-EG04-EG05-EG06</v>
      </c>
      <c r="H745" s="8" t="str">
        <f>VLOOKUP(A745,Tutors!A:F,6,0)</f>
        <v>miss.shirengamal@yahoo.com</v>
      </c>
      <c r="I745" s="8" t="str">
        <f>VLOOKUP(A745,Tutors!C:G,5,0)</f>
        <v>01276234136</v>
      </c>
      <c r="J745" s="8">
        <f>COUNTIFS(Active!C:C,A745)</f>
        <v>1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" t="s">
        <v>797</v>
      </c>
      <c r="B746" s="7">
        <f>VLOOKUP(A746,Tutors!A:B,2,0)</f>
        <v>685194251845</v>
      </c>
      <c r="C746" s="12" t="s">
        <v>11</v>
      </c>
      <c r="D746" s="6" t="s">
        <v>63</v>
      </c>
      <c r="E746" s="6" t="s">
        <v>13</v>
      </c>
      <c r="F746" s="8">
        <f>VLOOKUP(A746,Tutors!C:D,2,0)</f>
        <v>2846</v>
      </c>
      <c r="G746" s="8" t="str">
        <f>VLOOKUP(A746,Tutors!C:E,3,0)</f>
        <v>EG01-EG02-EG03</v>
      </c>
      <c r="H746" s="8" t="str">
        <f>VLOOKUP(A746,Tutors!A:F,6,0)</f>
        <v>haidyessam90@gmail.com</v>
      </c>
      <c r="I746" s="8" t="str">
        <f>VLOOKUP(A746,Tutors!C:G,5,0)</f>
        <v/>
      </c>
      <c r="J746" s="8">
        <f>COUNTIFS(Active!C:C,A746)</f>
        <v>0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" t="s">
        <v>798</v>
      </c>
      <c r="B747" s="7" t="str">
        <f>VLOOKUP(A747,Tutors!A:B,2,0)</f>
        <v>#N/A</v>
      </c>
      <c r="C747" s="12" t="s">
        <v>303</v>
      </c>
      <c r="D747" s="6" t="s">
        <v>25</v>
      </c>
      <c r="E747" s="6" t="s">
        <v>35</v>
      </c>
      <c r="F747" s="8" t="str">
        <f>VLOOKUP(A747,Tutors!C:D,2,0)</f>
        <v>#N/A</v>
      </c>
      <c r="G747" s="8" t="str">
        <f>VLOOKUP(A747,Tutors!C:E,3,0)</f>
        <v>#N/A</v>
      </c>
      <c r="H747" s="8" t="str">
        <f>VLOOKUP(A747,Tutors!A:F,6,0)</f>
        <v>#N/A</v>
      </c>
      <c r="I747" s="8" t="str">
        <f>VLOOKUP(A747,Tutors!C:G,5,0)</f>
        <v>#N/A</v>
      </c>
      <c r="J747" s="8">
        <f>COUNTIFS(Active!C:C,A747)</f>
        <v>0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" t="s">
        <v>799</v>
      </c>
      <c r="B748" s="7">
        <f>VLOOKUP(A748,Tutors!A:B,2,0)</f>
        <v>635140735816</v>
      </c>
      <c r="C748" s="6" t="s">
        <v>303</v>
      </c>
      <c r="D748" s="6" t="s">
        <v>25</v>
      </c>
      <c r="E748" s="10" t="s">
        <v>9</v>
      </c>
      <c r="F748" s="8">
        <f>VLOOKUP(A748,Tutors!C:D,2,0)</f>
        <v>2848</v>
      </c>
      <c r="G748" s="8" t="str">
        <f>VLOOKUP(A748,Tutors!C:E,3,0)</f>
        <v>EG07-EG08-EG09-EG10-EG11-EG12</v>
      </c>
      <c r="H748" s="8" t="str">
        <f>VLOOKUP(A748,Tutors!A:F,6,0)</f>
        <v>ghada.shaaban365@gmail.com</v>
      </c>
      <c r="I748" s="8" t="str">
        <f>VLOOKUP(A748,Tutors!C:G,5,0)</f>
        <v>01281384364</v>
      </c>
      <c r="J748" s="8">
        <f>COUNTIFS(Active!C:C,A748)</f>
        <v>1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" t="s">
        <v>800</v>
      </c>
      <c r="B749" s="7" t="str">
        <f>VLOOKUP(A749,Tutors!A:B,2,0)</f>
        <v>#N/A</v>
      </c>
      <c r="C749" s="12" t="s">
        <v>303</v>
      </c>
      <c r="D749" s="6" t="s">
        <v>25</v>
      </c>
      <c r="E749" s="6" t="s">
        <v>13</v>
      </c>
      <c r="F749" s="8" t="str">
        <f>VLOOKUP(A749,Tutors!C:D,2,0)</f>
        <v>#N/A</v>
      </c>
      <c r="G749" s="8" t="str">
        <f>VLOOKUP(A749,Tutors!C:E,3,0)</f>
        <v>#N/A</v>
      </c>
      <c r="H749" s="8" t="str">
        <f>VLOOKUP(A749,Tutors!A:F,6,0)</f>
        <v>#N/A</v>
      </c>
      <c r="I749" s="8" t="str">
        <f>VLOOKUP(A749,Tutors!C:G,5,0)</f>
        <v>#N/A</v>
      </c>
      <c r="J749" s="8">
        <f>COUNTIFS(Active!C:C,A749)</f>
        <v>0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" t="s">
        <v>801</v>
      </c>
      <c r="B750" s="7">
        <f>VLOOKUP(A750,Tutors!A:B,2,0)</f>
        <v>458108584108</v>
      </c>
      <c r="C750" s="6" t="s">
        <v>477</v>
      </c>
      <c r="D750" s="6" t="s">
        <v>802</v>
      </c>
      <c r="E750" s="6" t="s">
        <v>13</v>
      </c>
      <c r="F750" s="8">
        <f>VLOOKUP(A750,Tutors!C:D,2,0)</f>
        <v>2851</v>
      </c>
      <c r="G750" s="8" t="str">
        <f>VLOOKUP(A750,Tutors!C:E,3,0)</f>
        <v>EG10</v>
      </c>
      <c r="H750" s="8" t="str">
        <f>VLOOKUP(A750,Tutors!A:F,6,0)</f>
        <v>faragreezk123@gmail.com</v>
      </c>
      <c r="I750" s="8" t="str">
        <f>VLOOKUP(A750,Tutors!C:G,5,0)</f>
        <v>01064174270</v>
      </c>
      <c r="J750" s="8">
        <f>COUNTIFS(Active!C:C,A750)</f>
        <v>0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" t="s">
        <v>803</v>
      </c>
      <c r="B751" s="7" t="str">
        <f>VLOOKUP(A751,Tutors!A:B,2,0)</f>
        <v>#N/A</v>
      </c>
      <c r="C751" s="14"/>
      <c r="D751" s="6" t="s">
        <v>478</v>
      </c>
      <c r="E751" s="6" t="s">
        <v>184</v>
      </c>
      <c r="F751" s="8" t="str">
        <f>VLOOKUP(A751,Tutors!C:D,2,0)</f>
        <v>#N/A</v>
      </c>
      <c r="G751" s="8" t="str">
        <f>VLOOKUP(A751,Tutors!C:E,3,0)</f>
        <v>#N/A</v>
      </c>
      <c r="H751" s="8" t="str">
        <f>VLOOKUP(A751,Tutors!A:F,6,0)</f>
        <v>#N/A</v>
      </c>
      <c r="I751" s="8" t="str">
        <f>VLOOKUP(A751,Tutors!C:G,5,0)</f>
        <v>#N/A</v>
      </c>
      <c r="J751" s="8">
        <f>COUNTIFS(Active!C:C,A751)</f>
        <v>0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" t="s">
        <v>804</v>
      </c>
      <c r="B752" s="7">
        <f>VLOOKUP(A752,Tutors!A:B,2,0)</f>
        <v>319189603602</v>
      </c>
      <c r="C752" s="6" t="s">
        <v>303</v>
      </c>
      <c r="D752" s="6" t="s">
        <v>203</v>
      </c>
      <c r="E752" s="10" t="s">
        <v>9</v>
      </c>
      <c r="F752" s="8">
        <f>VLOOKUP(A752,Tutors!C:D,2,0)</f>
        <v>2850</v>
      </c>
      <c r="G752" s="8" t="str">
        <f>VLOOKUP(A752,Tutors!C:E,3,0)</f>
        <v>EG07-EG08-EG09</v>
      </c>
      <c r="H752" s="8" t="str">
        <f>VLOOKUP(A752,Tutors!A:F,6,0)</f>
        <v>mohamed1996shaban23@gmail.com</v>
      </c>
      <c r="I752" s="8" t="str">
        <f>VLOOKUP(A752,Tutors!C:G,5,0)</f>
        <v/>
      </c>
      <c r="J752" s="8">
        <f>COUNTIFS(Active!C:C,A752)</f>
        <v>1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" t="s">
        <v>805</v>
      </c>
      <c r="B753" s="7">
        <f>VLOOKUP(A753,Tutors!A:B,2,0)</f>
        <v>362130914353</v>
      </c>
      <c r="C753" s="6" t="s">
        <v>86</v>
      </c>
      <c r="D753" s="6" t="s">
        <v>25</v>
      </c>
      <c r="E753" s="10" t="s">
        <v>9</v>
      </c>
      <c r="F753" s="8">
        <f>VLOOKUP(A753,Tutors!C:D,2,0)</f>
        <v>2852</v>
      </c>
      <c r="G753" s="8" t="str">
        <f>VLOOKUP(A753,Tutors!C:E,3,0)</f>
        <v>EG04-EG05-EG06-EG07-EG08</v>
      </c>
      <c r="H753" s="8" t="str">
        <f>VLOOKUP(A753,Tutors!A:F,6,0)</f>
        <v>sabitalbatal@gmail.com</v>
      </c>
      <c r="I753" s="8" t="str">
        <f>VLOOKUP(A753,Tutors!C:G,5,0)</f>
        <v/>
      </c>
      <c r="J753" s="8">
        <f>COUNTIFS(Active!C:C,A753)</f>
        <v>1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" t="s">
        <v>806</v>
      </c>
      <c r="B754" s="7">
        <f>VLOOKUP(A754,Tutors!A:B,2,0)</f>
        <v>825149219294</v>
      </c>
      <c r="C754" s="12" t="s">
        <v>303</v>
      </c>
      <c r="D754" s="6" t="s">
        <v>172</v>
      </c>
      <c r="E754" s="10" t="s">
        <v>9</v>
      </c>
      <c r="F754" s="8">
        <f>VLOOKUP(A754,Tutors!C:D,2,0)</f>
        <v>2832</v>
      </c>
      <c r="G754" s="8" t="str">
        <f>VLOOKUP(A754,Tutors!C:E,3,0)</f>
        <v>EG07-EG08-EG09</v>
      </c>
      <c r="H754" s="8" t="str">
        <f>VLOOKUP(A754,Tutors!A:F,6,0)</f>
        <v>bishoymagdy82@gmail.com</v>
      </c>
      <c r="I754" s="8" t="str">
        <f>VLOOKUP(A754,Tutors!C:G,5,0)</f>
        <v>01226557050</v>
      </c>
      <c r="J754" s="8">
        <f>COUNTIFS(Active!C:C,A754)</f>
        <v>1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" t="s">
        <v>807</v>
      </c>
      <c r="B755" s="7" t="str">
        <f>VLOOKUP(A755,Tutors!A:B,2,0)</f>
        <v>#N/A</v>
      </c>
      <c r="C755" s="6" t="s">
        <v>303</v>
      </c>
      <c r="D755" s="6" t="s">
        <v>203</v>
      </c>
      <c r="E755" s="6" t="s">
        <v>13</v>
      </c>
      <c r="F755" s="8" t="str">
        <f>VLOOKUP(A755,Tutors!C:D,2,0)</f>
        <v>#N/A</v>
      </c>
      <c r="G755" s="8" t="str">
        <f>VLOOKUP(A755,Tutors!C:E,3,0)</f>
        <v>#N/A</v>
      </c>
      <c r="H755" s="8" t="str">
        <f>VLOOKUP(A755,Tutors!A:F,6,0)</f>
        <v>#N/A</v>
      </c>
      <c r="I755" s="8" t="str">
        <f>VLOOKUP(A755,Tutors!C:G,5,0)</f>
        <v>#N/A</v>
      </c>
      <c r="J755" s="8">
        <f>COUNTIFS(Active!C:C,A755)</f>
        <v>0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" t="s">
        <v>808</v>
      </c>
      <c r="B756" s="7">
        <f>VLOOKUP(A756,Tutors!A:B,2,0)</f>
        <v>518178303713</v>
      </c>
      <c r="C756" s="6" t="s">
        <v>303</v>
      </c>
      <c r="D756" s="6" t="s">
        <v>69</v>
      </c>
      <c r="E756" s="6" t="s">
        <v>13</v>
      </c>
      <c r="F756" s="8">
        <f>VLOOKUP(A756,Tutors!C:D,2,0)</f>
        <v>2855</v>
      </c>
      <c r="G756" s="8" t="str">
        <f>VLOOKUP(A756,Tutors!C:E,3,0)</f>
        <v>EG07-EG08-EG09</v>
      </c>
      <c r="H756" s="8" t="str">
        <f>VLOOKUP(A756,Tutors!A:F,6,0)</f>
        <v>wegawega1989@gmail.com</v>
      </c>
      <c r="I756" s="8" t="str">
        <f>VLOOKUP(A756,Tutors!C:G,5,0)</f>
        <v/>
      </c>
      <c r="J756" s="8">
        <f>COUNTIFS(Active!C:C,A756)</f>
        <v>0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" t="s">
        <v>809</v>
      </c>
      <c r="B757" s="7">
        <f>VLOOKUP(A757,Tutors!A:B,2,0)</f>
        <v>548153953842</v>
      </c>
      <c r="C757" s="6" t="s">
        <v>86</v>
      </c>
      <c r="D757" s="6" t="s">
        <v>69</v>
      </c>
      <c r="E757" s="6" t="s">
        <v>13</v>
      </c>
      <c r="F757" s="8">
        <f>VLOOKUP(A757,Tutors!C:D,2,0)</f>
        <v>2856</v>
      </c>
      <c r="G757" s="8" t="str">
        <f>VLOOKUP(A757,Tutors!C:E,3,0)</f>
        <v>EG04-EG05-EG06-EG07-EG08</v>
      </c>
      <c r="H757" s="8" t="str">
        <f>VLOOKUP(A757,Tutors!A:F,6,0)</f>
        <v>esraaboraai@gmail.com</v>
      </c>
      <c r="I757" s="8" t="str">
        <f>VLOOKUP(A757,Tutors!C:G,5,0)</f>
        <v>01128223826</v>
      </c>
      <c r="J757" s="8">
        <f>COUNTIFS(Active!C:C,A757)</f>
        <v>0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" t="s">
        <v>810</v>
      </c>
      <c r="B758" s="7">
        <f>VLOOKUP(A758,Tutors!A:B,2,0)</f>
        <v>808184307649</v>
      </c>
      <c r="C758" s="6" t="s">
        <v>303</v>
      </c>
      <c r="D758" s="6" t="s">
        <v>172</v>
      </c>
      <c r="E758" s="10" t="s">
        <v>9</v>
      </c>
      <c r="F758" s="8">
        <f>VLOOKUP(A758,Tutors!C:D,2,0)</f>
        <v>2873</v>
      </c>
      <c r="G758" s="8" t="str">
        <f>VLOOKUP(A758,Tutors!C:E,3,0)</f>
        <v>EG07-EG08-EG09</v>
      </c>
      <c r="H758" s="8" t="str">
        <f>VLOOKUP(A758,Tutors!A:F,6,0)</f>
        <v>sara2h.elhamshry@gmail.com</v>
      </c>
      <c r="I758" s="8" t="str">
        <f>VLOOKUP(A758,Tutors!C:G,5,0)</f>
        <v/>
      </c>
      <c r="J758" s="8">
        <f>COUNTIFS(Active!C:C,A758)</f>
        <v>1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" t="s">
        <v>811</v>
      </c>
      <c r="B759" s="7">
        <f>VLOOKUP(A759,Tutors!A:B,2,0)</f>
        <v>876191464085</v>
      </c>
      <c r="C759" s="6" t="s">
        <v>86</v>
      </c>
      <c r="D759" s="6" t="s">
        <v>203</v>
      </c>
      <c r="E759" s="10" t="s">
        <v>9</v>
      </c>
      <c r="F759" s="8" t="str">
        <f>VLOOKUP(A759,Tutors!C:D,2,0)</f>
        <v/>
      </c>
      <c r="G759" s="8" t="str">
        <f>VLOOKUP(A759,Tutors!C:E,3,0)</f>
        <v>EG03-EG04-EG05-EG06</v>
      </c>
      <c r="H759" s="8" t="str">
        <f>VLOOKUP(A759,Tutors!A:F,6,0)</f>
        <v>hebakasem371988@gmail.com</v>
      </c>
      <c r="I759" s="8" t="str">
        <f>VLOOKUP(A759,Tutors!C:G,5,0)</f>
        <v>01013304685</v>
      </c>
      <c r="J759" s="8">
        <f>COUNTIFS(Active!C:C,A759)</f>
        <v>1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" t="s">
        <v>812</v>
      </c>
      <c r="B760" s="7">
        <f>VLOOKUP(A760,Tutors!A:B,2,0)</f>
        <v>123132713791</v>
      </c>
      <c r="C760" s="6" t="s">
        <v>86</v>
      </c>
      <c r="D760" s="6" t="s">
        <v>203</v>
      </c>
      <c r="E760" s="6" t="s">
        <v>13</v>
      </c>
      <c r="F760" s="8">
        <f>VLOOKUP(A760,Tutors!C:D,2,0)</f>
        <v>2853</v>
      </c>
      <c r="G760" s="8" t="str">
        <f>VLOOKUP(A760,Tutors!C:E,3,0)</f>
        <v>EG03-EG04-EG05-EG06</v>
      </c>
      <c r="H760" s="8" t="str">
        <f>VLOOKUP(A760,Tutors!A:F,6,0)</f>
        <v>abdallah20111995@gmail.com</v>
      </c>
      <c r="I760" s="8">
        <f>VLOOKUP(A760,Tutors!C:G,5,0)</f>
        <v>1117321211</v>
      </c>
      <c r="J760" s="8">
        <f>COUNTIFS(Active!C:C,A760)</f>
        <v>0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" t="s">
        <v>813</v>
      </c>
      <c r="B761" s="7">
        <f>VLOOKUP(A761,Tutors!A:B,2,0)</f>
        <v>375183747813</v>
      </c>
      <c r="C761" s="6" t="s">
        <v>11</v>
      </c>
      <c r="D761" s="6" t="s">
        <v>69</v>
      </c>
      <c r="E761" s="10" t="s">
        <v>9</v>
      </c>
      <c r="F761" s="8">
        <f>VLOOKUP(A761,Tutors!C:D,2,0)</f>
        <v>2857</v>
      </c>
      <c r="G761" s="8" t="str">
        <f>VLOOKUP(A761,Tutors!C:E,3,0)</f>
        <v>EG01-EG02-EG03</v>
      </c>
      <c r="H761" s="8" t="str">
        <f>VLOOKUP(A761,Tutors!A:F,6,0)</f>
        <v>mostafaradwa190@gmail.com</v>
      </c>
      <c r="I761" s="8" t="str">
        <f>VLOOKUP(A761,Tutors!C:G,5,0)</f>
        <v>01280110379</v>
      </c>
      <c r="J761" s="8">
        <f>COUNTIFS(Active!C:C,A761)</f>
        <v>1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" t="s">
        <v>814</v>
      </c>
      <c r="B762" s="7" t="str">
        <f>VLOOKUP(A762,Tutors!A:B,2,0)</f>
        <v>#N/A</v>
      </c>
      <c r="C762" s="6" t="s">
        <v>86</v>
      </c>
      <c r="D762" s="6" t="s">
        <v>25</v>
      </c>
      <c r="E762" s="6" t="s">
        <v>13</v>
      </c>
      <c r="F762" s="8" t="str">
        <f>VLOOKUP(A762,Tutors!C:D,2,0)</f>
        <v>#N/A</v>
      </c>
      <c r="G762" s="8" t="str">
        <f>VLOOKUP(A762,Tutors!C:E,3,0)</f>
        <v>#N/A</v>
      </c>
      <c r="H762" s="8" t="str">
        <f>VLOOKUP(A762,Tutors!A:F,6,0)</f>
        <v>#N/A</v>
      </c>
      <c r="I762" s="8" t="str">
        <f>VLOOKUP(A762,Tutors!C:G,5,0)</f>
        <v>#N/A</v>
      </c>
      <c r="J762" s="8">
        <f>COUNTIFS(Active!C:C,A762)</f>
        <v>0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" t="s">
        <v>815</v>
      </c>
      <c r="B763" s="7">
        <f>VLOOKUP(A763,Tutors!A:B,2,0)</f>
        <v>979127456161</v>
      </c>
      <c r="C763" s="6" t="s">
        <v>86</v>
      </c>
      <c r="D763" s="6" t="s">
        <v>172</v>
      </c>
      <c r="E763" s="10" t="s">
        <v>9</v>
      </c>
      <c r="F763" s="8">
        <f>VLOOKUP(A763,Tutors!C:D,2,0)</f>
        <v>2874</v>
      </c>
      <c r="G763" s="8" t="str">
        <f>VLOOKUP(A763,Tutors!C:E,3,0)</f>
        <v>EG04-EG05-EG06</v>
      </c>
      <c r="H763" s="8" t="str">
        <f>VLOOKUP(A763,Tutors!A:F,6,0)</f>
        <v>dadel7052@gmail.com</v>
      </c>
      <c r="I763" s="8" t="str">
        <f>VLOOKUP(A763,Tutors!C:G,5,0)</f>
        <v>01095076094</v>
      </c>
      <c r="J763" s="8">
        <f>COUNTIFS(Active!C:C,A763)</f>
        <v>1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" t="s">
        <v>816</v>
      </c>
      <c r="B764" s="7">
        <f>VLOOKUP(A764,Tutors!A:B,2,0)</f>
        <v>857187871618</v>
      </c>
      <c r="C764" s="6" t="s">
        <v>86</v>
      </c>
      <c r="D764" s="6" t="s">
        <v>63</v>
      </c>
      <c r="E764" s="10" t="s">
        <v>9</v>
      </c>
      <c r="F764" s="8">
        <f>VLOOKUP(A764,Tutors!C:D,2,0)</f>
        <v>2870</v>
      </c>
      <c r="G764" s="8" t="str">
        <f>VLOOKUP(A764,Tutors!C:E,3,0)</f>
        <v>EG03-EG04-EG05-EG06</v>
      </c>
      <c r="H764" s="8" t="str">
        <f>VLOOKUP(A764,Tutors!A:F,6,0)</f>
        <v>gad17197@gmail.com</v>
      </c>
      <c r="I764" s="8" t="str">
        <f>VLOOKUP(A764,Tutors!C:G,5,0)</f>
        <v>01005619745</v>
      </c>
      <c r="J764" s="8">
        <f>COUNTIFS(Active!C:C,A764)</f>
        <v>1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" t="s">
        <v>817</v>
      </c>
      <c r="B765" s="7">
        <f>VLOOKUP(A765,Tutors!A:B,2,0)</f>
        <v>892131842437</v>
      </c>
      <c r="C765" s="6" t="s">
        <v>11</v>
      </c>
      <c r="D765" s="6" t="s">
        <v>47</v>
      </c>
      <c r="E765" s="10" t="s">
        <v>9</v>
      </c>
      <c r="F765" s="8">
        <f>VLOOKUP(A765,Tutors!C:D,2,0)</f>
        <v>2845</v>
      </c>
      <c r="G765" s="8" t="str">
        <f>VLOOKUP(A765,Tutors!C:E,3,0)</f>
        <v>EG01-EG02-EG03</v>
      </c>
      <c r="H765" s="8" t="str">
        <f>VLOOKUP(A765,Tutors!A:F,6,0)</f>
        <v>novasameh1@gmail.com</v>
      </c>
      <c r="I765" s="8" t="str">
        <f>VLOOKUP(A765,Tutors!C:G,5,0)</f>
        <v>01122260857</v>
      </c>
      <c r="J765" s="8">
        <f>COUNTIFS(Active!C:C,A765)</f>
        <v>1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" t="s">
        <v>818</v>
      </c>
      <c r="B766" s="7">
        <f>VLOOKUP(A766,Tutors!A:B,2,0)</f>
        <v>417194809016</v>
      </c>
      <c r="C766" s="6" t="s">
        <v>11</v>
      </c>
      <c r="D766" s="6" t="s">
        <v>69</v>
      </c>
      <c r="E766" s="10" t="s">
        <v>9</v>
      </c>
      <c r="F766" s="8">
        <f>VLOOKUP(A766,Tutors!C:D,2,0)</f>
        <v>2875</v>
      </c>
      <c r="G766" s="8" t="str">
        <f>VLOOKUP(A766,Tutors!C:E,3,0)</f>
        <v>EG01-EG02-EG03-EG04-EG05-EG06</v>
      </c>
      <c r="H766" s="8" t="str">
        <f>VLOOKUP(A766,Tutors!A:F,6,0)</f>
        <v>dodym0883@gmail.com</v>
      </c>
      <c r="I766" s="8" t="str">
        <f>VLOOKUP(A766,Tutors!C:G,5,0)</f>
        <v>01207771809</v>
      </c>
      <c r="J766" s="8">
        <f>COUNTIFS(Active!C:C,A766)</f>
        <v>1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" t="s">
        <v>819</v>
      </c>
      <c r="B767" s="7">
        <f>VLOOKUP(A767,Tutors!A:B,2,0)</f>
        <v>294190482125</v>
      </c>
      <c r="C767" s="6" t="s">
        <v>11</v>
      </c>
      <c r="D767" s="6" t="s">
        <v>69</v>
      </c>
      <c r="E767" s="10" t="s">
        <v>9</v>
      </c>
      <c r="F767" s="8">
        <f>VLOOKUP(A767,Tutors!C:D,2,0)</f>
        <v>2871</v>
      </c>
      <c r="G767" s="8" t="str">
        <f>VLOOKUP(A767,Tutors!C:E,3,0)</f>
        <v>EG01-EG02-EG03-EG04-EG05-EG06-EG07</v>
      </c>
      <c r="H767" s="8" t="str">
        <f>VLOOKUP(A767,Tutors!A:F,6,0)</f>
        <v>nana.sasa253@gmail.com</v>
      </c>
      <c r="I767" s="8" t="str">
        <f>VLOOKUP(A767,Tutors!C:G,5,0)</f>
        <v>01210143366</v>
      </c>
      <c r="J767" s="8">
        <f>COUNTIFS(Active!C:C,A767)</f>
        <v>1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" t="s">
        <v>820</v>
      </c>
      <c r="B768" s="7">
        <f>VLOOKUP(A768,Tutors!A:B,2,0)</f>
        <v>659105912498</v>
      </c>
      <c r="C768" s="6" t="s">
        <v>477</v>
      </c>
      <c r="D768" s="6" t="s">
        <v>502</v>
      </c>
      <c r="E768" s="10" t="s">
        <v>9</v>
      </c>
      <c r="F768" s="8">
        <f>VLOOKUP(A768,Tutors!C:D,2,0)</f>
        <v>2859</v>
      </c>
      <c r="G768" s="8" t="str">
        <f>VLOOKUP(A768,Tutors!C:E,3,0)</f>
        <v>EG07-EG08-EG09-EG10</v>
      </c>
      <c r="H768" s="8" t="str">
        <f>VLOOKUP(A768,Tutors!A:F,6,0)</f>
        <v>hadeers.muhammad@gmail.com</v>
      </c>
      <c r="I768" s="8" t="str">
        <f>VLOOKUP(A768,Tutors!C:G,5,0)</f>
        <v/>
      </c>
      <c r="J768" s="8">
        <f>COUNTIFS(Active!C:C,A768)</f>
        <v>1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" t="s">
        <v>821</v>
      </c>
      <c r="B769" s="7">
        <f>VLOOKUP(A769,Tutors!A:B,2,0)</f>
        <v>674181974812</v>
      </c>
      <c r="C769" s="6" t="s">
        <v>86</v>
      </c>
      <c r="D769" s="6" t="s">
        <v>63</v>
      </c>
      <c r="E769" s="10" t="s">
        <v>9</v>
      </c>
      <c r="F769" s="8">
        <f>VLOOKUP(A769,Tutors!C:D,2,0)</f>
        <v>2861</v>
      </c>
      <c r="G769" s="8" t="str">
        <f>VLOOKUP(A769,Tutors!C:E,3,0)</f>
        <v>EG04-EG05-EG06-EG07</v>
      </c>
      <c r="H769" s="8" t="str">
        <f>VLOOKUP(A769,Tutors!A:F,6,0)</f>
        <v>ibrahemahmedd22@gmail.com</v>
      </c>
      <c r="I769" s="8" t="str">
        <f>VLOOKUP(A769,Tutors!C:G,5,0)</f>
        <v/>
      </c>
      <c r="J769" s="8">
        <f>COUNTIFS(Active!C:C,A769)</f>
        <v>1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" t="s">
        <v>822</v>
      </c>
      <c r="B770" s="7" t="str">
        <f>VLOOKUP(A770,Tutors!A:B,2,0)</f>
        <v>#N/A</v>
      </c>
      <c r="C770" s="6" t="s">
        <v>303</v>
      </c>
      <c r="D770" s="6" t="s">
        <v>69</v>
      </c>
      <c r="E770" s="6" t="s">
        <v>13</v>
      </c>
      <c r="F770" s="8" t="str">
        <f>VLOOKUP(A770,Tutors!C:D,2,0)</f>
        <v>#N/A</v>
      </c>
      <c r="G770" s="8" t="str">
        <f>VLOOKUP(A770,Tutors!C:E,3,0)</f>
        <v>#N/A</v>
      </c>
      <c r="H770" s="8" t="str">
        <f>VLOOKUP(A770,Tutors!A:F,6,0)</f>
        <v>#N/A</v>
      </c>
      <c r="I770" s="8" t="str">
        <f>VLOOKUP(A770,Tutors!C:G,5,0)</f>
        <v>#N/A</v>
      </c>
      <c r="J770" s="8">
        <f>COUNTIFS(Active!C:C,A770)</f>
        <v>0</v>
      </c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" t="s">
        <v>823</v>
      </c>
      <c r="B771" s="7" t="str">
        <f>VLOOKUP(A771,Tutors!A:B,2,0)</f>
        <v>#N/A</v>
      </c>
      <c r="C771" s="6" t="s">
        <v>11</v>
      </c>
      <c r="D771" s="6" t="s">
        <v>25</v>
      </c>
      <c r="E771" s="6" t="s">
        <v>13</v>
      </c>
      <c r="F771" s="8" t="str">
        <f>VLOOKUP(A771,Tutors!C:D,2,0)</f>
        <v>#N/A</v>
      </c>
      <c r="G771" s="8" t="str">
        <f>VLOOKUP(A771,Tutors!C:E,3,0)</f>
        <v>#N/A</v>
      </c>
      <c r="H771" s="8" t="str">
        <f>VLOOKUP(A771,Tutors!A:F,6,0)</f>
        <v>#N/A</v>
      </c>
      <c r="I771" s="8" t="str">
        <f>VLOOKUP(A771,Tutors!C:G,5,0)</f>
        <v>#N/A</v>
      </c>
      <c r="J771" s="8">
        <f>COUNTIFS(Active!C:C,A771)</f>
        <v>0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" t="s">
        <v>824</v>
      </c>
      <c r="B772" s="7">
        <f>VLOOKUP(A772,Tutors!A:B,2,0)</f>
        <v>108165797830</v>
      </c>
      <c r="C772" s="6" t="s">
        <v>303</v>
      </c>
      <c r="D772" s="6" t="s">
        <v>203</v>
      </c>
      <c r="E772" s="6" t="s">
        <v>13</v>
      </c>
      <c r="F772" s="8">
        <f>VLOOKUP(A772,Tutors!C:D,2,0)</f>
        <v>2862</v>
      </c>
      <c r="G772" s="8" t="str">
        <f>VLOOKUP(A772,Tutors!C:E,3,0)</f>
        <v>EG07-EG08-EG09</v>
      </c>
      <c r="H772" s="8" t="str">
        <f>VLOOKUP(A772,Tutors!A:F,6,0)</f>
        <v>fatma80002525@gmail.com</v>
      </c>
      <c r="I772" s="8" t="str">
        <f>VLOOKUP(A772,Tutors!C:G,5,0)</f>
        <v/>
      </c>
      <c r="J772" s="8">
        <f>COUNTIFS(Active!C:C,A772)</f>
        <v>0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" t="s">
        <v>825</v>
      </c>
      <c r="B773" s="7">
        <f>VLOOKUP(A773,Tutors!A:B,2,0)</f>
        <v>123143160627</v>
      </c>
      <c r="C773" s="6" t="s">
        <v>86</v>
      </c>
      <c r="D773" s="6" t="s">
        <v>69</v>
      </c>
      <c r="E773" s="10" t="s">
        <v>9</v>
      </c>
      <c r="F773" s="8">
        <f>VLOOKUP(A773,Tutors!C:D,2,0)</f>
        <v>2872</v>
      </c>
      <c r="G773" s="8" t="str">
        <f>VLOOKUP(A773,Tutors!C:E,3,0)</f>
        <v>EG04-EG05-EG06-EG07-EG08-EG09</v>
      </c>
      <c r="H773" s="8" t="str">
        <f>VLOOKUP(A773,Tutors!A:F,6,0)</f>
        <v>mohamedhady1851997@gmail.com</v>
      </c>
      <c r="I773" s="8" t="str">
        <f>VLOOKUP(A773,Tutors!C:G,5,0)</f>
        <v/>
      </c>
      <c r="J773" s="8">
        <f>COUNTIFS(Active!C:C,A773)</f>
        <v>1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" t="s">
        <v>826</v>
      </c>
      <c r="B774" s="7">
        <f>VLOOKUP(A774,Tutors!A:B,2,0)</f>
        <v>250173645161</v>
      </c>
      <c r="C774" s="6" t="s">
        <v>303</v>
      </c>
      <c r="D774" s="6" t="s">
        <v>203</v>
      </c>
      <c r="E774" s="6" t="s">
        <v>13</v>
      </c>
      <c r="F774" s="8">
        <f>VLOOKUP(A774,Tutors!C:D,2,0)</f>
        <v>2865</v>
      </c>
      <c r="G774" s="8" t="str">
        <f>VLOOKUP(A774,Tutors!C:E,3,0)</f>
        <v>EG07-EG08-EG09</v>
      </c>
      <c r="H774" s="8" t="str">
        <f>VLOOKUP(A774,Tutors!A:F,6,0)</f>
        <v>kokozanaty99@gmail.com</v>
      </c>
      <c r="I774" s="8" t="str">
        <f>VLOOKUP(A774,Tutors!C:G,5,0)</f>
        <v>01065706675</v>
      </c>
      <c r="J774" s="8">
        <f>COUNTIFS(Active!C:C,A774)</f>
        <v>0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" t="s">
        <v>827</v>
      </c>
      <c r="B775" s="7" t="str">
        <f>VLOOKUP(A775,Tutors!A:B,2,0)</f>
        <v>#N/A</v>
      </c>
      <c r="C775" s="6" t="s">
        <v>303</v>
      </c>
      <c r="D775" s="6" t="s">
        <v>69</v>
      </c>
      <c r="E775" s="6" t="s">
        <v>13</v>
      </c>
      <c r="F775" s="8" t="str">
        <f>VLOOKUP(A775,Tutors!C:D,2,0)</f>
        <v>#N/A</v>
      </c>
      <c r="G775" s="8" t="str">
        <f>VLOOKUP(A775,Tutors!C:E,3,0)</f>
        <v>#N/A</v>
      </c>
      <c r="H775" s="8" t="str">
        <f>VLOOKUP(A775,Tutors!A:F,6,0)</f>
        <v>#N/A</v>
      </c>
      <c r="I775" s="8" t="str">
        <f>VLOOKUP(A775,Tutors!C:G,5,0)</f>
        <v>#N/A</v>
      </c>
      <c r="J775" s="8">
        <f>COUNTIFS(Active!C:C,A775)</f>
        <v>0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5" t="s">
        <v>828</v>
      </c>
      <c r="B776" s="7">
        <f>VLOOKUP(A776,Tutors!A:B,2,0)</f>
        <v>170139615393</v>
      </c>
      <c r="C776" s="6" t="s">
        <v>11</v>
      </c>
      <c r="D776" s="6" t="s">
        <v>69</v>
      </c>
      <c r="E776" s="6" t="s">
        <v>13</v>
      </c>
      <c r="F776" s="8">
        <f>VLOOKUP(A776,Tutors!C:D,2,0)</f>
        <v>2876</v>
      </c>
      <c r="G776" s="8" t="str">
        <f>VLOOKUP(A776,Tutors!C:E,3,0)</f>
        <v>EG01-EG02-EG03</v>
      </c>
      <c r="H776" s="8" t="str">
        <f>VLOOKUP(A776,Tutors!A:F,6,0)</f>
        <v>delzeiry2000@gmail.com</v>
      </c>
      <c r="I776" s="8" t="str">
        <f>VLOOKUP(A776,Tutors!C:G,5,0)</f>
        <v/>
      </c>
      <c r="J776" s="8">
        <f>COUNTIFS(Active!C:C,A776)</f>
        <v>0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5" t="s">
        <v>829</v>
      </c>
      <c r="B777" s="7">
        <f>VLOOKUP(A777,Tutors!A:B,2,0)</f>
        <v>727101543915</v>
      </c>
      <c r="C777" s="6" t="s">
        <v>86</v>
      </c>
      <c r="D777" s="6" t="s">
        <v>47</v>
      </c>
      <c r="E777" s="10" t="s">
        <v>9</v>
      </c>
      <c r="F777" s="8">
        <f>VLOOKUP(A777,Tutors!C:D,2,0)</f>
        <v>2887</v>
      </c>
      <c r="G777" s="8" t="str">
        <f>VLOOKUP(A777,Tutors!C:E,3,0)</f>
        <v>EG04-EG05-EG06</v>
      </c>
      <c r="H777" s="8" t="str">
        <f>VLOOKUP(A777,Tutors!A:F,6,0)</f>
        <v>enjytalat@gmail.com</v>
      </c>
      <c r="I777" s="8" t="str">
        <f>VLOOKUP(A777,Tutors!C:G,5,0)</f>
        <v>0128 528 5779 </v>
      </c>
      <c r="J777" s="8">
        <f>COUNTIFS(Active!C:C,A777)</f>
        <v>1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5" t="s">
        <v>830</v>
      </c>
      <c r="B778" s="7">
        <f>VLOOKUP(A778,Tutors!A:B,2,0)</f>
        <v>670151585281</v>
      </c>
      <c r="C778" s="6" t="s">
        <v>86</v>
      </c>
      <c r="D778" s="6" t="s">
        <v>203</v>
      </c>
      <c r="E778" s="10" t="s">
        <v>9</v>
      </c>
      <c r="F778" s="8">
        <f>VLOOKUP(A778,Tutors!C:D,2,0)</f>
        <v>2884</v>
      </c>
      <c r="G778" s="8" t="str">
        <f>VLOOKUP(A778,Tutors!C:E,3,0)</f>
        <v>EG04-EG05</v>
      </c>
      <c r="H778" s="8" t="str">
        <f>VLOOKUP(A778,Tutors!A:F,6,0)</f>
        <v>halabdelaziz95@gmail.com</v>
      </c>
      <c r="I778" s="8" t="str">
        <f>VLOOKUP(A778,Tutors!C:G,5,0)</f>
        <v>01151535885</v>
      </c>
      <c r="J778" s="8">
        <f>COUNTIFS(Active!C:C,A778)</f>
        <v>1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5" t="s">
        <v>831</v>
      </c>
      <c r="B779" s="7" t="str">
        <f>VLOOKUP(A779,Tutors!A:B,2,0)</f>
        <v>#N/A</v>
      </c>
      <c r="C779" s="12" t="s">
        <v>303</v>
      </c>
      <c r="D779" s="12" t="s">
        <v>69</v>
      </c>
      <c r="E779" s="12" t="s">
        <v>13</v>
      </c>
      <c r="F779" s="8" t="str">
        <f>VLOOKUP(A779,Tutors!C:D,2,0)</f>
        <v>#N/A</v>
      </c>
      <c r="G779" s="8" t="str">
        <f>VLOOKUP(A779,Tutors!C:E,3,0)</f>
        <v>#N/A</v>
      </c>
      <c r="H779" s="8" t="str">
        <f>VLOOKUP(A779,Tutors!A:F,6,0)</f>
        <v>#N/A</v>
      </c>
      <c r="I779" s="8" t="str">
        <f>VLOOKUP(A779,Tutors!C:G,5,0)</f>
        <v>#N/A</v>
      </c>
      <c r="J779" s="8">
        <f>COUNTIFS(Active!C:C,A779)</f>
        <v>0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5" t="s">
        <v>832</v>
      </c>
      <c r="B780" s="7" t="str">
        <f>VLOOKUP(A780,Tutors!A:B,2,0)</f>
        <v>#N/A</v>
      </c>
      <c r="C780" s="12" t="s">
        <v>303</v>
      </c>
      <c r="D780" s="12" t="s">
        <v>203</v>
      </c>
      <c r="E780" s="12" t="s">
        <v>13</v>
      </c>
      <c r="F780" s="8" t="str">
        <f>VLOOKUP(A780,Tutors!C:D,2,0)</f>
        <v>#N/A</v>
      </c>
      <c r="G780" s="8" t="str">
        <f>VLOOKUP(A780,Tutors!C:E,3,0)</f>
        <v>#N/A</v>
      </c>
      <c r="H780" s="8" t="str">
        <f>VLOOKUP(A780,Tutors!A:F,6,0)</f>
        <v>#N/A</v>
      </c>
      <c r="I780" s="8" t="str">
        <f>VLOOKUP(A780,Tutors!C:G,5,0)</f>
        <v>#N/A</v>
      </c>
      <c r="J780" s="8">
        <f>COUNTIFS(Active!C:C,A780)</f>
        <v>0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5" t="s">
        <v>833</v>
      </c>
      <c r="B781" s="7" t="str">
        <f>VLOOKUP(A781,Tutors!A:B,2,0)</f>
        <v>#N/A</v>
      </c>
      <c r="C781" s="12" t="s">
        <v>11</v>
      </c>
      <c r="D781" s="12" t="s">
        <v>69</v>
      </c>
      <c r="E781" s="12" t="s">
        <v>13</v>
      </c>
      <c r="F781" s="8" t="str">
        <f>VLOOKUP(A781,Tutors!C:D,2,0)</f>
        <v>#N/A</v>
      </c>
      <c r="G781" s="8" t="str">
        <f>VLOOKUP(A781,Tutors!C:E,3,0)</f>
        <v>#N/A</v>
      </c>
      <c r="H781" s="8" t="str">
        <f>VLOOKUP(A781,Tutors!A:F,6,0)</f>
        <v>#N/A</v>
      </c>
      <c r="I781" s="8" t="str">
        <f>VLOOKUP(A781,Tutors!C:G,5,0)</f>
        <v>#N/A</v>
      </c>
      <c r="J781" s="8">
        <f>COUNTIFS(Active!C:C,A781)</f>
        <v>0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5" t="s">
        <v>834</v>
      </c>
      <c r="B782" s="7" t="str">
        <f>VLOOKUP(A782,Tutors!A:B,2,0)</f>
        <v>#N/A</v>
      </c>
      <c r="C782" s="12" t="s">
        <v>86</v>
      </c>
      <c r="D782" s="12" t="s">
        <v>172</v>
      </c>
      <c r="E782" s="12" t="s">
        <v>13</v>
      </c>
      <c r="F782" s="8" t="str">
        <f>VLOOKUP(A782,Tutors!C:D,2,0)</f>
        <v>#N/A</v>
      </c>
      <c r="G782" s="8" t="str">
        <f>VLOOKUP(A782,Tutors!C:E,3,0)</f>
        <v>#N/A</v>
      </c>
      <c r="H782" s="8" t="str">
        <f>VLOOKUP(A782,Tutors!A:F,6,0)</f>
        <v>#N/A</v>
      </c>
      <c r="I782" s="8" t="str">
        <f>VLOOKUP(A782,Tutors!C:G,5,0)</f>
        <v>#N/A</v>
      </c>
      <c r="J782" s="8">
        <f>COUNTIFS(Active!C:C,A782)</f>
        <v>0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5" t="s">
        <v>835</v>
      </c>
      <c r="B783" s="7" t="str">
        <f>VLOOKUP(A783,Tutors!A:B,2,0)</f>
        <v>#N/A</v>
      </c>
      <c r="C783" s="12" t="s">
        <v>477</v>
      </c>
      <c r="D783" s="12" t="s">
        <v>25</v>
      </c>
      <c r="E783" s="12" t="s">
        <v>13</v>
      </c>
      <c r="F783" s="8" t="str">
        <f>VLOOKUP(A783,Tutors!C:D,2,0)</f>
        <v>#N/A</v>
      </c>
      <c r="G783" s="8" t="str">
        <f>VLOOKUP(A783,Tutors!C:E,3,0)</f>
        <v>#N/A</v>
      </c>
      <c r="H783" s="8" t="str">
        <f>VLOOKUP(A783,Tutors!A:F,6,0)</f>
        <v>#N/A</v>
      </c>
      <c r="I783" s="8" t="str">
        <f>VLOOKUP(A783,Tutors!C:G,5,0)</f>
        <v>#N/A</v>
      </c>
      <c r="J783" s="8">
        <f>COUNTIFS(Active!C:C,A783)</f>
        <v>0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5" t="s">
        <v>836</v>
      </c>
      <c r="B784" s="7" t="str">
        <f>VLOOKUP(A784,Tutors!A:B,2,0)</f>
        <v>#N/A</v>
      </c>
      <c r="C784" s="12" t="s">
        <v>86</v>
      </c>
      <c r="D784" s="12" t="s">
        <v>69</v>
      </c>
      <c r="E784" s="12" t="s">
        <v>13</v>
      </c>
      <c r="F784" s="8" t="str">
        <f>VLOOKUP(A784,Tutors!C:D,2,0)</f>
        <v>#N/A</v>
      </c>
      <c r="G784" s="8" t="str">
        <f>VLOOKUP(A784,Tutors!C:E,3,0)</f>
        <v>#N/A</v>
      </c>
      <c r="H784" s="8" t="str">
        <f>VLOOKUP(A784,Tutors!A:F,6,0)</f>
        <v>#N/A</v>
      </c>
      <c r="I784" s="8" t="str">
        <f>VLOOKUP(A784,Tutors!C:G,5,0)</f>
        <v>#N/A</v>
      </c>
      <c r="J784" s="8">
        <f>COUNTIFS(Active!C:C,A784)</f>
        <v>0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5" t="s">
        <v>837</v>
      </c>
      <c r="B785" s="7">
        <f>VLOOKUP(A785,Tutors!A:B,2,0)</f>
        <v>537178629327</v>
      </c>
      <c r="C785" s="12" t="s">
        <v>303</v>
      </c>
      <c r="D785" s="12" t="s">
        <v>69</v>
      </c>
      <c r="E785" s="12" t="s">
        <v>13</v>
      </c>
      <c r="F785" s="8">
        <f>VLOOKUP(A785,Tutors!C:D,2,0)</f>
        <v>2844</v>
      </c>
      <c r="G785" s="8" t="str">
        <f>VLOOKUP(A785,Tutors!C:E,3,0)</f>
        <v>EG07-EG08-EG09</v>
      </c>
      <c r="H785" s="8" t="str">
        <f>VLOOKUP(A785,Tutors!A:F,6,0)</f>
        <v>amrr4313@gmail.com</v>
      </c>
      <c r="I785" s="8" t="str">
        <f>VLOOKUP(A785,Tutors!C:G,5,0)</f>
        <v/>
      </c>
      <c r="J785" s="8">
        <f>COUNTIFS(Active!C:C,A785)</f>
        <v>0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5" t="s">
        <v>838</v>
      </c>
      <c r="B786" s="7">
        <f>VLOOKUP(A786,Tutors!A:B,2,0)</f>
        <v>682163541567</v>
      </c>
      <c r="C786" s="12" t="s">
        <v>303</v>
      </c>
      <c r="D786" s="12" t="s">
        <v>69</v>
      </c>
      <c r="E786" s="12" t="s">
        <v>13</v>
      </c>
      <c r="F786" s="8">
        <f>VLOOKUP(A786,Tutors!C:D,2,0)</f>
        <v>2885</v>
      </c>
      <c r="G786" s="8" t="str">
        <f>VLOOKUP(A786,Tutors!C:E,3,0)</f>
        <v>EG07-EG08-EG09</v>
      </c>
      <c r="H786" s="8" t="str">
        <f>VLOOKUP(A786,Tutors!A:F,6,0)</f>
        <v>yasserkaood75@gmail.com</v>
      </c>
      <c r="I786" s="8" t="str">
        <f>VLOOKUP(A786,Tutors!C:G,5,0)</f>
        <v/>
      </c>
      <c r="J786" s="8">
        <f>COUNTIFS(Active!C:C,A786)</f>
        <v>0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5" t="s">
        <v>839</v>
      </c>
      <c r="B787" s="7">
        <f>VLOOKUP(A787,Tutors!A:B,2,0)</f>
        <v>573105931679</v>
      </c>
      <c r="C787" s="12" t="s">
        <v>86</v>
      </c>
      <c r="D787" s="12" t="s">
        <v>69</v>
      </c>
      <c r="E787" s="10" t="s">
        <v>9</v>
      </c>
      <c r="F787" s="8">
        <f>VLOOKUP(A787,Tutors!C:D,2,0)</f>
        <v>2882</v>
      </c>
      <c r="G787" s="8" t="str">
        <f>VLOOKUP(A787,Tutors!C:E,3,0)</f>
        <v>EG04-EG05-EG06-EG07-EG08-EG09</v>
      </c>
      <c r="H787" s="8" t="str">
        <f>VLOOKUP(A787,Tutors!A:F,6,0)</f>
        <v>mhmd.hassan4483@gmail.com</v>
      </c>
      <c r="I787" s="8" t="str">
        <f>VLOOKUP(A787,Tutors!C:G,5,0)</f>
        <v>01021950377</v>
      </c>
      <c r="J787" s="8">
        <f>COUNTIFS(Active!C:C,A787)</f>
        <v>1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5" t="s">
        <v>840</v>
      </c>
      <c r="B788" s="7" t="str">
        <f>VLOOKUP(A788,Tutors!A:B,2,0)</f>
        <v>#N/A</v>
      </c>
      <c r="C788" s="12" t="s">
        <v>86</v>
      </c>
      <c r="D788" s="12" t="s">
        <v>203</v>
      </c>
      <c r="E788" s="12" t="s">
        <v>13</v>
      </c>
      <c r="F788" s="8" t="str">
        <f>VLOOKUP(A788,Tutors!C:D,2,0)</f>
        <v>#N/A</v>
      </c>
      <c r="G788" s="8" t="str">
        <f>VLOOKUP(A788,Tutors!C:E,3,0)</f>
        <v>#N/A</v>
      </c>
      <c r="H788" s="8" t="str">
        <f>VLOOKUP(A788,Tutors!A:F,6,0)</f>
        <v>#N/A</v>
      </c>
      <c r="I788" s="8" t="str">
        <f>VLOOKUP(A788,Tutors!C:G,5,0)</f>
        <v>#N/A</v>
      </c>
      <c r="J788" s="8">
        <f>COUNTIFS(Active!C:C,A788)</f>
        <v>0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5" t="s">
        <v>841</v>
      </c>
      <c r="B789" s="7">
        <f>VLOOKUP(A789,Tutors!A:B,2,0)</f>
        <v>904156949325</v>
      </c>
      <c r="C789" s="8" t="s">
        <v>303</v>
      </c>
      <c r="D789" s="8" t="s">
        <v>172</v>
      </c>
      <c r="E789" s="12" t="s">
        <v>13</v>
      </c>
      <c r="F789" s="8">
        <f>VLOOKUP(A789,Tutors!C:D,2,0)</f>
        <v>2892</v>
      </c>
      <c r="G789" s="8" t="str">
        <f>VLOOKUP(A789,Tutors!C:E,3,0)</f>
        <v>EG04-EG05-EG06-EG07-EG08-EG09</v>
      </c>
      <c r="H789" s="8" t="str">
        <f>VLOOKUP(A789,Tutors!A:F,6,0)</f>
        <v>shimaaelssyed8@gmail.com</v>
      </c>
      <c r="I789" s="8" t="str">
        <f>VLOOKUP(A789,Tutors!C:G,5,0)</f>
        <v/>
      </c>
      <c r="J789" s="8">
        <f>COUNTIFS(Active!C:C,A789)</f>
        <v>0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5" t="s">
        <v>842</v>
      </c>
      <c r="B790" s="7">
        <f>VLOOKUP(A790,Tutors!A:B,2,0)</f>
        <v>390108317593</v>
      </c>
      <c r="C790" s="8" t="s">
        <v>477</v>
      </c>
      <c r="D790" s="8" t="s">
        <v>502</v>
      </c>
      <c r="E790" s="12" t="s">
        <v>13</v>
      </c>
      <c r="F790" s="8">
        <f>VLOOKUP(A790,Tutors!C:D,2,0)</f>
        <v>2883</v>
      </c>
      <c r="G790" s="8" t="str">
        <f>VLOOKUP(A790,Tutors!C:E,3,0)</f>
        <v>EG10</v>
      </c>
      <c r="H790" s="8" t="str">
        <f>VLOOKUP(A790,Tutors!A:F,6,0)</f>
        <v>mustafa.oth.ahmed@gmail.com</v>
      </c>
      <c r="I790" s="8" t="str">
        <f>VLOOKUP(A790,Tutors!C:G,5,0)</f>
        <v/>
      </c>
      <c r="J790" s="8">
        <f>COUNTIFS(Active!C:C,A790)</f>
        <v>0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5" t="s">
        <v>843</v>
      </c>
      <c r="B791" s="7">
        <f>VLOOKUP(A791,Tutors!A:B,2,0)</f>
        <v>596145367638</v>
      </c>
      <c r="C791" s="8" t="s">
        <v>86</v>
      </c>
      <c r="D791" s="8" t="s">
        <v>172</v>
      </c>
      <c r="E791" s="10" t="s">
        <v>9</v>
      </c>
      <c r="F791" s="8">
        <f>VLOOKUP(A791,Tutors!C:D,2,0)</f>
        <v>2708</v>
      </c>
      <c r="G791" s="8" t="str">
        <f>VLOOKUP(A791,Tutors!C:E,3,0)</f>
        <v>EG04-EG05-EG06</v>
      </c>
      <c r="H791" s="8" t="str">
        <f>VLOOKUP(A791,Tutors!A:F,6,0)</f>
        <v>fatma.ashraf2344@gmail.com</v>
      </c>
      <c r="I791" s="8" t="str">
        <f>VLOOKUP(A791,Tutors!C:G,5,0)</f>
        <v>01017852729</v>
      </c>
      <c r="J791" s="8">
        <f>COUNTIFS(Active!C:C,A791)</f>
        <v>1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5" t="s">
        <v>844</v>
      </c>
      <c r="B792" s="7" t="str">
        <f>VLOOKUP(A792,Tutors!A:B,2,0)</f>
        <v>#N/A</v>
      </c>
      <c r="C792" s="8" t="s">
        <v>11</v>
      </c>
      <c r="D792" s="8" t="s">
        <v>69</v>
      </c>
      <c r="E792" s="12" t="s">
        <v>13</v>
      </c>
      <c r="F792" s="8" t="str">
        <f>VLOOKUP(A792,Tutors!C:D,2,0)</f>
        <v>#N/A</v>
      </c>
      <c r="G792" s="8" t="str">
        <f>VLOOKUP(A792,Tutors!C:E,3,0)</f>
        <v>#N/A</v>
      </c>
      <c r="H792" s="8" t="str">
        <f>VLOOKUP(A792,Tutors!A:F,6,0)</f>
        <v>#N/A</v>
      </c>
      <c r="I792" s="8" t="str">
        <f>VLOOKUP(A792,Tutors!C:G,5,0)</f>
        <v>#N/A</v>
      </c>
      <c r="J792" s="8">
        <f>COUNTIFS(Active!C:C,A792)</f>
        <v>0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 t="s">
        <v>845</v>
      </c>
      <c r="B793" s="7">
        <f>VLOOKUP(A793,Tutors!A:B,2,0)</f>
        <v>673187402047</v>
      </c>
      <c r="C793" s="8" t="s">
        <v>86</v>
      </c>
      <c r="D793" s="8" t="s">
        <v>203</v>
      </c>
      <c r="E793" s="12" t="s">
        <v>13</v>
      </c>
      <c r="F793" s="8" t="str">
        <f>VLOOKUP(A793,Tutors!C:D,2,0)</f>
        <v/>
      </c>
      <c r="G793" s="8" t="str">
        <f>VLOOKUP(A793,Tutors!C:E,3,0)</f>
        <v>EG04-EG05-EG06</v>
      </c>
      <c r="H793" s="8" t="str">
        <f>VLOOKUP(A793,Tutors!A:F,6,0)</f>
        <v>dodo.adel62@gmail.com</v>
      </c>
      <c r="I793" s="8" t="str">
        <f>VLOOKUP(A793,Tutors!C:G,5,0)</f>
        <v/>
      </c>
      <c r="J793" s="8">
        <f>COUNTIFS(Active!C:C,A793)</f>
        <v>0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5" t="s">
        <v>846</v>
      </c>
      <c r="B794" s="7" t="str">
        <f>VLOOKUP(A794,Tutors!A:B,2,0)</f>
        <v>#N/A</v>
      </c>
      <c r="C794" s="8" t="s">
        <v>86</v>
      </c>
      <c r="D794" s="8" t="s">
        <v>203</v>
      </c>
      <c r="E794" s="12" t="s">
        <v>13</v>
      </c>
      <c r="F794" s="8" t="str">
        <f>VLOOKUP(A794,Tutors!C:D,2,0)</f>
        <v>#N/A</v>
      </c>
      <c r="G794" s="8" t="str">
        <f>VLOOKUP(A794,Tutors!C:E,3,0)</f>
        <v>#N/A</v>
      </c>
      <c r="H794" s="8" t="str">
        <f>VLOOKUP(A794,Tutors!A:F,6,0)</f>
        <v>#N/A</v>
      </c>
      <c r="I794" s="8" t="str">
        <f>VLOOKUP(A794,Tutors!C:G,5,0)</f>
        <v>#N/A</v>
      </c>
      <c r="J794" s="8">
        <f>COUNTIFS(Active!C:C,A794)</f>
        <v>0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5" t="s">
        <v>847</v>
      </c>
      <c r="B795" s="7" t="str">
        <f>VLOOKUP(A795,Tutors!A:B,2,0)</f>
        <v>#N/A</v>
      </c>
      <c r="C795" s="8" t="s">
        <v>11</v>
      </c>
      <c r="D795" s="8" t="s">
        <v>25</v>
      </c>
      <c r="E795" s="12" t="s">
        <v>13</v>
      </c>
      <c r="F795" s="8" t="str">
        <f>VLOOKUP(A795,Tutors!C:D,2,0)</f>
        <v>#N/A</v>
      </c>
      <c r="G795" s="8" t="str">
        <f>VLOOKUP(A795,Tutors!C:E,3,0)</f>
        <v>#N/A</v>
      </c>
      <c r="H795" s="8" t="str">
        <f>VLOOKUP(A795,Tutors!A:F,6,0)</f>
        <v>#N/A</v>
      </c>
      <c r="I795" s="8" t="str">
        <f>VLOOKUP(A795,Tutors!C:G,5,0)</f>
        <v>#N/A</v>
      </c>
      <c r="J795" s="8">
        <f>COUNTIFS(Active!C:C,A795)</f>
        <v>0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5" t="s">
        <v>848</v>
      </c>
      <c r="B796" s="7" t="str">
        <f>VLOOKUP(A796,Tutors!A:B,2,0)</f>
        <v>#N/A</v>
      </c>
      <c r="C796" s="8" t="s">
        <v>11</v>
      </c>
      <c r="D796" s="8" t="s">
        <v>25</v>
      </c>
      <c r="E796" s="12" t="s">
        <v>13</v>
      </c>
      <c r="F796" s="8" t="str">
        <f>VLOOKUP(A796,Tutors!C:D,2,0)</f>
        <v>#N/A</v>
      </c>
      <c r="G796" s="8" t="str">
        <f>VLOOKUP(A796,Tutors!C:E,3,0)</f>
        <v>#N/A</v>
      </c>
      <c r="H796" s="8" t="str">
        <f>VLOOKUP(A796,Tutors!A:F,6,0)</f>
        <v>#N/A</v>
      </c>
      <c r="I796" s="8" t="str">
        <f>VLOOKUP(A796,Tutors!C:G,5,0)</f>
        <v>#N/A</v>
      </c>
      <c r="J796" s="8">
        <f>COUNTIFS(Active!C:C,A796)</f>
        <v>0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5" t="s">
        <v>849</v>
      </c>
      <c r="B797" s="7">
        <f>VLOOKUP(A797,Tutors!A:B,2,0)</f>
        <v>526107327427</v>
      </c>
      <c r="C797" s="8" t="s">
        <v>86</v>
      </c>
      <c r="D797" s="8" t="s">
        <v>172</v>
      </c>
      <c r="E797" s="12" t="s">
        <v>13</v>
      </c>
      <c r="F797" s="8" t="str">
        <f>VLOOKUP(A797,Tutors!C:D,2,0)</f>
        <v/>
      </c>
      <c r="G797" s="8" t="str">
        <f>VLOOKUP(A797,Tutors!C:E,3,0)</f>
        <v>EG04-EG05-EG06</v>
      </c>
      <c r="H797" s="8" t="str">
        <f>VLOOKUP(A797,Tutors!A:F,6,0)</f>
        <v>nourhanyoussef264@gmail.com</v>
      </c>
      <c r="I797" s="8" t="str">
        <f>VLOOKUP(A797,Tutors!C:G,5,0)</f>
        <v/>
      </c>
      <c r="J797" s="8">
        <f>COUNTIFS(Active!C:C,A797)</f>
        <v>0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5" t="s">
        <v>850</v>
      </c>
      <c r="B798" s="7">
        <f>VLOOKUP(A798,Tutors!A:B,2,0)</f>
        <v>752176542746</v>
      </c>
      <c r="C798" s="8" t="s">
        <v>11</v>
      </c>
      <c r="D798" s="8" t="s">
        <v>69</v>
      </c>
      <c r="E798" s="12" t="s">
        <v>13</v>
      </c>
      <c r="F798" s="8" t="str">
        <f>VLOOKUP(A798,Tutors!C:D,2,0)</f>
        <v/>
      </c>
      <c r="G798" s="8" t="str">
        <f>VLOOKUP(A798,Tutors!C:E,3,0)</f>
        <v>EG01-EG02-EG03-EG04-EG05-EG06</v>
      </c>
      <c r="H798" s="8" t="str">
        <f>VLOOKUP(A798,Tutors!A:F,6,0)</f>
        <v>mm2014242@gmail.com</v>
      </c>
      <c r="I798" s="8" t="str">
        <f>VLOOKUP(A798,Tutors!C:G,5,0)</f>
        <v>01229167919- 01061306312</v>
      </c>
      <c r="J798" s="8">
        <f>COUNTIFS(Active!C:C,A798)</f>
        <v>0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5" t="s">
        <v>851</v>
      </c>
      <c r="B799" s="7">
        <f>VLOOKUP(A799,Tutors!A:B,2,0)</f>
        <v>950159030454</v>
      </c>
      <c r="C799" s="8" t="s">
        <v>86</v>
      </c>
      <c r="D799" s="8" t="s">
        <v>203</v>
      </c>
      <c r="E799" s="12" t="s">
        <v>13</v>
      </c>
      <c r="F799" s="8" t="str">
        <f>VLOOKUP(A799,Tutors!C:D,2,0)</f>
        <v/>
      </c>
      <c r="G799" s="8" t="str">
        <f>VLOOKUP(A799,Tutors!C:E,3,0)</f>
        <v>EG04-EG05-EG06</v>
      </c>
      <c r="H799" s="8" t="str">
        <f>VLOOKUP(A799,Tutors!A:F,6,0)</f>
        <v>islam.elhusseinyy@gmail.com</v>
      </c>
      <c r="I799" s="8" t="str">
        <f>VLOOKUP(A799,Tutors!C:G,5,0)</f>
        <v/>
      </c>
      <c r="J799" s="8">
        <f>COUNTIFS(Active!C:C,A799)</f>
        <v>0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5" t="s">
        <v>852</v>
      </c>
      <c r="B800" s="7" t="str">
        <f>VLOOKUP(A800,Tutors!A:B,2,0)</f>
        <v>#N/A</v>
      </c>
      <c r="C800" s="8" t="s">
        <v>303</v>
      </c>
      <c r="D800" s="8" t="s">
        <v>69</v>
      </c>
      <c r="E800" s="12" t="s">
        <v>13</v>
      </c>
      <c r="F800" s="8" t="str">
        <f>VLOOKUP(A800,Tutors!C:D,2,0)</f>
        <v>#N/A</v>
      </c>
      <c r="G800" s="8" t="str">
        <f>VLOOKUP(A800,Tutors!C:E,3,0)</f>
        <v>#N/A</v>
      </c>
      <c r="H800" s="8" t="str">
        <f>VLOOKUP(A800,Tutors!A:F,6,0)</f>
        <v>#N/A</v>
      </c>
      <c r="I800" s="8" t="str">
        <f>VLOOKUP(A800,Tutors!C:G,5,0)</f>
        <v>#N/A</v>
      </c>
      <c r="J800" s="8">
        <f>COUNTIFS(Active!C:C,A800)</f>
        <v>0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5" t="s">
        <v>853</v>
      </c>
      <c r="B801" s="7">
        <f>VLOOKUP(A801,Tutors!A:B,2,0)</f>
        <v>618103789532</v>
      </c>
      <c r="C801" s="8" t="s">
        <v>303</v>
      </c>
      <c r="D801" s="8" t="s">
        <v>25</v>
      </c>
      <c r="E801" s="12" t="s">
        <v>13</v>
      </c>
      <c r="F801" s="8" t="str">
        <f>VLOOKUP(A801,Tutors!C:D,2,0)</f>
        <v/>
      </c>
      <c r="G801" s="8" t="str">
        <f>VLOOKUP(A801,Tutors!C:E,3,0)</f>
        <v>EG07-EG08-EG09-EG10-EG11</v>
      </c>
      <c r="H801" s="8" t="str">
        <f>VLOOKUP(A801,Tutors!A:F,6,0)</f>
        <v>salehsamir865@gmail.com</v>
      </c>
      <c r="I801" s="8" t="str">
        <f>VLOOKUP(A801,Tutors!C:G,5,0)</f>
        <v/>
      </c>
      <c r="J801" s="8">
        <f>COUNTIFS(Active!C:C,A801)</f>
        <v>0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 t="s">
        <v>854</v>
      </c>
      <c r="B802" s="7" t="str">
        <f>VLOOKUP(A802,Tutors!A:B,2,0)</f>
        <v>#N/A</v>
      </c>
      <c r="C802" s="8" t="s">
        <v>86</v>
      </c>
      <c r="D802" s="8" t="s">
        <v>69</v>
      </c>
      <c r="E802" s="12" t="s">
        <v>13</v>
      </c>
      <c r="F802" s="8" t="str">
        <f>VLOOKUP(A802,Tutors!C:D,2,0)</f>
        <v>#N/A</v>
      </c>
      <c r="G802" s="8" t="str">
        <f>VLOOKUP(A802,Tutors!C:E,3,0)</f>
        <v>#N/A</v>
      </c>
      <c r="H802" s="8" t="str">
        <f>VLOOKUP(A802,Tutors!A:F,6,0)</f>
        <v>#N/A</v>
      </c>
      <c r="I802" s="8" t="str">
        <f>VLOOKUP(A802,Tutors!C:G,5,0)</f>
        <v>#N/A</v>
      </c>
      <c r="J802" s="8">
        <f>COUNTIFS(Active!C:C,A802)</f>
        <v>0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5" t="s">
        <v>855</v>
      </c>
      <c r="B803" s="7">
        <f>VLOOKUP(A803,Tutors!A:B,2,0)</f>
        <v>917186898325</v>
      </c>
      <c r="C803" s="8" t="s">
        <v>86</v>
      </c>
      <c r="D803" s="8" t="s">
        <v>69</v>
      </c>
      <c r="E803" s="12" t="s">
        <v>13</v>
      </c>
      <c r="F803" s="8">
        <f>VLOOKUP(A803,Tutors!C:D,2,0)</f>
        <v>2896</v>
      </c>
      <c r="G803" s="8" t="str">
        <f>VLOOKUP(A803,Tutors!C:E,3,0)</f>
        <v>EG04-EG05-EG06-EG07-EG08-EG09</v>
      </c>
      <c r="H803" s="8" t="str">
        <f>VLOOKUP(A803,Tutors!A:F,6,0)</f>
        <v>mostafa.mo.ashour@gmail.com</v>
      </c>
      <c r="I803" s="8" t="str">
        <f>VLOOKUP(A803,Tutors!C:G,5,0)</f>
        <v/>
      </c>
      <c r="J803" s="8">
        <f>COUNTIFS(Active!C:C,A803)</f>
        <v>0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5" t="s">
        <v>856</v>
      </c>
      <c r="B804" s="7" t="str">
        <f>VLOOKUP(A804,Tutors!A:B,2,0)</f>
        <v>#N/A</v>
      </c>
      <c r="C804" s="8" t="s">
        <v>86</v>
      </c>
      <c r="D804" s="8" t="s">
        <v>63</v>
      </c>
      <c r="E804" s="12" t="s">
        <v>13</v>
      </c>
      <c r="F804" s="8" t="str">
        <f>VLOOKUP(A804,Tutors!C:D,2,0)</f>
        <v>#N/A</v>
      </c>
      <c r="G804" s="8" t="str">
        <f>VLOOKUP(A804,Tutors!C:E,3,0)</f>
        <v>#N/A</v>
      </c>
      <c r="H804" s="8" t="str">
        <f>VLOOKUP(A804,Tutors!A:F,6,0)</f>
        <v>#N/A</v>
      </c>
      <c r="I804" s="8" t="str">
        <f>VLOOKUP(A804,Tutors!C:G,5,0)</f>
        <v>#N/A</v>
      </c>
      <c r="J804" s="8">
        <f>COUNTIFS(Active!C:C,A804)</f>
        <v>0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 t="s">
        <v>857</v>
      </c>
      <c r="B805" s="7" t="str">
        <f>VLOOKUP(A805,Tutors!A:B,2,0)</f>
        <v>#N/A</v>
      </c>
      <c r="C805" s="8" t="s">
        <v>11</v>
      </c>
      <c r="D805" s="8" t="s">
        <v>47</v>
      </c>
      <c r="E805" s="12" t="s">
        <v>13</v>
      </c>
      <c r="F805" s="8" t="str">
        <f>VLOOKUP(A805,Tutors!C:D,2,0)</f>
        <v>#N/A</v>
      </c>
      <c r="G805" s="8" t="str">
        <f>VLOOKUP(A805,Tutors!C:E,3,0)</f>
        <v>#N/A</v>
      </c>
      <c r="H805" s="8" t="str">
        <f>VLOOKUP(A805,Tutors!A:F,6,0)</f>
        <v>#N/A</v>
      </c>
      <c r="I805" s="8" t="str">
        <f>VLOOKUP(A805,Tutors!C:G,5,0)</f>
        <v>#N/A</v>
      </c>
      <c r="J805" s="8">
        <f>COUNTIFS(Active!C:C,A805)</f>
        <v>0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5" t="s">
        <v>858</v>
      </c>
      <c r="B806" s="7">
        <f>VLOOKUP(A806,Tutors!A:B,2,0)</f>
        <v>717102470564</v>
      </c>
      <c r="C806" s="8" t="s">
        <v>477</v>
      </c>
      <c r="D806" s="8" t="s">
        <v>502</v>
      </c>
      <c r="E806" s="12" t="s">
        <v>13</v>
      </c>
      <c r="F806" s="8">
        <f>VLOOKUP(A806,Tutors!C:D,2,0)</f>
        <v>2894</v>
      </c>
      <c r="G806" s="8" t="str">
        <f>VLOOKUP(A806,Tutors!C:E,3,0)</f>
        <v>EG10</v>
      </c>
      <c r="H806" s="8" t="str">
        <f>VLOOKUP(A806,Tutors!A:F,6,0)</f>
        <v>rannahesham123@gmail.com</v>
      </c>
      <c r="I806" s="8" t="str">
        <f>VLOOKUP(A806,Tutors!C:G,5,0)</f>
        <v>01092389912</v>
      </c>
      <c r="J806" s="8">
        <f>COUNTIFS(Active!C:C,A806)</f>
        <v>0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5" t="s">
        <v>859</v>
      </c>
      <c r="B807" s="7">
        <f>VLOOKUP(A807,Tutors!A:B,2,0)</f>
        <v>976160713507</v>
      </c>
      <c r="C807" s="8" t="s">
        <v>11</v>
      </c>
      <c r="D807" s="8" t="s">
        <v>25</v>
      </c>
      <c r="E807" s="12" t="s">
        <v>13</v>
      </c>
      <c r="F807" s="8">
        <f>VLOOKUP(A807,Tutors!C:D,2,0)</f>
        <v>2898</v>
      </c>
      <c r="G807" s="8" t="str">
        <f>VLOOKUP(A807,Tutors!C:E,3,0)</f>
        <v>EG01-EG02-EG03</v>
      </c>
      <c r="H807" s="8" t="str">
        <f>VLOOKUP(A807,Tutors!A:F,6,0)</f>
        <v>merna.maher24@yahoo.com</v>
      </c>
      <c r="I807" s="8" t="str">
        <f>VLOOKUP(A807,Tutors!C:G,5,0)</f>
        <v/>
      </c>
      <c r="J807" s="8">
        <f>COUNTIFS(Active!C:C,A807)</f>
        <v>0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5" t="s">
        <v>860</v>
      </c>
      <c r="B808" s="7">
        <f>VLOOKUP(A808,Tutors!A:B,2,0)</f>
        <v>546150694104</v>
      </c>
      <c r="C808" s="8" t="s">
        <v>11</v>
      </c>
      <c r="D808" s="8" t="s">
        <v>69</v>
      </c>
      <c r="E808" s="12" t="s">
        <v>13</v>
      </c>
      <c r="F808" s="8" t="str">
        <f>VLOOKUP(A808,Tutors!C:D,2,0)</f>
        <v/>
      </c>
      <c r="G808" s="8" t="str">
        <f>VLOOKUP(A808,Tutors!C:E,3,0)</f>
        <v>EG01-EG02-EG03</v>
      </c>
      <c r="H808" s="8" t="str">
        <f>VLOOKUP(A808,Tutors!A:F,6,0)</f>
        <v>m.muhamma13190@gmail.com</v>
      </c>
      <c r="I808" s="8" t="str">
        <f>VLOOKUP(A808,Tutors!C:G,5,0)</f>
        <v/>
      </c>
      <c r="J808" s="8">
        <f>COUNTIFS(Active!C:C,A808)</f>
        <v>0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5" t="s">
        <v>861</v>
      </c>
      <c r="B809" s="7" t="str">
        <f>VLOOKUP(A809,Tutors!A:B,2,0)</f>
        <v>#N/A</v>
      </c>
      <c r="C809" s="8" t="s">
        <v>86</v>
      </c>
      <c r="D809" s="8" t="s">
        <v>172</v>
      </c>
      <c r="E809" s="12" t="s">
        <v>13</v>
      </c>
      <c r="F809" s="8" t="str">
        <f>VLOOKUP(A809,Tutors!C:D,2,0)</f>
        <v>#N/A</v>
      </c>
      <c r="G809" s="8" t="str">
        <f>VLOOKUP(A809,Tutors!C:E,3,0)</f>
        <v>#N/A</v>
      </c>
      <c r="H809" s="8" t="str">
        <f>VLOOKUP(A809,Tutors!A:F,6,0)</f>
        <v>#N/A</v>
      </c>
      <c r="I809" s="8" t="str">
        <f>VLOOKUP(A809,Tutors!C:G,5,0)</f>
        <v>#N/A</v>
      </c>
      <c r="J809" s="8">
        <f>COUNTIFS(Active!C:C,A809)</f>
        <v>0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5" t="s">
        <v>862</v>
      </c>
      <c r="B810" s="7" t="str">
        <f>VLOOKUP(A810,Tutors!A:B,2,0)</f>
        <v>#N/A</v>
      </c>
      <c r="C810" s="12" t="s">
        <v>303</v>
      </c>
      <c r="D810" s="12" t="s">
        <v>203</v>
      </c>
      <c r="E810" s="12" t="s">
        <v>674</v>
      </c>
      <c r="F810" s="8" t="str">
        <f>VLOOKUP(A810,Tutors!C:D,2,0)</f>
        <v>#N/A</v>
      </c>
      <c r="G810" s="8" t="str">
        <f>VLOOKUP(A810,Tutors!C:E,3,0)</f>
        <v>#N/A</v>
      </c>
      <c r="H810" s="8" t="str">
        <f>VLOOKUP(A810,Tutors!A:F,6,0)</f>
        <v>#N/A</v>
      </c>
      <c r="I810" s="8" t="str">
        <f>VLOOKUP(A810,Tutors!C:G,5,0)</f>
        <v>#N/A</v>
      </c>
      <c r="J810" s="8">
        <f>COUNTIFS(Active!C:C,A810)</f>
        <v>0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5" t="s">
        <v>863</v>
      </c>
      <c r="B811" s="7" t="str">
        <f>VLOOKUP(A811,Tutors!A:B,2,0)</f>
        <v>#N/A</v>
      </c>
      <c r="C811" s="12" t="s">
        <v>303</v>
      </c>
      <c r="D811" s="12" t="s">
        <v>69</v>
      </c>
      <c r="E811" s="12" t="s">
        <v>13</v>
      </c>
      <c r="F811" s="8" t="str">
        <f>VLOOKUP(A811,Tutors!C:D,2,0)</f>
        <v>#N/A</v>
      </c>
      <c r="G811" s="8" t="str">
        <f>VLOOKUP(A811,Tutors!C:E,3,0)</f>
        <v>#N/A</v>
      </c>
      <c r="H811" s="8" t="str">
        <f>VLOOKUP(A811,Tutors!A:F,6,0)</f>
        <v>#N/A</v>
      </c>
      <c r="I811" s="8" t="str">
        <f>VLOOKUP(A811,Tutors!C:G,5,0)</f>
        <v>#N/A</v>
      </c>
      <c r="J811" s="8">
        <f>COUNTIFS(Active!C:C,A811)</f>
        <v>0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5" t="s">
        <v>864</v>
      </c>
      <c r="B812" s="7" t="str">
        <f>VLOOKUP(A812,Tutors!A:B,2,0)</f>
        <v>#N/A</v>
      </c>
      <c r="C812" s="12" t="s">
        <v>303</v>
      </c>
      <c r="D812" s="12" t="s">
        <v>63</v>
      </c>
      <c r="E812" s="12" t="s">
        <v>13</v>
      </c>
      <c r="F812" s="8" t="str">
        <f>VLOOKUP(A812,Tutors!C:D,2,0)</f>
        <v>#N/A</v>
      </c>
      <c r="G812" s="8" t="str">
        <f>VLOOKUP(A812,Tutors!C:E,3,0)</f>
        <v>#N/A</v>
      </c>
      <c r="H812" s="8" t="str">
        <f>VLOOKUP(A812,Tutors!A:F,6,0)</f>
        <v>#N/A</v>
      </c>
      <c r="I812" s="8" t="str">
        <f>VLOOKUP(A812,Tutors!C:G,5,0)</f>
        <v>#N/A</v>
      </c>
      <c r="J812" s="8">
        <f>COUNTIFS(Active!C:C,A812)</f>
        <v>0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5" t="s">
        <v>865</v>
      </c>
      <c r="B813" s="7" t="str">
        <f>VLOOKUP(A813,Tutors!A:B,2,0)</f>
        <v>#N/A</v>
      </c>
      <c r="C813" s="12" t="s">
        <v>86</v>
      </c>
      <c r="D813" s="12" t="s">
        <v>47</v>
      </c>
      <c r="E813" s="12" t="s">
        <v>13</v>
      </c>
      <c r="F813" s="8" t="str">
        <f>VLOOKUP(A813,Tutors!C:D,2,0)</f>
        <v>#N/A</v>
      </c>
      <c r="G813" s="8" t="str">
        <f>VLOOKUP(A813,Tutors!C:E,3,0)</f>
        <v>#N/A</v>
      </c>
      <c r="H813" s="8" t="str">
        <f>VLOOKUP(A813,Tutors!A:F,6,0)</f>
        <v>#N/A</v>
      </c>
      <c r="I813" s="8" t="str">
        <f>VLOOKUP(A813,Tutors!C:G,5,0)</f>
        <v>#N/A</v>
      </c>
      <c r="J813" s="8">
        <f>COUNTIFS(Active!C:C,A813)</f>
        <v>0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5" t="s">
        <v>866</v>
      </c>
      <c r="B814" s="7" t="str">
        <f>VLOOKUP(A814,Tutors!A:B,2,0)</f>
        <v>#N/A</v>
      </c>
      <c r="C814" s="12" t="s">
        <v>11</v>
      </c>
      <c r="D814" s="12" t="s">
        <v>69</v>
      </c>
      <c r="E814" s="12" t="s">
        <v>13</v>
      </c>
      <c r="F814" s="8" t="str">
        <f>VLOOKUP(A814,Tutors!C:D,2,0)</f>
        <v>#N/A</v>
      </c>
      <c r="G814" s="8" t="str">
        <f>VLOOKUP(A814,Tutors!C:E,3,0)</f>
        <v>#N/A</v>
      </c>
      <c r="H814" s="8" t="str">
        <f>VLOOKUP(A814,Tutors!A:F,6,0)</f>
        <v>#N/A</v>
      </c>
      <c r="I814" s="8" t="str">
        <f>VLOOKUP(A814,Tutors!C:G,5,0)</f>
        <v>#N/A</v>
      </c>
      <c r="J814" s="8">
        <f>COUNTIFS(Active!C:C,A814)</f>
        <v>0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 t="s">
        <v>867</v>
      </c>
      <c r="B815" s="7" t="str">
        <f>VLOOKUP(A815,Tutors!A:B,2,0)</f>
        <v>#N/A</v>
      </c>
      <c r="C815" s="12" t="s">
        <v>303</v>
      </c>
      <c r="D815" s="12" t="s">
        <v>69</v>
      </c>
      <c r="E815" s="12" t="s">
        <v>13</v>
      </c>
      <c r="F815" s="8" t="str">
        <f>VLOOKUP(A815,Tutors!C:D,2,0)</f>
        <v>#N/A</v>
      </c>
      <c r="G815" s="8" t="str">
        <f>VLOOKUP(A815,Tutors!C:E,3,0)</f>
        <v>#N/A</v>
      </c>
      <c r="H815" s="8" t="str">
        <f>VLOOKUP(A815,Tutors!A:F,6,0)</f>
        <v>#N/A</v>
      </c>
      <c r="I815" s="8" t="str">
        <f>VLOOKUP(A815,Tutors!C:G,5,0)</f>
        <v>#N/A</v>
      </c>
      <c r="J815" s="8">
        <f>COUNTIFS(Active!C:C,A815)</f>
        <v>0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5" t="s">
        <v>868</v>
      </c>
      <c r="B816" s="7" t="str">
        <f>VLOOKUP(A816,Tutors!A:B,2,0)</f>
        <v>#N/A</v>
      </c>
      <c r="C816" s="12" t="s">
        <v>303</v>
      </c>
      <c r="D816" s="12" t="s">
        <v>69</v>
      </c>
      <c r="E816" s="12" t="s">
        <v>13</v>
      </c>
      <c r="F816" s="8" t="str">
        <f>VLOOKUP(A816,Tutors!C:D,2,0)</f>
        <v>#N/A</v>
      </c>
      <c r="G816" s="8" t="str">
        <f>VLOOKUP(A816,Tutors!C:E,3,0)</f>
        <v>#N/A</v>
      </c>
      <c r="H816" s="8" t="str">
        <f>VLOOKUP(A816,Tutors!A:F,6,0)</f>
        <v>#N/A</v>
      </c>
      <c r="I816" s="8" t="str">
        <f>VLOOKUP(A816,Tutors!C:G,5,0)</f>
        <v>#N/A</v>
      </c>
      <c r="J816" s="8">
        <f>COUNTIFS(Active!C:C,A816)</f>
        <v>0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5" t="s">
        <v>869</v>
      </c>
      <c r="B817" s="7" t="str">
        <f>VLOOKUP(A817,Tutors!A:B,2,0)</f>
        <v>#N/A</v>
      </c>
      <c r="C817" s="12" t="s">
        <v>303</v>
      </c>
      <c r="D817" s="12" t="s">
        <v>172</v>
      </c>
      <c r="E817" s="12" t="s">
        <v>13</v>
      </c>
      <c r="F817" s="8" t="str">
        <f>VLOOKUP(A817,Tutors!C:D,2,0)</f>
        <v>#N/A</v>
      </c>
      <c r="G817" s="8" t="str">
        <f>VLOOKUP(A817,Tutors!C:E,3,0)</f>
        <v>#N/A</v>
      </c>
      <c r="H817" s="8" t="str">
        <f>VLOOKUP(A817,Tutors!A:F,6,0)</f>
        <v>#N/A</v>
      </c>
      <c r="I817" s="8" t="str">
        <f>VLOOKUP(A817,Tutors!C:G,5,0)</f>
        <v>#N/A</v>
      </c>
      <c r="J817" s="8">
        <f>COUNTIFS(Active!C:C,A817)</f>
        <v>0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5" t="s">
        <v>870</v>
      </c>
      <c r="B818" s="7" t="str">
        <f>VLOOKUP(A818,Tutors!A:B,2,0)</f>
        <v>#N/A</v>
      </c>
      <c r="C818" s="12" t="s">
        <v>86</v>
      </c>
      <c r="D818" s="12" t="s">
        <v>203</v>
      </c>
      <c r="E818" s="12" t="s">
        <v>13</v>
      </c>
      <c r="F818" s="8" t="str">
        <f>VLOOKUP(A818,Tutors!C:D,2,0)</f>
        <v>#N/A</v>
      </c>
      <c r="G818" s="8" t="str">
        <f>VLOOKUP(A818,Tutors!C:E,3,0)</f>
        <v>#N/A</v>
      </c>
      <c r="H818" s="8" t="str">
        <f>VLOOKUP(A818,Tutors!A:F,6,0)</f>
        <v>#N/A</v>
      </c>
      <c r="I818" s="8" t="str">
        <f>VLOOKUP(A818,Tutors!C:G,5,0)</f>
        <v>#N/A</v>
      </c>
      <c r="J818" s="8">
        <f>COUNTIFS(Active!C:C,A818)</f>
        <v>0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5" t="s">
        <v>871</v>
      </c>
      <c r="B819" s="7" t="str">
        <f>VLOOKUP(A819,Tutors!A:B,2,0)</f>
        <v>#N/A</v>
      </c>
      <c r="C819" s="12" t="s">
        <v>11</v>
      </c>
      <c r="D819" s="12" t="s">
        <v>25</v>
      </c>
      <c r="E819" s="12" t="s">
        <v>13</v>
      </c>
      <c r="F819" s="8" t="str">
        <f>VLOOKUP(A819,Tutors!C:D,2,0)</f>
        <v>#N/A</v>
      </c>
      <c r="G819" s="8" t="str">
        <f>VLOOKUP(A819,Tutors!C:E,3,0)</f>
        <v>#N/A</v>
      </c>
      <c r="H819" s="8" t="str">
        <f>VLOOKUP(A819,Tutors!A:F,6,0)</f>
        <v>#N/A</v>
      </c>
      <c r="I819" s="8" t="str">
        <f>VLOOKUP(A819,Tutors!C:G,5,0)</f>
        <v>#N/A</v>
      </c>
      <c r="J819" s="8">
        <f>COUNTIFS(Active!C:C,A819)</f>
        <v>0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 t="s">
        <v>872</v>
      </c>
      <c r="B820" s="7" t="str">
        <f>VLOOKUP(A820,Tutors!A:B,2,0)</f>
        <v>#N/A</v>
      </c>
      <c r="C820" s="12" t="s">
        <v>86</v>
      </c>
      <c r="D820" s="12" t="s">
        <v>172</v>
      </c>
      <c r="E820" s="12" t="s">
        <v>674</v>
      </c>
      <c r="F820" s="8" t="str">
        <f>VLOOKUP(A820,Tutors!C:D,2,0)</f>
        <v>#N/A</v>
      </c>
      <c r="G820" s="8" t="str">
        <f>VLOOKUP(A820,Tutors!C:E,3,0)</f>
        <v>#N/A</v>
      </c>
      <c r="H820" s="8" t="str">
        <f>VLOOKUP(A820,Tutors!A:F,6,0)</f>
        <v>#N/A</v>
      </c>
      <c r="I820" s="8" t="str">
        <f>VLOOKUP(A820,Tutors!C:G,5,0)</f>
        <v>#N/A</v>
      </c>
      <c r="J820" s="8">
        <f>COUNTIFS(Active!C:C,A820)</f>
        <v>0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5" t="s">
        <v>873</v>
      </c>
      <c r="B821" s="7" t="str">
        <f>VLOOKUP(A821,Tutors!A:B,2,0)</f>
        <v>#N/A</v>
      </c>
      <c r="C821" s="12" t="s">
        <v>86</v>
      </c>
      <c r="D821" s="12" t="s">
        <v>172</v>
      </c>
      <c r="E821" s="12" t="s">
        <v>674</v>
      </c>
      <c r="F821" s="8" t="str">
        <f>VLOOKUP(A821,Tutors!C:D,2,0)</f>
        <v>#N/A</v>
      </c>
      <c r="G821" s="8" t="str">
        <f>VLOOKUP(A821,Tutors!C:E,3,0)</f>
        <v>#N/A</v>
      </c>
      <c r="H821" s="8" t="str">
        <f>VLOOKUP(A821,Tutors!A:F,6,0)</f>
        <v>#N/A</v>
      </c>
      <c r="I821" s="8" t="str">
        <f>VLOOKUP(A821,Tutors!C:G,5,0)</f>
        <v>#N/A</v>
      </c>
      <c r="J821" s="8">
        <f>COUNTIFS(Active!C:C,A821)</f>
        <v>0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5" t="s">
        <v>874</v>
      </c>
      <c r="B822" s="7" t="str">
        <f>VLOOKUP(A822,Tutors!A:B,2,0)</f>
        <v>#N/A</v>
      </c>
      <c r="C822" s="12" t="s">
        <v>86</v>
      </c>
      <c r="D822" s="12" t="s">
        <v>203</v>
      </c>
      <c r="E822" s="12" t="s">
        <v>674</v>
      </c>
      <c r="F822" s="8" t="str">
        <f>VLOOKUP(A822,Tutors!C:D,2,0)</f>
        <v>#N/A</v>
      </c>
      <c r="G822" s="8" t="str">
        <f>VLOOKUP(A822,Tutors!C:E,3,0)</f>
        <v>#N/A</v>
      </c>
      <c r="H822" s="8" t="str">
        <f>VLOOKUP(A822,Tutors!A:F,6,0)</f>
        <v>#N/A</v>
      </c>
      <c r="I822" s="8" t="str">
        <f>VLOOKUP(A822,Tutors!C:G,5,0)</f>
        <v>#N/A</v>
      </c>
      <c r="J822" s="8">
        <f>COUNTIFS(Active!C:C,A822)</f>
        <v>0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5" t="s">
        <v>875</v>
      </c>
      <c r="B823" s="7" t="str">
        <f>VLOOKUP(A823,Tutors!A:B,2,0)</f>
        <v>#N/A</v>
      </c>
      <c r="C823" s="12" t="s">
        <v>477</v>
      </c>
      <c r="D823" s="12" t="s">
        <v>502</v>
      </c>
      <c r="E823" s="12" t="s">
        <v>674</v>
      </c>
      <c r="F823" s="8" t="str">
        <f>VLOOKUP(A823,Tutors!C:D,2,0)</f>
        <v>#N/A</v>
      </c>
      <c r="G823" s="8" t="str">
        <f>VLOOKUP(A823,Tutors!C:E,3,0)</f>
        <v>#N/A</v>
      </c>
      <c r="H823" s="8" t="str">
        <f>VLOOKUP(A823,Tutors!A:F,6,0)</f>
        <v>#N/A</v>
      </c>
      <c r="I823" s="8" t="str">
        <f>VLOOKUP(A823,Tutors!C:G,5,0)</f>
        <v>#N/A</v>
      </c>
      <c r="J823" s="8">
        <f>COUNTIFS(Active!C:C,A823)</f>
        <v>0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5" t="s">
        <v>876</v>
      </c>
      <c r="B824" s="7" t="str">
        <f>VLOOKUP(A824,Tutors!A:B,2,0)</f>
        <v>#N/A</v>
      </c>
      <c r="C824" s="12" t="s">
        <v>86</v>
      </c>
      <c r="D824" s="12" t="s">
        <v>172</v>
      </c>
      <c r="E824" s="12" t="s">
        <v>674</v>
      </c>
      <c r="F824" s="8" t="str">
        <f>VLOOKUP(A824,Tutors!C:D,2,0)</f>
        <v>#N/A</v>
      </c>
      <c r="G824" s="8" t="str">
        <f>VLOOKUP(A824,Tutors!C:E,3,0)</f>
        <v>#N/A</v>
      </c>
      <c r="H824" s="8" t="str">
        <f>VLOOKUP(A824,Tutors!A:F,6,0)</f>
        <v>#N/A</v>
      </c>
      <c r="I824" s="8" t="str">
        <f>VLOOKUP(A824,Tutors!C:G,5,0)</f>
        <v>#N/A</v>
      </c>
      <c r="J824" s="8">
        <f>COUNTIFS(Active!C:C,A824)</f>
        <v>0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5" t="s">
        <v>877</v>
      </c>
      <c r="B825" s="7" t="str">
        <f>VLOOKUP(A825,Tutors!A:B,2,0)</f>
        <v>#N/A</v>
      </c>
      <c r="C825" s="12" t="s">
        <v>86</v>
      </c>
      <c r="D825" s="12" t="s">
        <v>172</v>
      </c>
      <c r="E825" s="12" t="s">
        <v>674</v>
      </c>
      <c r="F825" s="8" t="str">
        <f>VLOOKUP(A825,Tutors!C:D,2,0)</f>
        <v>#N/A</v>
      </c>
      <c r="G825" s="8" t="str">
        <f>VLOOKUP(A825,Tutors!C:E,3,0)</f>
        <v>#N/A</v>
      </c>
      <c r="H825" s="8" t="str">
        <f>VLOOKUP(A825,Tutors!A:F,6,0)</f>
        <v>#N/A</v>
      </c>
      <c r="I825" s="8" t="str">
        <f>VLOOKUP(A825,Tutors!C:G,5,0)</f>
        <v>#N/A</v>
      </c>
      <c r="J825" s="8">
        <f>COUNTIFS(Active!C:C,A825)</f>
        <v>0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5" t="s">
        <v>878</v>
      </c>
      <c r="B826" s="7" t="str">
        <f>VLOOKUP(A826,Tutors!A:B,2,0)</f>
        <v>#N/A</v>
      </c>
      <c r="C826" s="12" t="s">
        <v>86</v>
      </c>
      <c r="D826" s="12" t="s">
        <v>203</v>
      </c>
      <c r="E826" s="12" t="s">
        <v>674</v>
      </c>
      <c r="F826" s="8" t="str">
        <f>VLOOKUP(A826,Tutors!C:D,2,0)</f>
        <v>#N/A</v>
      </c>
      <c r="G826" s="8" t="str">
        <f>VLOOKUP(A826,Tutors!C:E,3,0)</f>
        <v>#N/A</v>
      </c>
      <c r="H826" s="8" t="str">
        <f>VLOOKUP(A826,Tutors!A:F,6,0)</f>
        <v>#N/A</v>
      </c>
      <c r="I826" s="8" t="str">
        <f>VLOOKUP(A826,Tutors!C:G,5,0)</f>
        <v>#N/A</v>
      </c>
      <c r="J826" s="8">
        <f>COUNTIFS(Active!C:C,A826)</f>
        <v>0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6"/>
      <c r="B827" s="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6"/>
      <c r="B828" s="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6"/>
      <c r="B829" s="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6"/>
      <c r="B830" s="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6"/>
      <c r="B831" s="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0</v>
      </c>
      <c r="C1" s="18" t="str">
        <f t="array" ref="C1:C463">UNIQUE(A:A)</f>
        <v>Tutor Name</v>
      </c>
    </row>
    <row r="2">
      <c r="A2" s="19" t="s">
        <v>146</v>
      </c>
      <c r="C2" s="18" t="s">
        <v>146</v>
      </c>
    </row>
    <row r="3">
      <c r="A3" s="19" t="s">
        <v>146</v>
      </c>
      <c r="C3" s="18" t="s">
        <v>145</v>
      </c>
    </row>
    <row r="4">
      <c r="A4" s="19" t="s">
        <v>146</v>
      </c>
      <c r="C4" s="18" t="s">
        <v>17</v>
      </c>
    </row>
    <row r="5">
      <c r="A5" s="19" t="s">
        <v>146</v>
      </c>
      <c r="C5" s="18" t="s">
        <v>179</v>
      </c>
    </row>
    <row r="6">
      <c r="A6" s="19" t="s">
        <v>145</v>
      </c>
      <c r="C6" s="18" t="s">
        <v>180</v>
      </c>
    </row>
    <row r="7">
      <c r="A7" s="19" t="s">
        <v>145</v>
      </c>
      <c r="C7" s="18" t="s">
        <v>62</v>
      </c>
    </row>
    <row r="8">
      <c r="A8" s="19" t="s">
        <v>17</v>
      </c>
      <c r="C8" s="18" t="s">
        <v>548</v>
      </c>
    </row>
    <row r="9">
      <c r="A9" s="19" t="s">
        <v>145</v>
      </c>
      <c r="C9" s="18" t="s">
        <v>552</v>
      </c>
    </row>
    <row r="10">
      <c r="A10" s="19" t="s">
        <v>179</v>
      </c>
      <c r="C10" s="18" t="s">
        <v>52</v>
      </c>
    </row>
    <row r="11">
      <c r="A11" s="19" t="s">
        <v>180</v>
      </c>
      <c r="C11" s="18" t="s">
        <v>147</v>
      </c>
    </row>
    <row r="12">
      <c r="A12" s="19" t="s">
        <v>62</v>
      </c>
      <c r="C12" s="18" t="s">
        <v>237</v>
      </c>
    </row>
    <row r="13">
      <c r="A13" s="19" t="s">
        <v>62</v>
      </c>
      <c r="C13" s="18" t="s">
        <v>546</v>
      </c>
    </row>
    <row r="14">
      <c r="A14" s="19" t="s">
        <v>62</v>
      </c>
      <c r="C14" s="18" t="s">
        <v>391</v>
      </c>
    </row>
    <row r="15">
      <c r="A15" s="19" t="s">
        <v>548</v>
      </c>
      <c r="C15" s="18" t="s">
        <v>152</v>
      </c>
    </row>
    <row r="16">
      <c r="A16" s="19" t="s">
        <v>548</v>
      </c>
      <c r="C16" s="18" t="s">
        <v>194</v>
      </c>
    </row>
    <row r="17">
      <c r="A17" s="19" t="s">
        <v>548</v>
      </c>
      <c r="C17" s="18" t="s">
        <v>336</v>
      </c>
    </row>
    <row r="18">
      <c r="A18" s="19" t="s">
        <v>552</v>
      </c>
      <c r="C18" s="18" t="s">
        <v>426</v>
      </c>
    </row>
    <row r="19">
      <c r="A19" s="19" t="s">
        <v>52</v>
      </c>
      <c r="C19" s="18" t="s">
        <v>190</v>
      </c>
    </row>
    <row r="20">
      <c r="A20" s="19" t="s">
        <v>52</v>
      </c>
      <c r="C20" s="18" t="s">
        <v>508</v>
      </c>
    </row>
    <row r="21">
      <c r="A21" s="19" t="s">
        <v>552</v>
      </c>
      <c r="C21" s="18" t="s">
        <v>57</v>
      </c>
    </row>
    <row r="22">
      <c r="A22" s="19" t="s">
        <v>147</v>
      </c>
      <c r="C22" s="18" t="s">
        <v>464</v>
      </c>
    </row>
    <row r="23">
      <c r="A23" s="19" t="s">
        <v>147</v>
      </c>
      <c r="C23" s="18" t="s">
        <v>224</v>
      </c>
    </row>
    <row r="24">
      <c r="A24" s="19" t="s">
        <v>147</v>
      </c>
      <c r="C24" s="18" t="s">
        <v>51</v>
      </c>
    </row>
    <row r="25">
      <c r="A25" s="19" t="s">
        <v>237</v>
      </c>
      <c r="C25" s="18" t="s">
        <v>334</v>
      </c>
    </row>
    <row r="26">
      <c r="A26" s="19" t="s">
        <v>237</v>
      </c>
      <c r="C26" s="18" t="s">
        <v>234</v>
      </c>
    </row>
    <row r="27">
      <c r="A27" s="19" t="s">
        <v>237</v>
      </c>
      <c r="C27" s="18" t="s">
        <v>408</v>
      </c>
    </row>
    <row r="28">
      <c r="A28" s="19" t="s">
        <v>237</v>
      </c>
      <c r="C28" s="18" t="s">
        <v>409</v>
      </c>
    </row>
    <row r="29">
      <c r="A29" s="19" t="s">
        <v>546</v>
      </c>
      <c r="C29" s="18" t="s">
        <v>64</v>
      </c>
    </row>
    <row r="30">
      <c r="A30" s="19" t="s">
        <v>179</v>
      </c>
      <c r="C30" s="18" t="s">
        <v>61</v>
      </c>
    </row>
    <row r="31">
      <c r="A31" s="19" t="s">
        <v>180</v>
      </c>
      <c r="C31" s="18" t="s">
        <v>267</v>
      </c>
    </row>
    <row r="32">
      <c r="A32" s="19" t="s">
        <v>180</v>
      </c>
      <c r="C32" s="18" t="s">
        <v>553</v>
      </c>
    </row>
    <row r="33">
      <c r="A33" s="19" t="s">
        <v>52</v>
      </c>
      <c r="C33" s="18" t="s">
        <v>506</v>
      </c>
    </row>
    <row r="34">
      <c r="A34" s="19" t="s">
        <v>391</v>
      </c>
      <c r="C34" s="18" t="s">
        <v>19</v>
      </c>
    </row>
    <row r="35">
      <c r="A35" s="19" t="s">
        <v>152</v>
      </c>
      <c r="C35" s="18" t="s">
        <v>413</v>
      </c>
    </row>
    <row r="36">
      <c r="A36" s="19" t="s">
        <v>145</v>
      </c>
      <c r="C36" s="18" t="s">
        <v>351</v>
      </c>
    </row>
    <row r="37">
      <c r="A37" s="19" t="s">
        <v>152</v>
      </c>
      <c r="C37" s="18" t="s">
        <v>143</v>
      </c>
    </row>
    <row r="38">
      <c r="A38" s="19" t="s">
        <v>194</v>
      </c>
      <c r="C38" s="18" t="s">
        <v>173</v>
      </c>
    </row>
    <row r="39">
      <c r="A39" s="19" t="s">
        <v>336</v>
      </c>
      <c r="C39" s="18" t="s">
        <v>353</v>
      </c>
    </row>
    <row r="40">
      <c r="A40" s="19" t="s">
        <v>152</v>
      </c>
      <c r="C40" s="18" t="s">
        <v>198</v>
      </c>
    </row>
    <row r="41">
      <c r="A41" s="19" t="s">
        <v>426</v>
      </c>
      <c r="C41" s="18" t="s">
        <v>448</v>
      </c>
    </row>
    <row r="42">
      <c r="A42" s="19" t="s">
        <v>426</v>
      </c>
      <c r="C42" s="18" t="s">
        <v>359</v>
      </c>
    </row>
    <row r="43">
      <c r="A43" s="19" t="s">
        <v>190</v>
      </c>
      <c r="C43" s="18" t="s">
        <v>365</v>
      </c>
    </row>
    <row r="44">
      <c r="A44" s="19" t="s">
        <v>548</v>
      </c>
      <c r="C44" s="18" t="s">
        <v>16</v>
      </c>
    </row>
    <row r="45">
      <c r="A45" s="19" t="s">
        <v>508</v>
      </c>
      <c r="C45" s="18" t="s">
        <v>46</v>
      </c>
    </row>
    <row r="46">
      <c r="A46" s="19" t="s">
        <v>336</v>
      </c>
      <c r="C46" s="18" t="s">
        <v>355</v>
      </c>
    </row>
    <row r="47">
      <c r="A47" s="19" t="s">
        <v>57</v>
      </c>
      <c r="C47" s="18" t="s">
        <v>153</v>
      </c>
    </row>
    <row r="48">
      <c r="A48" s="19" t="s">
        <v>152</v>
      </c>
      <c r="C48" s="18" t="s">
        <v>452</v>
      </c>
    </row>
    <row r="49">
      <c r="A49" s="19" t="s">
        <v>190</v>
      </c>
      <c r="C49" s="18" t="s">
        <v>244</v>
      </c>
    </row>
    <row r="50">
      <c r="A50" s="19" t="s">
        <v>464</v>
      </c>
      <c r="C50" s="18" t="s">
        <v>423</v>
      </c>
    </row>
    <row r="51">
      <c r="A51" s="19" t="s">
        <v>57</v>
      </c>
      <c r="C51" s="18" t="s">
        <v>420</v>
      </c>
    </row>
    <row r="52">
      <c r="A52" s="19" t="s">
        <v>147</v>
      </c>
      <c r="C52" s="18" t="s">
        <v>549</v>
      </c>
    </row>
    <row r="53">
      <c r="A53" s="19" t="s">
        <v>62</v>
      </c>
      <c r="C53" s="18" t="s">
        <v>292</v>
      </c>
    </row>
    <row r="54">
      <c r="A54" s="19" t="s">
        <v>180</v>
      </c>
      <c r="C54" s="18" t="s">
        <v>238</v>
      </c>
    </row>
    <row r="55">
      <c r="A55" s="19" t="s">
        <v>508</v>
      </c>
      <c r="C55" s="18" t="s">
        <v>579</v>
      </c>
    </row>
    <row r="56">
      <c r="A56" s="19" t="s">
        <v>426</v>
      </c>
      <c r="C56" s="18" t="s">
        <v>342</v>
      </c>
    </row>
    <row r="57">
      <c r="A57" s="19" t="s">
        <v>224</v>
      </c>
      <c r="C57" s="18" t="s">
        <v>504</v>
      </c>
    </row>
    <row r="58">
      <c r="A58" s="19" t="s">
        <v>52</v>
      </c>
      <c r="C58" s="18" t="s">
        <v>233</v>
      </c>
    </row>
    <row r="59">
      <c r="A59" s="19" t="s">
        <v>52</v>
      </c>
      <c r="C59" s="18" t="s">
        <v>175</v>
      </c>
    </row>
    <row r="60">
      <c r="A60" s="19" t="s">
        <v>51</v>
      </c>
      <c r="C60" s="18" t="s">
        <v>350</v>
      </c>
    </row>
    <row r="61">
      <c r="A61" s="19" t="s">
        <v>51</v>
      </c>
      <c r="C61" s="18" t="s">
        <v>419</v>
      </c>
    </row>
    <row r="62">
      <c r="A62" s="19" t="s">
        <v>334</v>
      </c>
      <c r="C62" s="18" t="s">
        <v>427</v>
      </c>
    </row>
    <row r="63">
      <c r="A63" s="19" t="s">
        <v>234</v>
      </c>
      <c r="C63" s="18" t="s">
        <v>395</v>
      </c>
    </row>
    <row r="64">
      <c r="A64" s="19" t="s">
        <v>234</v>
      </c>
      <c r="C64" s="18" t="s">
        <v>375</v>
      </c>
    </row>
    <row r="65">
      <c r="A65" s="19" t="s">
        <v>408</v>
      </c>
      <c r="C65" s="18" t="s">
        <v>197</v>
      </c>
    </row>
    <row r="66">
      <c r="A66" s="19" t="s">
        <v>409</v>
      </c>
      <c r="C66" s="18" t="s">
        <v>182</v>
      </c>
    </row>
    <row r="67">
      <c r="A67" s="19" t="s">
        <v>64</v>
      </c>
      <c r="C67" s="18" t="s">
        <v>59</v>
      </c>
    </row>
    <row r="68">
      <c r="A68" s="19" t="s">
        <v>61</v>
      </c>
      <c r="C68" s="18" t="s">
        <v>257</v>
      </c>
    </row>
    <row r="69">
      <c r="A69" s="19" t="s">
        <v>64</v>
      </c>
      <c r="C69" s="18" t="s">
        <v>98</v>
      </c>
    </row>
    <row r="70">
      <c r="A70" s="19" t="s">
        <v>61</v>
      </c>
      <c r="C70" s="18" t="s">
        <v>332</v>
      </c>
    </row>
    <row r="71">
      <c r="A71" s="19" t="s">
        <v>267</v>
      </c>
      <c r="C71" s="18" t="s">
        <v>372</v>
      </c>
    </row>
    <row r="72">
      <c r="A72" s="19" t="s">
        <v>267</v>
      </c>
      <c r="C72" s="18" t="s">
        <v>241</v>
      </c>
    </row>
    <row r="73">
      <c r="A73" s="19" t="s">
        <v>553</v>
      </c>
      <c r="C73" s="18" t="s">
        <v>193</v>
      </c>
    </row>
    <row r="74">
      <c r="A74" s="19" t="s">
        <v>334</v>
      </c>
      <c r="C74" s="18" t="s">
        <v>240</v>
      </c>
    </row>
    <row r="75">
      <c r="A75" s="19" t="s">
        <v>61</v>
      </c>
      <c r="C75" s="18" t="s">
        <v>431</v>
      </c>
    </row>
    <row r="76">
      <c r="A76" s="19" t="s">
        <v>506</v>
      </c>
      <c r="C76" s="18" t="s">
        <v>161</v>
      </c>
    </row>
    <row r="77">
      <c r="A77" s="19" t="s">
        <v>553</v>
      </c>
      <c r="C77" s="18" t="s">
        <v>154</v>
      </c>
    </row>
    <row r="78">
      <c r="A78" s="19" t="s">
        <v>506</v>
      </c>
      <c r="C78" s="18" t="s">
        <v>174</v>
      </c>
    </row>
    <row r="79">
      <c r="A79" s="19" t="s">
        <v>19</v>
      </c>
      <c r="C79" s="18" t="s">
        <v>251</v>
      </c>
    </row>
    <row r="80">
      <c r="A80" s="19" t="s">
        <v>413</v>
      </c>
      <c r="C80" s="18" t="s">
        <v>428</v>
      </c>
    </row>
    <row r="81">
      <c r="A81" s="19" t="s">
        <v>19</v>
      </c>
      <c r="C81" s="18" t="s">
        <v>90</v>
      </c>
    </row>
    <row r="82">
      <c r="A82" s="19" t="s">
        <v>19</v>
      </c>
      <c r="C82" s="18" t="s">
        <v>15</v>
      </c>
    </row>
    <row r="83">
      <c r="A83" s="19" t="s">
        <v>234</v>
      </c>
      <c r="C83" s="18" t="s">
        <v>373</v>
      </c>
    </row>
    <row r="84">
      <c r="A84" s="19" t="s">
        <v>413</v>
      </c>
      <c r="C84" s="18" t="s">
        <v>422</v>
      </c>
    </row>
    <row r="85">
      <c r="A85" s="19" t="s">
        <v>351</v>
      </c>
      <c r="C85" s="18" t="s">
        <v>461</v>
      </c>
    </row>
    <row r="86">
      <c r="A86" s="19" t="s">
        <v>351</v>
      </c>
      <c r="C86" s="18" t="s">
        <v>70</v>
      </c>
    </row>
    <row r="87">
      <c r="A87" s="19" t="s">
        <v>409</v>
      </c>
      <c r="C87" s="18" t="s">
        <v>204</v>
      </c>
    </row>
    <row r="88">
      <c r="A88" s="19" t="s">
        <v>143</v>
      </c>
      <c r="C88" s="18" t="s">
        <v>219</v>
      </c>
    </row>
    <row r="89">
      <c r="A89" s="19" t="s">
        <v>143</v>
      </c>
      <c r="C89" s="18" t="s">
        <v>270</v>
      </c>
    </row>
    <row r="90">
      <c r="A90" s="19" t="s">
        <v>173</v>
      </c>
      <c r="C90" s="18" t="s">
        <v>450</v>
      </c>
    </row>
    <row r="91">
      <c r="A91" s="19" t="s">
        <v>173</v>
      </c>
      <c r="C91" s="18" t="s">
        <v>557</v>
      </c>
    </row>
    <row r="92">
      <c r="A92" s="19" t="s">
        <v>143</v>
      </c>
      <c r="C92" s="18" t="s">
        <v>535</v>
      </c>
    </row>
    <row r="93">
      <c r="A93" s="19" t="s">
        <v>234</v>
      </c>
      <c r="C93" s="18" t="s">
        <v>218</v>
      </c>
    </row>
    <row r="94">
      <c r="A94" s="19" t="s">
        <v>353</v>
      </c>
      <c r="C94" s="18" t="s">
        <v>460</v>
      </c>
    </row>
    <row r="95">
      <c r="A95" s="19" t="s">
        <v>198</v>
      </c>
      <c r="C95" s="18" t="s">
        <v>279</v>
      </c>
    </row>
    <row r="96">
      <c r="A96" s="19" t="s">
        <v>448</v>
      </c>
      <c r="C96" s="18" t="s">
        <v>275</v>
      </c>
    </row>
    <row r="97">
      <c r="A97" s="19" t="s">
        <v>448</v>
      </c>
      <c r="C97" s="18" t="s">
        <v>429</v>
      </c>
    </row>
    <row r="98">
      <c r="A98" s="19" t="s">
        <v>234</v>
      </c>
      <c r="C98" s="18" t="s">
        <v>77</v>
      </c>
    </row>
    <row r="99">
      <c r="A99" s="19" t="s">
        <v>359</v>
      </c>
      <c r="C99" s="18" t="s">
        <v>220</v>
      </c>
    </row>
    <row r="100">
      <c r="A100" s="19" t="s">
        <v>359</v>
      </c>
      <c r="C100" s="18" t="s">
        <v>18</v>
      </c>
    </row>
    <row r="101">
      <c r="A101" s="19" t="s">
        <v>143</v>
      </c>
      <c r="C101" s="18" t="s">
        <v>20</v>
      </c>
    </row>
    <row r="102">
      <c r="A102" s="19" t="s">
        <v>365</v>
      </c>
      <c r="C102" s="18" t="s">
        <v>405</v>
      </c>
    </row>
    <row r="103">
      <c r="A103" s="19" t="s">
        <v>365</v>
      </c>
      <c r="C103" s="18" t="s">
        <v>562</v>
      </c>
    </row>
    <row r="104">
      <c r="A104" s="19" t="s">
        <v>353</v>
      </c>
      <c r="C104" s="18" t="s">
        <v>563</v>
      </c>
    </row>
    <row r="105">
      <c r="A105" s="19" t="s">
        <v>64</v>
      </c>
      <c r="C105" s="18" t="s">
        <v>338</v>
      </c>
    </row>
    <row r="106">
      <c r="A106" s="19" t="s">
        <v>408</v>
      </c>
      <c r="C106" s="18" t="s">
        <v>65</v>
      </c>
    </row>
    <row r="107">
      <c r="A107" s="19" t="s">
        <v>198</v>
      </c>
      <c r="C107" s="18" t="s">
        <v>156</v>
      </c>
    </row>
    <row r="108">
      <c r="A108" s="19" t="s">
        <v>506</v>
      </c>
      <c r="C108" s="18" t="s">
        <v>356</v>
      </c>
    </row>
    <row r="109">
      <c r="A109" s="19" t="s">
        <v>334</v>
      </c>
      <c r="C109" s="18" t="s">
        <v>247</v>
      </c>
    </row>
    <row r="110">
      <c r="A110" s="19" t="s">
        <v>16</v>
      </c>
      <c r="C110" s="18" t="s">
        <v>393</v>
      </c>
    </row>
    <row r="111">
      <c r="A111" s="19" t="s">
        <v>46</v>
      </c>
      <c r="C111" s="18" t="s">
        <v>879</v>
      </c>
    </row>
    <row r="112">
      <c r="A112" s="19" t="s">
        <v>16</v>
      </c>
      <c r="C112" s="18" t="s">
        <v>455</v>
      </c>
    </row>
    <row r="113">
      <c r="A113" s="19" t="s">
        <v>355</v>
      </c>
      <c r="C113" s="18" t="s">
        <v>255</v>
      </c>
    </row>
    <row r="114">
      <c r="A114" s="19" t="s">
        <v>153</v>
      </c>
      <c r="C114" s="18" t="s">
        <v>53</v>
      </c>
    </row>
    <row r="115">
      <c r="A115" s="19" t="s">
        <v>153</v>
      </c>
      <c r="C115" s="18" t="s">
        <v>159</v>
      </c>
    </row>
    <row r="116">
      <c r="A116" s="19" t="s">
        <v>452</v>
      </c>
      <c r="C116" s="18" t="s">
        <v>258</v>
      </c>
    </row>
    <row r="117">
      <c r="A117" s="19" t="s">
        <v>244</v>
      </c>
      <c r="C117" s="18" t="s">
        <v>354</v>
      </c>
    </row>
    <row r="118">
      <c r="A118" s="19" t="s">
        <v>423</v>
      </c>
      <c r="C118" s="18" t="s">
        <v>72</v>
      </c>
    </row>
    <row r="119">
      <c r="A119" s="19" t="s">
        <v>420</v>
      </c>
      <c r="C119" s="18" t="s">
        <v>266</v>
      </c>
    </row>
    <row r="120">
      <c r="A120" s="19" t="s">
        <v>549</v>
      </c>
      <c r="C120" s="18" t="s">
        <v>271</v>
      </c>
    </row>
    <row r="121">
      <c r="A121" s="19" t="s">
        <v>153</v>
      </c>
      <c r="C121" s="18" t="s">
        <v>578</v>
      </c>
    </row>
    <row r="122">
      <c r="A122" s="19" t="s">
        <v>46</v>
      </c>
      <c r="C122" s="18" t="s">
        <v>205</v>
      </c>
    </row>
    <row r="123">
      <c r="A123" s="19" t="s">
        <v>549</v>
      </c>
      <c r="C123" s="18" t="s">
        <v>96</v>
      </c>
    </row>
    <row r="124">
      <c r="A124" s="19" t="s">
        <v>16</v>
      </c>
      <c r="C124" s="18" t="s">
        <v>268</v>
      </c>
    </row>
    <row r="125">
      <c r="A125" s="19" t="s">
        <v>244</v>
      </c>
      <c r="C125" s="18" t="s">
        <v>78</v>
      </c>
    </row>
    <row r="126">
      <c r="A126" s="19" t="s">
        <v>244</v>
      </c>
      <c r="C126" s="18" t="s">
        <v>280</v>
      </c>
    </row>
    <row r="127">
      <c r="A127" s="19" t="s">
        <v>355</v>
      </c>
      <c r="C127" s="18" t="s">
        <v>396</v>
      </c>
    </row>
    <row r="128">
      <c r="A128" s="19" t="s">
        <v>292</v>
      </c>
      <c r="C128" s="18" t="s">
        <v>348</v>
      </c>
    </row>
    <row r="129">
      <c r="A129" s="19" t="s">
        <v>238</v>
      </c>
      <c r="C129" s="18" t="s">
        <v>181</v>
      </c>
    </row>
    <row r="130">
      <c r="A130" s="19" t="s">
        <v>153</v>
      </c>
      <c r="C130" s="18" t="s">
        <v>485</v>
      </c>
    </row>
    <row r="131">
      <c r="A131" s="19" t="s">
        <v>238</v>
      </c>
      <c r="C131" s="18" t="s">
        <v>333</v>
      </c>
    </row>
    <row r="132">
      <c r="A132" s="19" t="s">
        <v>238</v>
      </c>
      <c r="C132" s="18" t="s">
        <v>71</v>
      </c>
    </row>
    <row r="133">
      <c r="A133" s="19" t="s">
        <v>153</v>
      </c>
      <c r="C133" s="18" t="s">
        <v>269</v>
      </c>
    </row>
    <row r="134">
      <c r="A134" s="19" t="s">
        <v>579</v>
      </c>
      <c r="C134" s="18" t="s">
        <v>142</v>
      </c>
    </row>
    <row r="135">
      <c r="A135" s="19" t="s">
        <v>452</v>
      </c>
      <c r="C135" s="18" t="s">
        <v>327</v>
      </c>
    </row>
    <row r="136">
      <c r="A136" s="19" t="s">
        <v>238</v>
      </c>
      <c r="C136" s="18" t="s">
        <v>331</v>
      </c>
    </row>
    <row r="137">
      <c r="A137" s="19" t="s">
        <v>342</v>
      </c>
      <c r="C137" s="18" t="s">
        <v>329</v>
      </c>
    </row>
    <row r="138">
      <c r="A138" s="19" t="s">
        <v>342</v>
      </c>
      <c r="C138" s="18" t="s">
        <v>582</v>
      </c>
    </row>
    <row r="139">
      <c r="A139" s="19" t="s">
        <v>504</v>
      </c>
      <c r="C139" s="18" t="s">
        <v>481</v>
      </c>
    </row>
    <row r="140">
      <c r="A140" s="19" t="s">
        <v>153</v>
      </c>
      <c r="C140" s="18" t="s">
        <v>254</v>
      </c>
    </row>
    <row r="141">
      <c r="A141" s="19" t="s">
        <v>233</v>
      </c>
      <c r="C141" s="18" t="s">
        <v>178</v>
      </c>
    </row>
    <row r="142">
      <c r="A142" s="19" t="s">
        <v>233</v>
      </c>
      <c r="C142" s="18" t="s">
        <v>308</v>
      </c>
    </row>
    <row r="143">
      <c r="A143" s="19" t="s">
        <v>175</v>
      </c>
      <c r="C143" s="18" t="s">
        <v>75</v>
      </c>
    </row>
    <row r="144">
      <c r="A144" s="19" t="s">
        <v>175</v>
      </c>
      <c r="C144" s="18" t="s">
        <v>14</v>
      </c>
    </row>
    <row r="145">
      <c r="A145" s="19" t="s">
        <v>350</v>
      </c>
      <c r="C145" s="18" t="s">
        <v>36</v>
      </c>
    </row>
    <row r="146">
      <c r="A146" s="19" t="s">
        <v>419</v>
      </c>
      <c r="C146" s="18" t="s">
        <v>215</v>
      </c>
    </row>
    <row r="147">
      <c r="A147" s="19" t="s">
        <v>350</v>
      </c>
      <c r="C147" s="18" t="s">
        <v>223</v>
      </c>
    </row>
    <row r="148">
      <c r="A148" s="19" t="s">
        <v>419</v>
      </c>
      <c r="C148" s="18" t="s">
        <v>558</v>
      </c>
    </row>
    <row r="149">
      <c r="A149" s="19" t="s">
        <v>427</v>
      </c>
      <c r="C149" s="18" t="s">
        <v>85</v>
      </c>
    </row>
    <row r="150">
      <c r="A150" s="19" t="s">
        <v>175</v>
      </c>
      <c r="C150" s="18" t="s">
        <v>310</v>
      </c>
    </row>
    <row r="151">
      <c r="A151" s="19" t="s">
        <v>233</v>
      </c>
      <c r="C151" s="18" t="s">
        <v>307</v>
      </c>
    </row>
    <row r="152">
      <c r="A152" s="19" t="s">
        <v>427</v>
      </c>
      <c r="C152" s="18" t="s">
        <v>378</v>
      </c>
    </row>
    <row r="153">
      <c r="A153" s="19" t="s">
        <v>395</v>
      </c>
      <c r="C153" s="18" t="s">
        <v>213</v>
      </c>
    </row>
    <row r="154">
      <c r="A154" s="19" t="s">
        <v>375</v>
      </c>
      <c r="C154" s="18" t="s">
        <v>206</v>
      </c>
    </row>
    <row r="155">
      <c r="A155" s="19" t="s">
        <v>419</v>
      </c>
      <c r="C155" s="18" t="s">
        <v>236</v>
      </c>
    </row>
    <row r="156">
      <c r="A156" s="19" t="s">
        <v>419</v>
      </c>
      <c r="C156" s="18" t="s">
        <v>277</v>
      </c>
    </row>
    <row r="157">
      <c r="A157" s="19" t="s">
        <v>197</v>
      </c>
      <c r="C157" s="18" t="s">
        <v>377</v>
      </c>
    </row>
    <row r="158">
      <c r="A158" s="19" t="s">
        <v>182</v>
      </c>
      <c r="C158" s="18" t="s">
        <v>157</v>
      </c>
    </row>
    <row r="159">
      <c r="A159" s="19" t="s">
        <v>59</v>
      </c>
      <c r="C159" s="18" t="s">
        <v>287</v>
      </c>
    </row>
    <row r="160">
      <c r="A160" s="19" t="s">
        <v>257</v>
      </c>
      <c r="C160" s="18" t="s">
        <v>230</v>
      </c>
    </row>
    <row r="161">
      <c r="A161" s="19" t="s">
        <v>59</v>
      </c>
      <c r="C161" s="18" t="s">
        <v>58</v>
      </c>
    </row>
    <row r="162">
      <c r="A162" s="19" t="s">
        <v>98</v>
      </c>
      <c r="C162" s="18" t="s">
        <v>55</v>
      </c>
    </row>
    <row r="163">
      <c r="A163" s="19" t="s">
        <v>98</v>
      </c>
      <c r="C163" s="18" t="s">
        <v>211</v>
      </c>
    </row>
    <row r="164">
      <c r="A164" s="19" t="s">
        <v>365</v>
      </c>
      <c r="C164" s="18" t="s">
        <v>226</v>
      </c>
    </row>
    <row r="165">
      <c r="A165" s="19" t="s">
        <v>332</v>
      </c>
      <c r="C165" s="18" t="s">
        <v>358</v>
      </c>
    </row>
    <row r="166">
      <c r="A166" s="19" t="s">
        <v>372</v>
      </c>
      <c r="C166" s="18" t="s">
        <v>177</v>
      </c>
    </row>
    <row r="167">
      <c r="A167" s="19" t="s">
        <v>332</v>
      </c>
      <c r="C167" s="18" t="s">
        <v>446</v>
      </c>
    </row>
    <row r="168">
      <c r="A168" s="19" t="s">
        <v>553</v>
      </c>
      <c r="C168" s="18" t="s">
        <v>577</v>
      </c>
    </row>
    <row r="169">
      <c r="A169" s="19" t="s">
        <v>241</v>
      </c>
      <c r="C169" s="18" t="s">
        <v>529</v>
      </c>
    </row>
    <row r="170">
      <c r="A170" s="19" t="s">
        <v>355</v>
      </c>
      <c r="C170" s="18" t="s">
        <v>407</v>
      </c>
    </row>
    <row r="171">
      <c r="A171" s="19" t="s">
        <v>193</v>
      </c>
      <c r="C171" s="18" t="s">
        <v>239</v>
      </c>
    </row>
    <row r="172">
      <c r="A172" s="19" t="s">
        <v>240</v>
      </c>
      <c r="C172" s="18" t="s">
        <v>192</v>
      </c>
    </row>
    <row r="173">
      <c r="A173" s="19" t="s">
        <v>240</v>
      </c>
      <c r="C173" s="18" t="s">
        <v>100</v>
      </c>
    </row>
    <row r="174">
      <c r="A174" s="19" t="s">
        <v>431</v>
      </c>
      <c r="C174" s="18" t="s">
        <v>276</v>
      </c>
    </row>
    <row r="175">
      <c r="A175" s="19" t="s">
        <v>161</v>
      </c>
      <c r="C175" s="18" t="s">
        <v>315</v>
      </c>
    </row>
    <row r="176">
      <c r="A176" s="19" t="s">
        <v>161</v>
      </c>
      <c r="C176" s="18" t="s">
        <v>459</v>
      </c>
    </row>
    <row r="177">
      <c r="A177" s="19" t="s">
        <v>154</v>
      </c>
      <c r="C177" s="18" t="s">
        <v>494</v>
      </c>
    </row>
    <row r="178">
      <c r="A178" s="19" t="s">
        <v>240</v>
      </c>
      <c r="C178" s="18" t="s">
        <v>306</v>
      </c>
    </row>
    <row r="179">
      <c r="A179" s="19" t="s">
        <v>431</v>
      </c>
      <c r="C179" s="18" t="s">
        <v>45</v>
      </c>
    </row>
    <row r="180">
      <c r="A180" s="19" t="s">
        <v>504</v>
      </c>
      <c r="C180" s="18" t="s">
        <v>424</v>
      </c>
    </row>
    <row r="181">
      <c r="A181" s="19" t="s">
        <v>174</v>
      </c>
      <c r="C181" s="18" t="s">
        <v>382</v>
      </c>
    </row>
    <row r="182">
      <c r="A182" s="19" t="s">
        <v>17</v>
      </c>
      <c r="C182" s="18" t="s">
        <v>388</v>
      </c>
    </row>
    <row r="183">
      <c r="A183" s="19" t="s">
        <v>17</v>
      </c>
      <c r="C183" s="18" t="s">
        <v>449</v>
      </c>
    </row>
    <row r="184">
      <c r="A184" s="19" t="s">
        <v>154</v>
      </c>
      <c r="C184" s="18" t="s">
        <v>176</v>
      </c>
    </row>
    <row r="185">
      <c r="A185" s="19" t="s">
        <v>154</v>
      </c>
      <c r="C185" s="18" t="s">
        <v>453</v>
      </c>
    </row>
    <row r="186">
      <c r="A186" s="19" t="s">
        <v>251</v>
      </c>
      <c r="C186" s="18" t="s">
        <v>447</v>
      </c>
    </row>
    <row r="187">
      <c r="A187" s="19" t="s">
        <v>251</v>
      </c>
      <c r="C187" s="18" t="s">
        <v>221</v>
      </c>
    </row>
    <row r="188">
      <c r="A188" s="19" t="s">
        <v>504</v>
      </c>
      <c r="C188" s="18" t="s">
        <v>272</v>
      </c>
    </row>
    <row r="189">
      <c r="A189" s="19" t="s">
        <v>504</v>
      </c>
      <c r="C189" s="18" t="s">
        <v>516</v>
      </c>
    </row>
    <row r="190">
      <c r="A190" s="19" t="s">
        <v>428</v>
      </c>
      <c r="C190" s="18" t="s">
        <v>572</v>
      </c>
    </row>
    <row r="191">
      <c r="A191" s="19" t="s">
        <v>372</v>
      </c>
      <c r="C191" s="18" t="s">
        <v>128</v>
      </c>
    </row>
    <row r="192">
      <c r="A192" s="19" t="s">
        <v>241</v>
      </c>
      <c r="C192" s="18" t="s">
        <v>569</v>
      </c>
    </row>
    <row r="193">
      <c r="A193" s="19" t="s">
        <v>420</v>
      </c>
      <c r="C193" s="18" t="s">
        <v>31</v>
      </c>
    </row>
    <row r="194">
      <c r="A194" s="19" t="s">
        <v>420</v>
      </c>
      <c r="C194" s="18" t="s">
        <v>28</v>
      </c>
    </row>
    <row r="195">
      <c r="A195" s="19" t="s">
        <v>190</v>
      </c>
      <c r="C195" s="18" t="s">
        <v>94</v>
      </c>
    </row>
    <row r="196">
      <c r="A196" s="19" t="s">
        <v>154</v>
      </c>
      <c r="C196" s="18" t="s">
        <v>321</v>
      </c>
    </row>
    <row r="197">
      <c r="A197" s="19" t="s">
        <v>161</v>
      </c>
      <c r="C197" s="18" t="s">
        <v>131</v>
      </c>
    </row>
    <row r="198">
      <c r="A198" s="19" t="s">
        <v>251</v>
      </c>
      <c r="C198" s="18" t="s">
        <v>252</v>
      </c>
    </row>
    <row r="199">
      <c r="A199" s="19" t="s">
        <v>241</v>
      </c>
      <c r="C199" s="18" t="s">
        <v>91</v>
      </c>
    </row>
    <row r="200">
      <c r="A200" s="19" t="s">
        <v>90</v>
      </c>
      <c r="C200" s="18" t="s">
        <v>202</v>
      </c>
    </row>
    <row r="201">
      <c r="A201" s="19" t="s">
        <v>15</v>
      </c>
      <c r="C201" s="18" t="s">
        <v>312</v>
      </c>
    </row>
    <row r="202">
      <c r="A202" s="19" t="s">
        <v>15</v>
      </c>
      <c r="C202" s="18" t="s">
        <v>551</v>
      </c>
    </row>
    <row r="203">
      <c r="A203" s="19" t="s">
        <v>15</v>
      </c>
      <c r="C203" s="18" t="s">
        <v>404</v>
      </c>
    </row>
    <row r="204">
      <c r="A204" s="19" t="s">
        <v>373</v>
      </c>
      <c r="C204" s="18" t="s">
        <v>445</v>
      </c>
    </row>
    <row r="205">
      <c r="A205" s="19" t="s">
        <v>373</v>
      </c>
      <c r="C205" s="18" t="s">
        <v>575</v>
      </c>
    </row>
    <row r="206">
      <c r="A206" s="19" t="s">
        <v>90</v>
      </c>
      <c r="C206" s="18" t="s">
        <v>80</v>
      </c>
    </row>
    <row r="207">
      <c r="A207" s="19" t="s">
        <v>373</v>
      </c>
      <c r="C207" s="18" t="s">
        <v>352</v>
      </c>
    </row>
    <row r="208">
      <c r="A208" s="19" t="s">
        <v>422</v>
      </c>
      <c r="C208" s="18" t="s">
        <v>285</v>
      </c>
    </row>
    <row r="209">
      <c r="A209" s="19" t="s">
        <v>461</v>
      </c>
      <c r="C209" s="18" t="s">
        <v>259</v>
      </c>
    </row>
    <row r="210">
      <c r="A210" s="19" t="s">
        <v>70</v>
      </c>
      <c r="C210" s="18" t="s">
        <v>253</v>
      </c>
    </row>
    <row r="211">
      <c r="A211" s="19" t="s">
        <v>70</v>
      </c>
      <c r="C211" s="18" t="s">
        <v>389</v>
      </c>
    </row>
    <row r="212">
      <c r="A212" s="19" t="s">
        <v>204</v>
      </c>
      <c r="C212" s="18" t="s">
        <v>525</v>
      </c>
    </row>
    <row r="213">
      <c r="A213" s="19" t="s">
        <v>219</v>
      </c>
      <c r="C213" s="18" t="s">
        <v>299</v>
      </c>
    </row>
    <row r="214">
      <c r="A214" s="19" t="s">
        <v>204</v>
      </c>
      <c r="C214" s="18" t="s">
        <v>491</v>
      </c>
    </row>
    <row r="215">
      <c r="A215" s="19" t="s">
        <v>219</v>
      </c>
      <c r="C215" s="18" t="s">
        <v>520</v>
      </c>
    </row>
    <row r="216">
      <c r="A216" s="19" t="s">
        <v>204</v>
      </c>
      <c r="C216" s="18" t="s">
        <v>216</v>
      </c>
    </row>
    <row r="217">
      <c r="A217" s="19" t="s">
        <v>270</v>
      </c>
      <c r="C217" s="18" t="s">
        <v>149</v>
      </c>
    </row>
    <row r="218">
      <c r="A218" s="19" t="s">
        <v>450</v>
      </c>
      <c r="C218" s="18" t="s">
        <v>322</v>
      </c>
    </row>
    <row r="219">
      <c r="A219" s="19" t="s">
        <v>270</v>
      </c>
      <c r="C219" s="18" t="s">
        <v>421</v>
      </c>
    </row>
    <row r="220">
      <c r="A220" s="19" t="s">
        <v>450</v>
      </c>
      <c r="C220" s="18" t="s">
        <v>530</v>
      </c>
    </row>
    <row r="221">
      <c r="A221" s="19" t="s">
        <v>557</v>
      </c>
      <c r="C221" s="18" t="s">
        <v>542</v>
      </c>
    </row>
    <row r="222">
      <c r="A222" s="19" t="s">
        <v>535</v>
      </c>
      <c r="C222" s="18" t="s">
        <v>567</v>
      </c>
    </row>
    <row r="223">
      <c r="A223" s="19" t="s">
        <v>535</v>
      </c>
      <c r="C223" s="18" t="s">
        <v>119</v>
      </c>
    </row>
    <row r="224">
      <c r="A224" s="19" t="s">
        <v>218</v>
      </c>
      <c r="C224" s="18" t="s">
        <v>573</v>
      </c>
    </row>
    <row r="225">
      <c r="A225" s="19" t="s">
        <v>218</v>
      </c>
      <c r="C225" s="18" t="s">
        <v>88</v>
      </c>
    </row>
    <row r="226">
      <c r="A226" s="19" t="s">
        <v>460</v>
      </c>
      <c r="C226" s="18" t="s">
        <v>526</v>
      </c>
    </row>
    <row r="227">
      <c r="A227" s="19" t="s">
        <v>279</v>
      </c>
      <c r="C227" s="18" t="s">
        <v>381</v>
      </c>
    </row>
    <row r="228">
      <c r="A228" s="19" t="s">
        <v>275</v>
      </c>
      <c r="C228" s="18" t="s">
        <v>514</v>
      </c>
    </row>
    <row r="229">
      <c r="A229" s="19" t="s">
        <v>460</v>
      </c>
      <c r="C229" s="18" t="s">
        <v>212</v>
      </c>
    </row>
    <row r="230">
      <c r="A230" s="19" t="s">
        <v>218</v>
      </c>
      <c r="C230" s="18" t="s">
        <v>345</v>
      </c>
    </row>
    <row r="231">
      <c r="A231" s="19" t="s">
        <v>275</v>
      </c>
      <c r="C231" s="18" t="s">
        <v>208</v>
      </c>
    </row>
    <row r="232">
      <c r="A232" s="19" t="s">
        <v>461</v>
      </c>
      <c r="C232" s="18" t="s">
        <v>565</v>
      </c>
    </row>
    <row r="233">
      <c r="A233" s="19" t="s">
        <v>429</v>
      </c>
      <c r="C233" s="18" t="s">
        <v>376</v>
      </c>
    </row>
    <row r="234">
      <c r="A234" s="19" t="s">
        <v>218</v>
      </c>
      <c r="C234" s="18" t="s">
        <v>133</v>
      </c>
    </row>
    <row r="235">
      <c r="A235" s="19" t="s">
        <v>429</v>
      </c>
      <c r="C235" s="18" t="s">
        <v>102</v>
      </c>
    </row>
    <row r="236">
      <c r="A236" s="19" t="s">
        <v>77</v>
      </c>
      <c r="C236" s="18" t="s">
        <v>278</v>
      </c>
    </row>
    <row r="237">
      <c r="A237" s="19" t="s">
        <v>77</v>
      </c>
      <c r="C237" s="18" t="s">
        <v>468</v>
      </c>
    </row>
    <row r="238">
      <c r="A238" s="19" t="s">
        <v>220</v>
      </c>
      <c r="C238" s="18" t="s">
        <v>249</v>
      </c>
    </row>
    <row r="239">
      <c r="A239" s="19" t="s">
        <v>220</v>
      </c>
      <c r="C239" s="18" t="s">
        <v>451</v>
      </c>
    </row>
    <row r="240">
      <c r="A240" s="19" t="s">
        <v>220</v>
      </c>
      <c r="C240" s="18" t="s">
        <v>68</v>
      </c>
    </row>
    <row r="241">
      <c r="A241" s="19" t="s">
        <v>218</v>
      </c>
      <c r="C241" s="18" t="s">
        <v>76</v>
      </c>
    </row>
    <row r="242">
      <c r="A242" s="19" t="s">
        <v>18</v>
      </c>
      <c r="C242" s="18" t="s">
        <v>129</v>
      </c>
    </row>
    <row r="243">
      <c r="A243" s="19" t="s">
        <v>20</v>
      </c>
      <c r="C243" s="18" t="s">
        <v>134</v>
      </c>
    </row>
    <row r="244">
      <c r="A244" s="19" t="s">
        <v>18</v>
      </c>
      <c r="C244" s="18" t="s">
        <v>41</v>
      </c>
    </row>
    <row r="245">
      <c r="A245" s="19" t="s">
        <v>20</v>
      </c>
      <c r="C245" s="18" t="s">
        <v>207</v>
      </c>
    </row>
    <row r="246">
      <c r="A246" s="19" t="s">
        <v>20</v>
      </c>
      <c r="C246" s="18" t="s">
        <v>593</v>
      </c>
    </row>
    <row r="247">
      <c r="A247" s="19" t="s">
        <v>405</v>
      </c>
      <c r="C247" s="18" t="s">
        <v>399</v>
      </c>
    </row>
    <row r="248">
      <c r="A248" s="19" t="s">
        <v>174</v>
      </c>
      <c r="C248" s="18" t="s">
        <v>488</v>
      </c>
    </row>
    <row r="249">
      <c r="A249" s="19" t="s">
        <v>562</v>
      </c>
      <c r="C249" s="18" t="s">
        <v>40</v>
      </c>
    </row>
    <row r="250">
      <c r="A250" s="19" t="s">
        <v>563</v>
      </c>
      <c r="C250" s="18" t="s">
        <v>24</v>
      </c>
    </row>
    <row r="251">
      <c r="A251" s="19" t="s">
        <v>562</v>
      </c>
      <c r="C251" s="18" t="s">
        <v>217</v>
      </c>
    </row>
    <row r="252">
      <c r="A252" s="19" t="s">
        <v>557</v>
      </c>
      <c r="C252" s="18" t="s">
        <v>314</v>
      </c>
    </row>
    <row r="253">
      <c r="A253" s="19" t="s">
        <v>338</v>
      </c>
      <c r="C253" s="18" t="s">
        <v>588</v>
      </c>
    </row>
    <row r="254">
      <c r="A254" s="19" t="s">
        <v>338</v>
      </c>
      <c r="C254" s="18" t="s">
        <v>97</v>
      </c>
    </row>
    <row r="255">
      <c r="A255" s="19" t="s">
        <v>204</v>
      </c>
      <c r="C255" s="18" t="s">
        <v>109</v>
      </c>
    </row>
    <row r="256">
      <c r="A256" s="19" t="s">
        <v>204</v>
      </c>
      <c r="C256" s="18" t="s">
        <v>379</v>
      </c>
    </row>
    <row r="257">
      <c r="A257" s="19" t="s">
        <v>204</v>
      </c>
      <c r="C257" s="18" t="s">
        <v>380</v>
      </c>
    </row>
    <row r="258">
      <c r="A258" s="19" t="s">
        <v>460</v>
      </c>
      <c r="C258" s="18" t="s">
        <v>385</v>
      </c>
    </row>
    <row r="259">
      <c r="A259" s="19" t="s">
        <v>220</v>
      </c>
      <c r="C259" s="18" t="s">
        <v>38</v>
      </c>
    </row>
    <row r="260">
      <c r="A260" s="19" t="s">
        <v>65</v>
      </c>
      <c r="C260" s="18" t="s">
        <v>294</v>
      </c>
    </row>
    <row r="261">
      <c r="A261" s="19" t="s">
        <v>279</v>
      </c>
      <c r="C261" s="18" t="s">
        <v>83</v>
      </c>
    </row>
    <row r="262">
      <c r="A262" s="19" t="s">
        <v>275</v>
      </c>
      <c r="C262" s="18" t="s">
        <v>93</v>
      </c>
    </row>
    <row r="263">
      <c r="A263" s="19" t="s">
        <v>275</v>
      </c>
      <c r="C263" s="18" t="s">
        <v>456</v>
      </c>
    </row>
    <row r="264">
      <c r="A264" s="19" t="s">
        <v>450</v>
      </c>
      <c r="C264" s="18" t="s">
        <v>210</v>
      </c>
    </row>
    <row r="265">
      <c r="A265" s="19" t="s">
        <v>270</v>
      </c>
      <c r="C265" s="18" t="s">
        <v>33</v>
      </c>
    </row>
    <row r="266">
      <c r="A266" s="19" t="s">
        <v>375</v>
      </c>
      <c r="C266" s="18" t="s">
        <v>392</v>
      </c>
    </row>
    <row r="267">
      <c r="A267" s="19" t="s">
        <v>270</v>
      </c>
      <c r="C267" s="18" t="s">
        <v>263</v>
      </c>
    </row>
    <row r="268">
      <c r="A268" s="19" t="s">
        <v>275</v>
      </c>
      <c r="C268" s="18" t="s">
        <v>458</v>
      </c>
    </row>
    <row r="269">
      <c r="A269" s="19" t="s">
        <v>156</v>
      </c>
      <c r="C269" s="18" t="s">
        <v>490</v>
      </c>
    </row>
    <row r="270">
      <c r="A270" s="19" t="s">
        <v>450</v>
      </c>
      <c r="C270" s="18" t="s">
        <v>471</v>
      </c>
    </row>
    <row r="271">
      <c r="A271" s="19" t="s">
        <v>356</v>
      </c>
      <c r="C271" s="18" t="s">
        <v>397</v>
      </c>
    </row>
    <row r="272">
      <c r="A272" s="19" t="s">
        <v>461</v>
      </c>
      <c r="C272" s="18" t="s">
        <v>442</v>
      </c>
    </row>
    <row r="273">
      <c r="A273" s="19" t="s">
        <v>279</v>
      </c>
      <c r="C273" s="18" t="s">
        <v>324</v>
      </c>
    </row>
    <row r="274">
      <c r="A274" s="19" t="s">
        <v>156</v>
      </c>
      <c r="C274" s="18" t="s">
        <v>387</v>
      </c>
    </row>
    <row r="275">
      <c r="A275" s="19" t="s">
        <v>156</v>
      </c>
      <c r="C275" s="18" t="s">
        <v>585</v>
      </c>
    </row>
    <row r="276">
      <c r="A276" s="19" t="s">
        <v>65</v>
      </c>
      <c r="C276" s="18" t="s">
        <v>288</v>
      </c>
    </row>
    <row r="277">
      <c r="A277" s="19" t="s">
        <v>156</v>
      </c>
      <c r="C277" s="18" t="s">
        <v>21</v>
      </c>
    </row>
    <row r="278">
      <c r="A278" s="19" t="s">
        <v>275</v>
      </c>
      <c r="C278" s="18" t="s">
        <v>165</v>
      </c>
    </row>
    <row r="279">
      <c r="A279" s="19" t="s">
        <v>20</v>
      </c>
      <c r="C279" s="18" t="s">
        <v>113</v>
      </c>
    </row>
    <row r="280">
      <c r="A280" s="19" t="s">
        <v>423</v>
      </c>
      <c r="C280" s="18" t="s">
        <v>246</v>
      </c>
    </row>
    <row r="281">
      <c r="A281" s="19" t="s">
        <v>77</v>
      </c>
      <c r="C281" s="18" t="s">
        <v>415</v>
      </c>
    </row>
    <row r="282">
      <c r="A282" s="19" t="s">
        <v>156</v>
      </c>
      <c r="C282" s="18" t="s">
        <v>273</v>
      </c>
    </row>
    <row r="283">
      <c r="A283" s="19" t="s">
        <v>247</v>
      </c>
      <c r="C283" s="18" t="s">
        <v>243</v>
      </c>
    </row>
    <row r="284">
      <c r="A284" s="19" t="s">
        <v>65</v>
      </c>
      <c r="C284" s="18" t="s">
        <v>185</v>
      </c>
    </row>
    <row r="285">
      <c r="A285" s="19" t="s">
        <v>77</v>
      </c>
      <c r="C285" s="18" t="s">
        <v>107</v>
      </c>
    </row>
    <row r="286">
      <c r="A286" s="19" t="s">
        <v>393</v>
      </c>
      <c r="C286" s="18" t="s">
        <v>187</v>
      </c>
    </row>
    <row r="287">
      <c r="A287" s="19" t="s">
        <v>204</v>
      </c>
      <c r="C287" s="18" t="s">
        <v>284</v>
      </c>
    </row>
    <row r="288">
      <c r="A288" s="19" t="s">
        <v>405</v>
      </c>
      <c r="C288" s="18" t="s">
        <v>229</v>
      </c>
    </row>
    <row r="289">
      <c r="A289" s="19" t="s">
        <v>247</v>
      </c>
      <c r="C289" s="18" t="s">
        <v>115</v>
      </c>
    </row>
    <row r="290">
      <c r="A290" s="19" t="s">
        <v>65</v>
      </c>
      <c r="C290" s="18" t="s">
        <v>200</v>
      </c>
    </row>
    <row r="291">
      <c r="A291" s="19" t="s">
        <v>279</v>
      </c>
      <c r="C291" s="18" t="s">
        <v>545</v>
      </c>
    </row>
    <row r="292">
      <c r="A292" s="19" t="s">
        <v>247</v>
      </c>
      <c r="C292" s="18" t="s">
        <v>39</v>
      </c>
    </row>
    <row r="293">
      <c r="A293" s="19" t="s">
        <v>562</v>
      </c>
      <c r="C293" s="18" t="s">
        <v>81</v>
      </c>
    </row>
    <row r="294">
      <c r="A294" s="19" t="s">
        <v>879</v>
      </c>
      <c r="C294" s="18" t="s">
        <v>362</v>
      </c>
    </row>
    <row r="295">
      <c r="A295" s="19" t="s">
        <v>879</v>
      </c>
      <c r="C295" s="18" t="s">
        <v>374</v>
      </c>
    </row>
    <row r="296">
      <c r="A296" s="19" t="s">
        <v>879</v>
      </c>
      <c r="C296" s="18" t="s">
        <v>235</v>
      </c>
    </row>
    <row r="297">
      <c r="A297" s="19" t="s">
        <v>879</v>
      </c>
      <c r="C297" s="18" t="s">
        <v>304</v>
      </c>
    </row>
    <row r="298">
      <c r="A298" s="19" t="s">
        <v>879</v>
      </c>
      <c r="C298" s="18" t="s">
        <v>274</v>
      </c>
    </row>
    <row r="299">
      <c r="A299" s="19" t="s">
        <v>879</v>
      </c>
      <c r="C299" s="18" t="s">
        <v>466</v>
      </c>
    </row>
    <row r="300">
      <c r="A300" s="19" t="s">
        <v>879</v>
      </c>
      <c r="C300" s="18" t="s">
        <v>82</v>
      </c>
    </row>
    <row r="301">
      <c r="A301" s="19" t="s">
        <v>879</v>
      </c>
      <c r="C301" s="18" t="s">
        <v>32</v>
      </c>
    </row>
    <row r="302">
      <c r="A302" s="19" t="s">
        <v>879</v>
      </c>
      <c r="C302" s="18" t="s">
        <v>87</v>
      </c>
    </row>
    <row r="303">
      <c r="A303" s="19" t="s">
        <v>879</v>
      </c>
      <c r="C303" s="18" t="s">
        <v>282</v>
      </c>
    </row>
    <row r="304">
      <c r="A304" s="19" t="s">
        <v>879</v>
      </c>
      <c r="C304" s="18" t="s">
        <v>301</v>
      </c>
    </row>
    <row r="305">
      <c r="A305" s="19" t="s">
        <v>879</v>
      </c>
      <c r="C305" s="18" t="s">
        <v>584</v>
      </c>
    </row>
    <row r="306">
      <c r="A306" s="19" t="s">
        <v>879</v>
      </c>
      <c r="C306" s="18" t="s">
        <v>367</v>
      </c>
    </row>
    <row r="307">
      <c r="A307" s="19" t="s">
        <v>879</v>
      </c>
      <c r="C307" s="18" t="s">
        <v>112</v>
      </c>
    </row>
    <row r="308">
      <c r="A308" s="19" t="s">
        <v>879</v>
      </c>
      <c r="C308" s="18" t="s">
        <v>27</v>
      </c>
    </row>
    <row r="309">
      <c r="A309" s="19" t="s">
        <v>879</v>
      </c>
      <c r="C309" s="18" t="s">
        <v>425</v>
      </c>
    </row>
    <row r="310">
      <c r="A310" s="19" t="s">
        <v>879</v>
      </c>
      <c r="C310" s="18" t="s">
        <v>195</v>
      </c>
    </row>
    <row r="311">
      <c r="A311" s="19" t="s">
        <v>879</v>
      </c>
      <c r="C311" s="18" t="s">
        <v>56</v>
      </c>
    </row>
    <row r="312">
      <c r="A312" s="19" t="s">
        <v>879</v>
      </c>
      <c r="C312" s="18" t="s">
        <v>124</v>
      </c>
    </row>
    <row r="313">
      <c r="A313" s="19" t="s">
        <v>879</v>
      </c>
      <c r="C313" s="18" t="s">
        <v>390</v>
      </c>
    </row>
    <row r="314">
      <c r="A314" s="19" t="s">
        <v>879</v>
      </c>
      <c r="C314" s="18" t="s">
        <v>227</v>
      </c>
    </row>
    <row r="315">
      <c r="A315" s="19" t="s">
        <v>879</v>
      </c>
      <c r="C315" s="18" t="s">
        <v>296</v>
      </c>
    </row>
    <row r="316">
      <c r="A316" s="19" t="s">
        <v>879</v>
      </c>
      <c r="C316" s="18" t="s">
        <v>323</v>
      </c>
    </row>
    <row r="317">
      <c r="A317" s="19" t="s">
        <v>879</v>
      </c>
      <c r="C317" s="18" t="s">
        <v>462</v>
      </c>
    </row>
    <row r="318">
      <c r="A318" s="19" t="s">
        <v>879</v>
      </c>
      <c r="C318" s="18" t="s">
        <v>48</v>
      </c>
    </row>
    <row r="319">
      <c r="A319" s="19" t="s">
        <v>879</v>
      </c>
      <c r="C319" s="18" t="s">
        <v>29</v>
      </c>
    </row>
    <row r="320">
      <c r="A320" s="19" t="s">
        <v>879</v>
      </c>
      <c r="C320" s="18" t="s">
        <v>492</v>
      </c>
    </row>
    <row r="321">
      <c r="A321" s="19" t="s">
        <v>879</v>
      </c>
      <c r="C321" s="18" t="s">
        <v>564</v>
      </c>
    </row>
    <row r="322">
      <c r="A322" s="19" t="s">
        <v>879</v>
      </c>
      <c r="C322" s="18" t="s">
        <v>283</v>
      </c>
    </row>
    <row r="323">
      <c r="A323" s="19" t="s">
        <v>879</v>
      </c>
      <c r="C323" s="18" t="s">
        <v>289</v>
      </c>
    </row>
    <row r="324">
      <c r="A324" s="19" t="s">
        <v>879</v>
      </c>
      <c r="C324" s="18" t="s">
        <v>503</v>
      </c>
    </row>
    <row r="325">
      <c r="A325" s="19" t="s">
        <v>879</v>
      </c>
      <c r="C325" s="18" t="s">
        <v>168</v>
      </c>
    </row>
    <row r="326">
      <c r="A326" s="19" t="s">
        <v>879</v>
      </c>
      <c r="C326" s="18" t="s">
        <v>523</v>
      </c>
    </row>
    <row r="327">
      <c r="A327" s="19" t="s">
        <v>879</v>
      </c>
      <c r="C327" s="18" t="s">
        <v>576</v>
      </c>
    </row>
    <row r="328">
      <c r="A328" s="19" t="s">
        <v>879</v>
      </c>
      <c r="C328" s="18" t="s">
        <v>171</v>
      </c>
    </row>
    <row r="329">
      <c r="A329" s="19" t="s">
        <v>879</v>
      </c>
      <c r="C329" s="18" t="s">
        <v>189</v>
      </c>
    </row>
    <row r="330">
      <c r="A330" s="19" t="s">
        <v>879</v>
      </c>
      <c r="C330" s="18" t="s">
        <v>533</v>
      </c>
    </row>
    <row r="331">
      <c r="A331" s="19" t="s">
        <v>879</v>
      </c>
      <c r="C331" s="18" t="s">
        <v>26</v>
      </c>
    </row>
    <row r="332">
      <c r="A332" s="19" t="s">
        <v>879</v>
      </c>
      <c r="C332" s="18" t="s">
        <v>561</v>
      </c>
    </row>
    <row r="333">
      <c r="A333" s="19" t="s">
        <v>879</v>
      </c>
      <c r="C333" s="18" t="s">
        <v>360</v>
      </c>
    </row>
    <row r="334">
      <c r="A334" s="19" t="s">
        <v>879</v>
      </c>
      <c r="C334" s="18" t="s">
        <v>444</v>
      </c>
    </row>
    <row r="335">
      <c r="A335" s="19" t="s">
        <v>879</v>
      </c>
      <c r="C335" s="18" t="s">
        <v>151</v>
      </c>
    </row>
    <row r="336">
      <c r="A336" s="19" t="s">
        <v>879</v>
      </c>
      <c r="C336" s="18" t="s">
        <v>99</v>
      </c>
    </row>
    <row r="337">
      <c r="A337" s="19" t="s">
        <v>879</v>
      </c>
      <c r="C337" s="18" t="s">
        <v>311</v>
      </c>
    </row>
    <row r="338">
      <c r="A338" s="19" t="s">
        <v>879</v>
      </c>
      <c r="C338" s="18" t="s">
        <v>110</v>
      </c>
    </row>
    <row r="339">
      <c r="A339" s="19" t="s">
        <v>879</v>
      </c>
      <c r="C339" s="18" t="s">
        <v>295</v>
      </c>
    </row>
    <row r="340">
      <c r="A340" s="19" t="s">
        <v>879</v>
      </c>
      <c r="C340" s="18" t="s">
        <v>248</v>
      </c>
    </row>
    <row r="341">
      <c r="A341" s="19" t="s">
        <v>879</v>
      </c>
      <c r="C341" s="18" t="s">
        <v>92</v>
      </c>
    </row>
    <row r="342">
      <c r="A342" s="19" t="s">
        <v>879</v>
      </c>
      <c r="C342" s="18" t="s">
        <v>302</v>
      </c>
    </row>
    <row r="343">
      <c r="A343" s="19" t="s">
        <v>879</v>
      </c>
      <c r="C343" s="18" t="s">
        <v>313</v>
      </c>
    </row>
    <row r="344">
      <c r="A344" s="19" t="s">
        <v>879</v>
      </c>
      <c r="C344" s="18" t="s">
        <v>317</v>
      </c>
    </row>
    <row r="345">
      <c r="A345" s="19" t="s">
        <v>879</v>
      </c>
      <c r="C345" s="18" t="s">
        <v>402</v>
      </c>
    </row>
    <row r="346">
      <c r="A346" s="19" t="s">
        <v>879</v>
      </c>
      <c r="C346" s="18" t="s">
        <v>366</v>
      </c>
    </row>
    <row r="347">
      <c r="A347" s="19" t="s">
        <v>879</v>
      </c>
      <c r="C347" s="18" t="s">
        <v>483</v>
      </c>
    </row>
    <row r="348">
      <c r="A348" s="19" t="s">
        <v>879</v>
      </c>
      <c r="C348" s="18" t="s">
        <v>43</v>
      </c>
    </row>
    <row r="349">
      <c r="A349" s="19" t="s">
        <v>879</v>
      </c>
      <c r="C349" s="18" t="s">
        <v>728</v>
      </c>
    </row>
    <row r="350">
      <c r="A350" s="19" t="s">
        <v>879</v>
      </c>
      <c r="C350" s="18" t="s">
        <v>225</v>
      </c>
    </row>
    <row r="351">
      <c r="A351" s="19" t="s">
        <v>879</v>
      </c>
      <c r="C351" s="18" t="s">
        <v>412</v>
      </c>
    </row>
    <row r="352">
      <c r="A352" s="19" t="s">
        <v>879</v>
      </c>
      <c r="C352" s="18" t="s">
        <v>361</v>
      </c>
    </row>
    <row r="353">
      <c r="A353" s="19" t="s">
        <v>879</v>
      </c>
      <c r="C353" s="18" t="s">
        <v>819</v>
      </c>
    </row>
    <row r="354">
      <c r="A354" s="19" t="s">
        <v>879</v>
      </c>
      <c r="C354" s="18" t="s">
        <v>162</v>
      </c>
    </row>
    <row r="355">
      <c r="A355" s="19" t="s">
        <v>879</v>
      </c>
      <c r="C355" s="18" t="s">
        <v>791</v>
      </c>
    </row>
    <row r="356">
      <c r="A356" s="19" t="s">
        <v>879</v>
      </c>
      <c r="C356" s="18" t="s">
        <v>815</v>
      </c>
    </row>
    <row r="357">
      <c r="A357" s="19" t="s">
        <v>879</v>
      </c>
      <c r="C357" s="18" t="s">
        <v>111</v>
      </c>
    </row>
    <row r="358">
      <c r="A358" s="19" t="s">
        <v>879</v>
      </c>
      <c r="C358" s="18" t="s">
        <v>50</v>
      </c>
    </row>
    <row r="359">
      <c r="A359" s="19" t="s">
        <v>879</v>
      </c>
      <c r="C359" s="18" t="s">
        <v>410</v>
      </c>
    </row>
    <row r="360">
      <c r="A360" s="19" t="s">
        <v>879</v>
      </c>
      <c r="C360" s="18" t="s">
        <v>749</v>
      </c>
    </row>
    <row r="361">
      <c r="A361" s="19" t="s">
        <v>879</v>
      </c>
      <c r="C361" s="18" t="s">
        <v>139</v>
      </c>
    </row>
    <row r="362">
      <c r="A362" s="19" t="s">
        <v>879</v>
      </c>
      <c r="C362" s="18" t="s">
        <v>228</v>
      </c>
    </row>
    <row r="363">
      <c r="A363" s="19" t="s">
        <v>879</v>
      </c>
      <c r="C363" s="18" t="s">
        <v>330</v>
      </c>
    </row>
    <row r="364">
      <c r="A364" s="19" t="s">
        <v>879</v>
      </c>
      <c r="C364" s="18" t="s">
        <v>37</v>
      </c>
    </row>
    <row r="365">
      <c r="A365" s="19" t="s">
        <v>879</v>
      </c>
      <c r="C365" s="18" t="s">
        <v>286</v>
      </c>
    </row>
    <row r="366">
      <c r="A366" s="19" t="s">
        <v>879</v>
      </c>
      <c r="C366" s="18" t="s">
        <v>811</v>
      </c>
    </row>
    <row r="367">
      <c r="A367" s="19" t="s">
        <v>879</v>
      </c>
      <c r="C367" s="18" t="s">
        <v>804</v>
      </c>
    </row>
    <row r="368">
      <c r="A368" s="19" t="s">
        <v>879</v>
      </c>
      <c r="C368" s="18" t="s">
        <v>813</v>
      </c>
    </row>
    <row r="369">
      <c r="A369" s="19" t="s">
        <v>879</v>
      </c>
      <c r="C369" s="18" t="s">
        <v>818</v>
      </c>
    </row>
    <row r="370">
      <c r="A370" s="19" t="s">
        <v>879</v>
      </c>
      <c r="C370" s="18" t="s">
        <v>116</v>
      </c>
    </row>
    <row r="371">
      <c r="A371" s="19" t="s">
        <v>879</v>
      </c>
      <c r="C371" s="18" t="s">
        <v>328</v>
      </c>
    </row>
    <row r="372">
      <c r="A372" s="19" t="s">
        <v>879</v>
      </c>
      <c r="C372" s="18" t="s">
        <v>750</v>
      </c>
    </row>
    <row r="373">
      <c r="A373" s="19" t="s">
        <v>879</v>
      </c>
      <c r="C373" s="18" t="s">
        <v>169</v>
      </c>
    </row>
    <row r="374">
      <c r="A374" s="19" t="s">
        <v>422</v>
      </c>
      <c r="C374" s="18" t="s">
        <v>368</v>
      </c>
    </row>
    <row r="375">
      <c r="A375" s="19" t="s">
        <v>879</v>
      </c>
      <c r="C375" s="18" t="s">
        <v>624</v>
      </c>
    </row>
    <row r="376">
      <c r="A376" s="19" t="s">
        <v>879</v>
      </c>
      <c r="C376" s="18" t="s">
        <v>507</v>
      </c>
    </row>
    <row r="377">
      <c r="A377" s="19" t="s">
        <v>405</v>
      </c>
      <c r="C377" s="18" t="s">
        <v>297</v>
      </c>
    </row>
    <row r="378">
      <c r="A378" s="19" t="s">
        <v>219</v>
      </c>
      <c r="C378" s="18" t="s">
        <v>318</v>
      </c>
    </row>
    <row r="379">
      <c r="A379" s="19" t="s">
        <v>879</v>
      </c>
      <c r="C379" s="18" t="s">
        <v>474</v>
      </c>
    </row>
    <row r="380">
      <c r="A380" s="19" t="s">
        <v>879</v>
      </c>
      <c r="C380" s="18" t="s">
        <v>136</v>
      </c>
    </row>
    <row r="381">
      <c r="A381" s="19" t="s">
        <v>879</v>
      </c>
      <c r="C381" s="18" t="s">
        <v>501</v>
      </c>
    </row>
    <row r="382">
      <c r="A382" s="19" t="s">
        <v>879</v>
      </c>
      <c r="C382" s="18" t="s">
        <v>398</v>
      </c>
    </row>
    <row r="383">
      <c r="A383" s="19" t="s">
        <v>879</v>
      </c>
      <c r="C383" s="18" t="s">
        <v>340</v>
      </c>
    </row>
    <row r="384">
      <c r="A384" s="19" t="s">
        <v>879</v>
      </c>
      <c r="C384" s="18" t="s">
        <v>106</v>
      </c>
    </row>
    <row r="385">
      <c r="A385" s="19" t="s">
        <v>879</v>
      </c>
      <c r="C385" s="18" t="s">
        <v>49</v>
      </c>
    </row>
    <row r="386">
      <c r="A386" s="19" t="s">
        <v>879</v>
      </c>
      <c r="C386" s="18" t="s">
        <v>293</v>
      </c>
    </row>
    <row r="387">
      <c r="A387" s="19" t="s">
        <v>879</v>
      </c>
      <c r="C387" s="18" t="s">
        <v>256</v>
      </c>
    </row>
    <row r="388">
      <c r="A388" s="19" t="s">
        <v>879</v>
      </c>
      <c r="C388" s="18" t="s">
        <v>406</v>
      </c>
    </row>
    <row r="389">
      <c r="A389" s="19" t="s">
        <v>879</v>
      </c>
      <c r="C389" s="18" t="s">
        <v>209</v>
      </c>
    </row>
    <row r="390">
      <c r="A390" s="19" t="s">
        <v>879</v>
      </c>
      <c r="C390" s="18" t="s">
        <v>214</v>
      </c>
    </row>
    <row r="391">
      <c r="A391" s="19" t="s">
        <v>879</v>
      </c>
      <c r="C391" s="18" t="s">
        <v>160</v>
      </c>
    </row>
    <row r="392">
      <c r="A392" s="19" t="s">
        <v>879</v>
      </c>
      <c r="C392" s="18" t="s">
        <v>472</v>
      </c>
    </row>
    <row r="393">
      <c r="A393" s="19" t="s">
        <v>879</v>
      </c>
      <c r="C393" s="18" t="s">
        <v>281</v>
      </c>
    </row>
    <row r="394">
      <c r="A394" s="19" t="s">
        <v>879</v>
      </c>
      <c r="C394" s="18" t="s">
        <v>470</v>
      </c>
    </row>
    <row r="395">
      <c r="A395" s="19" t="s">
        <v>879</v>
      </c>
      <c r="C395" s="18" t="s">
        <v>104</v>
      </c>
    </row>
    <row r="396">
      <c r="A396" s="19" t="s">
        <v>879</v>
      </c>
      <c r="C396" s="18" t="s">
        <v>66</v>
      </c>
    </row>
    <row r="397">
      <c r="A397" s="19" t="s">
        <v>879</v>
      </c>
      <c r="C397" s="18" t="s">
        <v>363</v>
      </c>
    </row>
    <row r="398">
      <c r="A398" s="19" t="s">
        <v>879</v>
      </c>
      <c r="C398" s="18" t="s">
        <v>432</v>
      </c>
    </row>
    <row r="399">
      <c r="A399" s="19" t="s">
        <v>879</v>
      </c>
      <c r="C399" s="18" t="s">
        <v>231</v>
      </c>
    </row>
    <row r="400">
      <c r="A400" s="19" t="s">
        <v>879</v>
      </c>
      <c r="C400" s="18" t="s">
        <v>475</v>
      </c>
    </row>
    <row r="401">
      <c r="A401" s="19" t="s">
        <v>879</v>
      </c>
      <c r="C401" s="18" t="s">
        <v>122</v>
      </c>
    </row>
    <row r="402">
      <c r="A402" s="19" t="s">
        <v>879</v>
      </c>
      <c r="C402" s="18" t="s">
        <v>805</v>
      </c>
    </row>
    <row r="403">
      <c r="A403" s="19" t="s">
        <v>879</v>
      </c>
      <c r="C403" s="18" t="s">
        <v>799</v>
      </c>
    </row>
    <row r="404">
      <c r="A404" s="19" t="s">
        <v>879</v>
      </c>
      <c r="C404" s="18" t="s">
        <v>817</v>
      </c>
    </row>
    <row r="405">
      <c r="A405" s="19" t="s">
        <v>879</v>
      </c>
      <c r="C405" s="18" t="s">
        <v>796</v>
      </c>
    </row>
    <row r="406">
      <c r="A406" s="19" t="s">
        <v>879</v>
      </c>
      <c r="C406" s="18" t="s">
        <v>515</v>
      </c>
    </row>
    <row r="407">
      <c r="A407" s="19" t="s">
        <v>879</v>
      </c>
      <c r="C407" s="18" t="s">
        <v>103</v>
      </c>
    </row>
    <row r="408">
      <c r="A408" s="19" t="s">
        <v>879</v>
      </c>
      <c r="C408" s="18" t="s">
        <v>793</v>
      </c>
    </row>
    <row r="409">
      <c r="A409" s="19" t="s">
        <v>879</v>
      </c>
      <c r="C409" s="18" t="s">
        <v>199</v>
      </c>
    </row>
    <row r="410">
      <c r="A410" s="19" t="s">
        <v>879</v>
      </c>
      <c r="C410" s="18" t="s">
        <v>232</v>
      </c>
    </row>
    <row r="411">
      <c r="A411" s="19" t="s">
        <v>879</v>
      </c>
      <c r="C411" s="18" t="s">
        <v>500</v>
      </c>
    </row>
    <row r="412">
      <c r="A412" s="19" t="s">
        <v>879</v>
      </c>
      <c r="C412" s="18" t="s">
        <v>411</v>
      </c>
    </row>
    <row r="413">
      <c r="A413" s="19" t="s">
        <v>879</v>
      </c>
      <c r="C413" s="18" t="s">
        <v>414</v>
      </c>
    </row>
    <row r="414">
      <c r="A414" s="19" t="s">
        <v>879</v>
      </c>
      <c r="C414" s="18" t="s">
        <v>880</v>
      </c>
    </row>
    <row r="415">
      <c r="A415" s="19" t="s">
        <v>879</v>
      </c>
      <c r="C415" s="18" t="s">
        <v>497</v>
      </c>
    </row>
    <row r="416">
      <c r="A416" s="19" t="s">
        <v>879</v>
      </c>
      <c r="C416" s="18" t="s">
        <v>752</v>
      </c>
    </row>
    <row r="417">
      <c r="A417" s="19" t="s">
        <v>879</v>
      </c>
      <c r="C417" s="18" t="s">
        <v>144</v>
      </c>
    </row>
    <row r="418">
      <c r="A418" s="19" t="s">
        <v>879</v>
      </c>
      <c r="C418" s="18" t="s">
        <v>469</v>
      </c>
    </row>
    <row r="419">
      <c r="A419" s="19" t="s">
        <v>879</v>
      </c>
      <c r="C419" s="18" t="s">
        <v>473</v>
      </c>
    </row>
    <row r="420">
      <c r="A420" s="19" t="s">
        <v>879</v>
      </c>
      <c r="C420" s="18" t="s">
        <v>401</v>
      </c>
    </row>
    <row r="421">
      <c r="A421" s="19" t="s">
        <v>879</v>
      </c>
      <c r="C421" s="18" t="s">
        <v>580</v>
      </c>
    </row>
    <row r="422">
      <c r="A422" s="19" t="s">
        <v>879</v>
      </c>
      <c r="C422" s="18" t="s">
        <v>135</v>
      </c>
    </row>
    <row r="423">
      <c r="A423" s="19" t="s">
        <v>879</v>
      </c>
      <c r="C423" s="18" t="s">
        <v>170</v>
      </c>
    </row>
    <row r="424">
      <c r="A424" s="19" t="s">
        <v>879</v>
      </c>
      <c r="C424" s="18" t="s">
        <v>829</v>
      </c>
    </row>
    <row r="425">
      <c r="A425" s="19" t="s">
        <v>879</v>
      </c>
      <c r="C425" s="18" t="s">
        <v>164</v>
      </c>
    </row>
    <row r="426">
      <c r="A426" s="19" t="s">
        <v>879</v>
      </c>
      <c r="C426" s="18" t="s">
        <v>757</v>
      </c>
    </row>
    <row r="427">
      <c r="A427" s="19" t="s">
        <v>879</v>
      </c>
      <c r="C427" s="18" t="s">
        <v>820</v>
      </c>
    </row>
    <row r="428">
      <c r="A428" s="19" t="s">
        <v>879</v>
      </c>
      <c r="C428" s="18" t="s">
        <v>201</v>
      </c>
    </row>
    <row r="429">
      <c r="A429" s="19" t="s">
        <v>879</v>
      </c>
      <c r="C429" s="18" t="s">
        <v>264</v>
      </c>
    </row>
    <row r="430">
      <c r="A430" s="19" t="s">
        <v>879</v>
      </c>
      <c r="C430" s="18" t="s">
        <v>309</v>
      </c>
    </row>
    <row r="431">
      <c r="A431" s="19" t="s">
        <v>879</v>
      </c>
      <c r="C431" s="18" t="s">
        <v>114</v>
      </c>
    </row>
    <row r="432">
      <c r="A432" s="19" t="s">
        <v>879</v>
      </c>
      <c r="C432" s="18" t="s">
        <v>371</v>
      </c>
    </row>
    <row r="433">
      <c r="A433" s="19" t="s">
        <v>879</v>
      </c>
      <c r="C433" s="18" t="s">
        <v>771</v>
      </c>
    </row>
    <row r="434">
      <c r="A434" s="19" t="s">
        <v>879</v>
      </c>
      <c r="C434" s="18" t="s">
        <v>806</v>
      </c>
    </row>
    <row r="435">
      <c r="A435" s="19" t="s">
        <v>879</v>
      </c>
      <c r="C435" s="18" t="s">
        <v>795</v>
      </c>
    </row>
    <row r="436">
      <c r="A436" s="19" t="s">
        <v>879</v>
      </c>
      <c r="C436" s="18" t="s">
        <v>79</v>
      </c>
    </row>
    <row r="437">
      <c r="A437" s="19" t="s">
        <v>879</v>
      </c>
      <c r="C437" s="18" t="s">
        <v>335</v>
      </c>
    </row>
    <row r="438">
      <c r="A438" s="19" t="s">
        <v>879</v>
      </c>
      <c r="C438" s="18" t="s">
        <v>54</v>
      </c>
    </row>
    <row r="439">
      <c r="A439" s="19" t="s">
        <v>879</v>
      </c>
      <c r="C439" s="18" t="s">
        <v>465</v>
      </c>
    </row>
    <row r="440">
      <c r="A440" s="19" t="s">
        <v>879</v>
      </c>
      <c r="C440" s="18" t="s">
        <v>454</v>
      </c>
    </row>
    <row r="441">
      <c r="A441" s="19" t="s">
        <v>879</v>
      </c>
      <c r="C441" s="18" t="s">
        <v>825</v>
      </c>
    </row>
    <row r="442">
      <c r="A442" s="19" t="s">
        <v>879</v>
      </c>
      <c r="C442" s="18" t="s">
        <v>554</v>
      </c>
    </row>
    <row r="443">
      <c r="A443" s="19" t="s">
        <v>879</v>
      </c>
      <c r="C443" s="18" t="s">
        <v>821</v>
      </c>
    </row>
    <row r="444">
      <c r="A444" s="19" t="s">
        <v>879</v>
      </c>
      <c r="C444" s="18" t="s">
        <v>816</v>
      </c>
    </row>
    <row r="445">
      <c r="A445" s="19" t="s">
        <v>879</v>
      </c>
      <c r="C445" s="18" t="s">
        <v>196</v>
      </c>
    </row>
    <row r="446">
      <c r="A446" s="19" t="s">
        <v>879</v>
      </c>
      <c r="C446" s="18" t="s">
        <v>430</v>
      </c>
    </row>
    <row r="447">
      <c r="A447" s="19" t="s">
        <v>879</v>
      </c>
      <c r="C447" s="18" t="s">
        <v>843</v>
      </c>
    </row>
    <row r="448">
      <c r="A448" s="19" t="s">
        <v>879</v>
      </c>
      <c r="C448" s="18" t="s">
        <v>754</v>
      </c>
    </row>
    <row r="449">
      <c r="A449" s="19" t="s">
        <v>879</v>
      </c>
      <c r="C449" s="18" t="s">
        <v>881</v>
      </c>
    </row>
    <row r="450">
      <c r="A450" s="19" t="s">
        <v>879</v>
      </c>
      <c r="C450" s="18" t="s">
        <v>166</v>
      </c>
    </row>
    <row r="451">
      <c r="A451" s="19" t="s">
        <v>879</v>
      </c>
      <c r="C451" s="18" t="s">
        <v>839</v>
      </c>
    </row>
    <row r="452">
      <c r="A452" s="19" t="s">
        <v>879</v>
      </c>
      <c r="C452" s="18" t="s">
        <v>830</v>
      </c>
    </row>
    <row r="453">
      <c r="A453" s="19" t="s">
        <v>879</v>
      </c>
      <c r="C453" s="18" t="s">
        <v>810</v>
      </c>
    </row>
    <row r="454">
      <c r="A454" s="19" t="s">
        <v>879</v>
      </c>
      <c r="C454" s="18" t="s">
        <v>326</v>
      </c>
    </row>
    <row r="455">
      <c r="A455" s="19" t="s">
        <v>455</v>
      </c>
      <c r="C455" s="18" t="s">
        <v>532</v>
      </c>
    </row>
    <row r="456">
      <c r="A456" s="19" t="s">
        <v>255</v>
      </c>
      <c r="C456" s="18" t="s">
        <v>559</v>
      </c>
    </row>
    <row r="457">
      <c r="A457" s="19" t="s">
        <v>53</v>
      </c>
      <c r="C457" s="18" t="s">
        <v>476</v>
      </c>
    </row>
    <row r="458">
      <c r="A458" s="19" t="s">
        <v>159</v>
      </c>
      <c r="C458" s="18" t="s">
        <v>486</v>
      </c>
    </row>
    <row r="459">
      <c r="A459" s="19" t="s">
        <v>258</v>
      </c>
      <c r="C459" s="18" t="s">
        <v>511</v>
      </c>
    </row>
    <row r="460">
      <c r="A460" s="19" t="s">
        <v>354</v>
      </c>
      <c r="C460" s="18" t="s">
        <v>570</v>
      </c>
    </row>
    <row r="461">
      <c r="A461" s="19" t="s">
        <v>354</v>
      </c>
      <c r="C461" s="18" t="s">
        <v>512</v>
      </c>
    </row>
    <row r="462">
      <c r="A462" s="19" t="s">
        <v>72</v>
      </c>
      <c r="C462" s="18" t="s">
        <v>538</v>
      </c>
    </row>
    <row r="463">
      <c r="A463" s="19" t="s">
        <v>266</v>
      </c>
      <c r="C463" s="18"/>
    </row>
    <row r="464">
      <c r="A464" s="19" t="s">
        <v>271</v>
      </c>
    </row>
    <row r="465">
      <c r="A465" s="19" t="s">
        <v>578</v>
      </c>
    </row>
    <row r="466">
      <c r="A466" s="19" t="s">
        <v>578</v>
      </c>
    </row>
    <row r="467">
      <c r="A467" s="19" t="s">
        <v>205</v>
      </c>
    </row>
    <row r="468">
      <c r="A468" s="19" t="s">
        <v>182</v>
      </c>
    </row>
    <row r="469">
      <c r="A469" s="19" t="s">
        <v>205</v>
      </c>
    </row>
    <row r="470">
      <c r="A470" s="19" t="s">
        <v>266</v>
      </c>
    </row>
    <row r="471">
      <c r="A471" s="19" t="s">
        <v>266</v>
      </c>
    </row>
    <row r="472">
      <c r="A472" s="19" t="s">
        <v>578</v>
      </c>
    </row>
    <row r="473">
      <c r="A473" s="19" t="s">
        <v>96</v>
      </c>
    </row>
    <row r="474">
      <c r="A474" s="19" t="s">
        <v>96</v>
      </c>
    </row>
    <row r="475">
      <c r="A475" s="19" t="s">
        <v>271</v>
      </c>
    </row>
    <row r="476">
      <c r="A476" s="19" t="s">
        <v>268</v>
      </c>
    </row>
    <row r="477">
      <c r="A477" s="19" t="s">
        <v>268</v>
      </c>
    </row>
    <row r="478">
      <c r="A478" s="19" t="s">
        <v>268</v>
      </c>
    </row>
    <row r="479">
      <c r="A479" s="19" t="s">
        <v>72</v>
      </c>
    </row>
    <row r="480">
      <c r="A480" s="19" t="s">
        <v>879</v>
      </c>
    </row>
    <row r="481">
      <c r="A481" s="19" t="s">
        <v>455</v>
      </c>
    </row>
    <row r="482">
      <c r="A482" s="19" t="s">
        <v>96</v>
      </c>
    </row>
    <row r="483">
      <c r="A483" s="19" t="s">
        <v>78</v>
      </c>
    </row>
    <row r="484">
      <c r="A484" s="19" t="s">
        <v>78</v>
      </c>
    </row>
    <row r="485">
      <c r="A485" s="19" t="s">
        <v>879</v>
      </c>
    </row>
    <row r="486">
      <c r="A486" s="19" t="s">
        <v>268</v>
      </c>
    </row>
    <row r="487">
      <c r="A487" s="19" t="s">
        <v>78</v>
      </c>
    </row>
    <row r="488">
      <c r="A488" s="19" t="s">
        <v>205</v>
      </c>
    </row>
    <row r="489">
      <c r="A489" s="19" t="s">
        <v>72</v>
      </c>
    </row>
    <row r="490">
      <c r="A490" s="19" t="s">
        <v>280</v>
      </c>
    </row>
    <row r="491">
      <c r="A491" s="19" t="s">
        <v>159</v>
      </c>
    </row>
    <row r="492">
      <c r="A492" s="19" t="s">
        <v>879</v>
      </c>
    </row>
    <row r="493">
      <c r="A493" s="19" t="s">
        <v>96</v>
      </c>
    </row>
    <row r="494">
      <c r="A494" s="19" t="s">
        <v>159</v>
      </c>
    </row>
    <row r="495">
      <c r="A495" s="19" t="s">
        <v>271</v>
      </c>
    </row>
    <row r="496">
      <c r="A496" s="19" t="s">
        <v>268</v>
      </c>
    </row>
    <row r="497">
      <c r="A497" s="19" t="s">
        <v>96</v>
      </c>
    </row>
    <row r="498">
      <c r="A498" s="19" t="s">
        <v>96</v>
      </c>
    </row>
    <row r="499">
      <c r="A499" s="19" t="s">
        <v>159</v>
      </c>
    </row>
    <row r="500">
      <c r="A500" s="19" t="s">
        <v>879</v>
      </c>
    </row>
    <row r="501">
      <c r="A501" s="19" t="s">
        <v>396</v>
      </c>
    </row>
    <row r="502">
      <c r="A502" s="19" t="s">
        <v>879</v>
      </c>
    </row>
    <row r="503">
      <c r="A503" s="19" t="s">
        <v>879</v>
      </c>
    </row>
    <row r="504">
      <c r="A504" s="19" t="s">
        <v>348</v>
      </c>
    </row>
    <row r="505">
      <c r="A505" s="19" t="s">
        <v>181</v>
      </c>
    </row>
    <row r="506">
      <c r="A506" s="19" t="s">
        <v>348</v>
      </c>
    </row>
    <row r="507">
      <c r="A507" s="19" t="s">
        <v>348</v>
      </c>
    </row>
    <row r="508">
      <c r="A508" s="19" t="s">
        <v>879</v>
      </c>
    </row>
    <row r="509">
      <c r="A509" s="19" t="s">
        <v>879</v>
      </c>
    </row>
    <row r="510">
      <c r="A510" s="19" t="s">
        <v>879</v>
      </c>
    </row>
    <row r="511">
      <c r="A511" s="19" t="s">
        <v>879</v>
      </c>
    </row>
    <row r="512">
      <c r="A512" s="19" t="s">
        <v>879</v>
      </c>
    </row>
    <row r="513">
      <c r="A513" s="19" t="s">
        <v>879</v>
      </c>
    </row>
    <row r="514">
      <c r="A514" s="19" t="s">
        <v>879</v>
      </c>
    </row>
    <row r="515">
      <c r="A515" s="19" t="s">
        <v>879</v>
      </c>
    </row>
    <row r="516">
      <c r="A516" s="19" t="s">
        <v>879</v>
      </c>
    </row>
    <row r="517">
      <c r="A517" s="19" t="s">
        <v>879</v>
      </c>
    </row>
    <row r="518">
      <c r="A518" s="19" t="s">
        <v>879</v>
      </c>
    </row>
    <row r="519">
      <c r="A519" s="19" t="s">
        <v>879</v>
      </c>
    </row>
    <row r="520">
      <c r="A520" s="19" t="s">
        <v>879</v>
      </c>
    </row>
    <row r="521">
      <c r="A521" s="19" t="s">
        <v>879</v>
      </c>
    </row>
    <row r="522">
      <c r="A522" s="19" t="s">
        <v>879</v>
      </c>
    </row>
    <row r="523">
      <c r="A523" s="19" t="s">
        <v>879</v>
      </c>
    </row>
    <row r="524">
      <c r="A524" s="19" t="s">
        <v>879</v>
      </c>
    </row>
    <row r="525">
      <c r="A525" s="19" t="s">
        <v>879</v>
      </c>
    </row>
    <row r="526">
      <c r="A526" s="19" t="s">
        <v>879</v>
      </c>
    </row>
    <row r="527">
      <c r="A527" s="19" t="s">
        <v>879</v>
      </c>
    </row>
    <row r="528">
      <c r="A528" s="19" t="s">
        <v>879</v>
      </c>
    </row>
    <row r="529">
      <c r="A529" s="19" t="s">
        <v>879</v>
      </c>
    </row>
    <row r="530">
      <c r="A530" s="19" t="s">
        <v>879</v>
      </c>
    </row>
    <row r="531">
      <c r="A531" s="19" t="s">
        <v>879</v>
      </c>
    </row>
    <row r="532">
      <c r="A532" s="19" t="s">
        <v>879</v>
      </c>
    </row>
    <row r="533">
      <c r="A533" s="19" t="s">
        <v>879</v>
      </c>
    </row>
    <row r="534">
      <c r="A534" s="19" t="s">
        <v>879</v>
      </c>
    </row>
    <row r="535">
      <c r="A535" s="19" t="s">
        <v>879</v>
      </c>
    </row>
    <row r="536">
      <c r="A536" s="19" t="s">
        <v>879</v>
      </c>
    </row>
    <row r="537">
      <c r="A537" s="19" t="s">
        <v>879</v>
      </c>
    </row>
    <row r="538">
      <c r="A538" s="19" t="s">
        <v>879</v>
      </c>
    </row>
    <row r="539">
      <c r="A539" s="19" t="s">
        <v>879</v>
      </c>
    </row>
    <row r="540">
      <c r="A540" s="19" t="s">
        <v>879</v>
      </c>
    </row>
    <row r="541">
      <c r="A541" s="19" t="s">
        <v>879</v>
      </c>
    </row>
    <row r="542">
      <c r="A542" s="19" t="s">
        <v>879</v>
      </c>
    </row>
    <row r="543">
      <c r="A543" s="19" t="s">
        <v>879</v>
      </c>
    </row>
    <row r="544">
      <c r="A544" s="19" t="s">
        <v>879</v>
      </c>
    </row>
    <row r="545">
      <c r="A545" s="19" t="s">
        <v>879</v>
      </c>
    </row>
    <row r="546">
      <c r="A546" s="19" t="s">
        <v>879</v>
      </c>
    </row>
    <row r="547">
      <c r="A547" s="19" t="s">
        <v>879</v>
      </c>
    </row>
    <row r="548">
      <c r="A548" s="19" t="s">
        <v>182</v>
      </c>
    </row>
    <row r="549">
      <c r="A549" s="19" t="s">
        <v>268</v>
      </c>
    </row>
    <row r="550">
      <c r="A550" s="19" t="s">
        <v>268</v>
      </c>
    </row>
    <row r="551">
      <c r="A551" s="19" t="s">
        <v>174</v>
      </c>
    </row>
    <row r="552">
      <c r="A552" s="19" t="s">
        <v>354</v>
      </c>
    </row>
    <row r="553">
      <c r="A553" s="19" t="s">
        <v>174</v>
      </c>
    </row>
    <row r="554">
      <c r="A554" s="19" t="s">
        <v>354</v>
      </c>
    </row>
    <row r="555">
      <c r="A555" s="19" t="s">
        <v>485</v>
      </c>
    </row>
    <row r="556">
      <c r="A556" s="19" t="s">
        <v>16</v>
      </c>
    </row>
    <row r="557">
      <c r="A557" s="19" t="s">
        <v>179</v>
      </c>
    </row>
    <row r="558">
      <c r="A558" s="19" t="s">
        <v>205</v>
      </c>
    </row>
    <row r="559">
      <c r="A559" s="19" t="s">
        <v>16</v>
      </c>
    </row>
    <row r="560">
      <c r="A560" s="19" t="s">
        <v>179</v>
      </c>
    </row>
    <row r="561">
      <c r="A561" s="19" t="s">
        <v>179</v>
      </c>
    </row>
    <row r="562">
      <c r="A562" s="19" t="s">
        <v>16</v>
      </c>
    </row>
    <row r="563">
      <c r="A563" s="19" t="s">
        <v>174</v>
      </c>
    </row>
    <row r="564">
      <c r="A564" s="19" t="s">
        <v>179</v>
      </c>
    </row>
    <row r="565">
      <c r="A565" s="19" t="s">
        <v>182</v>
      </c>
    </row>
    <row r="566">
      <c r="A566" s="19" t="s">
        <v>72</v>
      </c>
    </row>
    <row r="567">
      <c r="A567" s="19" t="s">
        <v>16</v>
      </c>
    </row>
    <row r="568">
      <c r="A568" s="19" t="s">
        <v>396</v>
      </c>
    </row>
    <row r="569">
      <c r="A569" s="19" t="s">
        <v>258</v>
      </c>
    </row>
    <row r="570">
      <c r="A570" s="19" t="s">
        <v>258</v>
      </c>
    </row>
    <row r="571">
      <c r="A571" s="19" t="s">
        <v>181</v>
      </c>
    </row>
    <row r="572">
      <c r="A572" s="19" t="s">
        <v>181</v>
      </c>
    </row>
    <row r="573">
      <c r="A573" s="19" t="s">
        <v>333</v>
      </c>
    </row>
    <row r="574">
      <c r="A574" s="19" t="s">
        <v>18</v>
      </c>
    </row>
    <row r="575">
      <c r="A575" s="19" t="s">
        <v>71</v>
      </c>
    </row>
    <row r="576">
      <c r="A576" s="19" t="s">
        <v>71</v>
      </c>
    </row>
    <row r="577">
      <c r="A577" s="19" t="s">
        <v>71</v>
      </c>
    </row>
    <row r="578">
      <c r="A578" s="19" t="s">
        <v>333</v>
      </c>
    </row>
    <row r="579">
      <c r="A579" s="19" t="s">
        <v>333</v>
      </c>
    </row>
    <row r="580">
      <c r="A580" s="19" t="s">
        <v>205</v>
      </c>
    </row>
    <row r="581">
      <c r="A581" s="19" t="s">
        <v>53</v>
      </c>
    </row>
    <row r="582">
      <c r="A582" s="19" t="s">
        <v>455</v>
      </c>
    </row>
    <row r="583">
      <c r="A583" s="19" t="s">
        <v>96</v>
      </c>
    </row>
    <row r="584">
      <c r="A584" s="19" t="s">
        <v>396</v>
      </c>
    </row>
    <row r="585">
      <c r="A585" s="19" t="s">
        <v>71</v>
      </c>
    </row>
    <row r="586">
      <c r="A586" s="19" t="s">
        <v>269</v>
      </c>
    </row>
    <row r="587">
      <c r="A587" s="19" t="s">
        <v>142</v>
      </c>
    </row>
    <row r="588">
      <c r="A588" s="19" t="s">
        <v>142</v>
      </c>
    </row>
    <row r="589">
      <c r="A589" s="19" t="s">
        <v>327</v>
      </c>
    </row>
    <row r="590">
      <c r="A590" s="19" t="s">
        <v>331</v>
      </c>
    </row>
    <row r="591">
      <c r="A591" s="19" t="s">
        <v>329</v>
      </c>
    </row>
    <row r="592">
      <c r="A592" s="19" t="s">
        <v>334</v>
      </c>
    </row>
    <row r="593">
      <c r="A593" s="19" t="s">
        <v>331</v>
      </c>
    </row>
    <row r="594">
      <c r="A594" s="19" t="s">
        <v>329</v>
      </c>
    </row>
    <row r="595">
      <c r="A595" s="19" t="s">
        <v>582</v>
      </c>
    </row>
    <row r="596">
      <c r="A596" s="19" t="s">
        <v>327</v>
      </c>
    </row>
    <row r="597">
      <c r="A597" s="19" t="s">
        <v>481</v>
      </c>
    </row>
    <row r="598">
      <c r="A598" s="19" t="s">
        <v>254</v>
      </c>
    </row>
    <row r="599">
      <c r="A599" s="19" t="s">
        <v>254</v>
      </c>
    </row>
    <row r="600">
      <c r="A600" s="19" t="s">
        <v>254</v>
      </c>
    </row>
    <row r="601">
      <c r="A601" s="19" t="s">
        <v>333</v>
      </c>
    </row>
    <row r="602">
      <c r="A602" s="19" t="s">
        <v>269</v>
      </c>
    </row>
    <row r="603">
      <c r="A603" s="19" t="s">
        <v>178</v>
      </c>
    </row>
    <row r="604">
      <c r="A604" s="19" t="s">
        <v>308</v>
      </c>
    </row>
    <row r="605">
      <c r="A605" s="19" t="s">
        <v>327</v>
      </c>
    </row>
    <row r="606">
      <c r="A606" s="19" t="s">
        <v>269</v>
      </c>
    </row>
    <row r="607">
      <c r="A607" s="19" t="s">
        <v>269</v>
      </c>
    </row>
    <row r="608">
      <c r="A608" s="19" t="s">
        <v>327</v>
      </c>
    </row>
    <row r="609">
      <c r="A609" s="19" t="s">
        <v>582</v>
      </c>
    </row>
    <row r="610">
      <c r="A610" s="19" t="s">
        <v>75</v>
      </c>
    </row>
    <row r="611">
      <c r="A611" s="19" t="s">
        <v>308</v>
      </c>
    </row>
    <row r="612">
      <c r="A612" s="19" t="s">
        <v>53</v>
      </c>
    </row>
    <row r="613">
      <c r="A613" s="19" t="s">
        <v>147</v>
      </c>
    </row>
    <row r="614">
      <c r="A614" s="19" t="s">
        <v>14</v>
      </c>
    </row>
    <row r="615">
      <c r="A615" s="19" t="s">
        <v>14</v>
      </c>
    </row>
    <row r="616">
      <c r="A616" s="19" t="s">
        <v>481</v>
      </c>
    </row>
    <row r="617">
      <c r="A617" s="19" t="s">
        <v>178</v>
      </c>
    </row>
    <row r="618">
      <c r="A618" s="19" t="s">
        <v>178</v>
      </c>
    </row>
    <row r="619">
      <c r="A619" s="19" t="s">
        <v>36</v>
      </c>
    </row>
    <row r="620">
      <c r="A620" s="19" t="s">
        <v>215</v>
      </c>
    </row>
    <row r="621">
      <c r="A621" s="19" t="s">
        <v>269</v>
      </c>
    </row>
    <row r="622">
      <c r="A622" s="19" t="s">
        <v>36</v>
      </c>
    </row>
    <row r="623">
      <c r="A623" s="19" t="s">
        <v>327</v>
      </c>
    </row>
    <row r="624">
      <c r="A624" s="19" t="s">
        <v>178</v>
      </c>
    </row>
    <row r="625">
      <c r="A625" s="19" t="s">
        <v>36</v>
      </c>
    </row>
    <row r="626">
      <c r="A626" s="19" t="s">
        <v>308</v>
      </c>
    </row>
    <row r="627">
      <c r="A627" s="19" t="s">
        <v>75</v>
      </c>
    </row>
    <row r="628">
      <c r="A628" s="19" t="s">
        <v>75</v>
      </c>
    </row>
    <row r="629">
      <c r="A629" s="19" t="s">
        <v>142</v>
      </c>
    </row>
    <row r="630">
      <c r="A630" s="19" t="s">
        <v>215</v>
      </c>
    </row>
    <row r="631">
      <c r="A631" s="19" t="s">
        <v>223</v>
      </c>
    </row>
    <row r="632">
      <c r="A632" s="19" t="s">
        <v>327</v>
      </c>
    </row>
    <row r="633">
      <c r="A633" s="19" t="s">
        <v>223</v>
      </c>
    </row>
    <row r="634">
      <c r="A634" s="19" t="s">
        <v>198</v>
      </c>
    </row>
    <row r="635">
      <c r="A635" s="19" t="s">
        <v>223</v>
      </c>
    </row>
    <row r="636">
      <c r="A636" s="19" t="s">
        <v>215</v>
      </c>
    </row>
    <row r="637">
      <c r="A637" s="19" t="s">
        <v>558</v>
      </c>
    </row>
    <row r="638">
      <c r="A638" s="19" t="s">
        <v>85</v>
      </c>
    </row>
    <row r="639">
      <c r="A639" s="19" t="s">
        <v>310</v>
      </c>
    </row>
    <row r="640">
      <c r="A640" s="19" t="s">
        <v>310</v>
      </c>
    </row>
    <row r="641">
      <c r="A641" s="19" t="s">
        <v>307</v>
      </c>
    </row>
    <row r="642">
      <c r="A642" s="19" t="s">
        <v>378</v>
      </c>
    </row>
    <row r="643">
      <c r="A643" s="19" t="s">
        <v>378</v>
      </c>
    </row>
    <row r="644">
      <c r="A644" s="19" t="s">
        <v>558</v>
      </c>
    </row>
    <row r="645">
      <c r="A645" s="19" t="s">
        <v>307</v>
      </c>
    </row>
    <row r="646">
      <c r="A646" s="19" t="s">
        <v>307</v>
      </c>
    </row>
    <row r="647">
      <c r="A647" s="19" t="s">
        <v>310</v>
      </c>
    </row>
    <row r="648">
      <c r="A648" s="19" t="s">
        <v>85</v>
      </c>
    </row>
    <row r="649">
      <c r="A649" s="19" t="s">
        <v>558</v>
      </c>
    </row>
    <row r="650">
      <c r="A650" s="19" t="s">
        <v>307</v>
      </c>
    </row>
    <row r="651">
      <c r="A651" s="19" t="s">
        <v>378</v>
      </c>
    </row>
    <row r="652">
      <c r="A652" s="19" t="s">
        <v>213</v>
      </c>
    </row>
    <row r="653">
      <c r="A653" s="19" t="s">
        <v>213</v>
      </c>
    </row>
    <row r="654">
      <c r="A654" s="19" t="s">
        <v>206</v>
      </c>
    </row>
    <row r="655">
      <c r="A655" s="19" t="s">
        <v>292</v>
      </c>
    </row>
    <row r="656">
      <c r="A656" s="19" t="s">
        <v>206</v>
      </c>
    </row>
    <row r="657">
      <c r="A657" s="19" t="s">
        <v>292</v>
      </c>
    </row>
    <row r="658">
      <c r="A658" s="19" t="s">
        <v>236</v>
      </c>
    </row>
    <row r="659">
      <c r="A659" s="19" t="s">
        <v>277</v>
      </c>
    </row>
    <row r="660">
      <c r="A660" s="19" t="s">
        <v>277</v>
      </c>
    </row>
    <row r="661">
      <c r="A661" s="19" t="s">
        <v>377</v>
      </c>
    </row>
    <row r="662">
      <c r="A662" s="19" t="s">
        <v>377</v>
      </c>
    </row>
    <row r="663">
      <c r="A663" s="19" t="s">
        <v>157</v>
      </c>
    </row>
    <row r="664">
      <c r="A664" s="19" t="s">
        <v>377</v>
      </c>
    </row>
    <row r="665">
      <c r="A665" s="19" t="s">
        <v>157</v>
      </c>
    </row>
    <row r="666">
      <c r="A666" s="19" t="s">
        <v>287</v>
      </c>
    </row>
    <row r="667">
      <c r="A667" s="19" t="s">
        <v>287</v>
      </c>
    </row>
    <row r="668">
      <c r="A668" s="19" t="s">
        <v>287</v>
      </c>
    </row>
    <row r="669">
      <c r="A669" s="19" t="s">
        <v>157</v>
      </c>
    </row>
    <row r="670">
      <c r="A670" s="19" t="s">
        <v>277</v>
      </c>
    </row>
    <row r="671">
      <c r="A671" s="19" t="s">
        <v>230</v>
      </c>
    </row>
    <row r="672">
      <c r="A672" s="19" t="s">
        <v>230</v>
      </c>
    </row>
    <row r="673">
      <c r="A673" s="19" t="s">
        <v>230</v>
      </c>
    </row>
    <row r="674">
      <c r="A674" s="19" t="s">
        <v>58</v>
      </c>
    </row>
    <row r="675">
      <c r="A675" s="19" t="s">
        <v>55</v>
      </c>
    </row>
    <row r="676">
      <c r="A676" s="19" t="s">
        <v>211</v>
      </c>
    </row>
    <row r="677">
      <c r="A677" s="19" t="s">
        <v>211</v>
      </c>
    </row>
    <row r="678">
      <c r="A678" s="19" t="s">
        <v>226</v>
      </c>
    </row>
    <row r="679">
      <c r="A679" s="19" t="s">
        <v>211</v>
      </c>
    </row>
    <row r="680">
      <c r="A680" s="19" t="s">
        <v>226</v>
      </c>
    </row>
    <row r="681">
      <c r="A681" s="19" t="s">
        <v>226</v>
      </c>
    </row>
    <row r="682">
      <c r="A682" s="19" t="s">
        <v>255</v>
      </c>
    </row>
    <row r="683">
      <c r="A683" s="19" t="s">
        <v>255</v>
      </c>
    </row>
    <row r="684">
      <c r="A684" s="19" t="s">
        <v>358</v>
      </c>
    </row>
    <row r="685">
      <c r="A685" s="19" t="s">
        <v>358</v>
      </c>
    </row>
    <row r="686">
      <c r="A686" s="19" t="s">
        <v>177</v>
      </c>
    </row>
    <row r="687">
      <c r="A687" s="19" t="s">
        <v>177</v>
      </c>
    </row>
    <row r="688">
      <c r="A688" s="19" t="s">
        <v>177</v>
      </c>
    </row>
    <row r="689">
      <c r="A689" s="19" t="s">
        <v>177</v>
      </c>
    </row>
    <row r="690">
      <c r="A690" s="19" t="s">
        <v>446</v>
      </c>
    </row>
    <row r="691">
      <c r="A691" s="19" t="s">
        <v>577</v>
      </c>
    </row>
    <row r="692">
      <c r="A692" s="19" t="s">
        <v>529</v>
      </c>
    </row>
    <row r="693">
      <c r="A693" s="19" t="s">
        <v>529</v>
      </c>
    </row>
    <row r="694">
      <c r="A694" s="19" t="s">
        <v>407</v>
      </c>
    </row>
    <row r="695">
      <c r="A695" s="19" t="s">
        <v>529</v>
      </c>
    </row>
    <row r="696">
      <c r="A696" s="19" t="s">
        <v>407</v>
      </c>
    </row>
    <row r="697">
      <c r="A697" s="19" t="s">
        <v>239</v>
      </c>
    </row>
    <row r="698">
      <c r="A698" s="19" t="s">
        <v>192</v>
      </c>
    </row>
    <row r="699">
      <c r="A699" s="19" t="s">
        <v>100</v>
      </c>
    </row>
    <row r="700">
      <c r="A700" s="19" t="s">
        <v>276</v>
      </c>
    </row>
    <row r="701">
      <c r="A701" s="19" t="s">
        <v>239</v>
      </c>
    </row>
    <row r="702">
      <c r="A702" s="19" t="s">
        <v>239</v>
      </c>
    </row>
    <row r="703">
      <c r="A703" s="19" t="s">
        <v>315</v>
      </c>
    </row>
    <row r="704">
      <c r="A704" s="19" t="s">
        <v>315</v>
      </c>
    </row>
    <row r="705">
      <c r="A705" s="19" t="s">
        <v>315</v>
      </c>
    </row>
    <row r="706">
      <c r="A706" s="19" t="s">
        <v>446</v>
      </c>
    </row>
    <row r="707">
      <c r="A707" s="19" t="s">
        <v>276</v>
      </c>
    </row>
    <row r="708">
      <c r="A708" s="19" t="s">
        <v>192</v>
      </c>
    </row>
    <row r="709">
      <c r="A709" s="19" t="s">
        <v>276</v>
      </c>
    </row>
    <row r="710">
      <c r="A710" s="19" t="s">
        <v>100</v>
      </c>
    </row>
    <row r="711">
      <c r="A711" s="19" t="s">
        <v>407</v>
      </c>
    </row>
    <row r="712">
      <c r="A712" s="19" t="s">
        <v>192</v>
      </c>
    </row>
    <row r="713">
      <c r="A713" s="19" t="s">
        <v>100</v>
      </c>
    </row>
    <row r="714">
      <c r="A714" s="19" t="s">
        <v>529</v>
      </c>
    </row>
    <row r="715">
      <c r="A715" s="19" t="s">
        <v>529</v>
      </c>
    </row>
    <row r="716">
      <c r="A716" s="19" t="s">
        <v>459</v>
      </c>
    </row>
    <row r="717">
      <c r="A717" s="19" t="s">
        <v>459</v>
      </c>
    </row>
    <row r="718">
      <c r="A718" s="19" t="s">
        <v>494</v>
      </c>
    </row>
    <row r="719">
      <c r="A719" s="19" t="s">
        <v>306</v>
      </c>
    </row>
    <row r="720">
      <c r="A720" s="19" t="s">
        <v>494</v>
      </c>
    </row>
    <row r="721">
      <c r="A721" s="19" t="s">
        <v>306</v>
      </c>
    </row>
    <row r="722">
      <c r="A722" s="19" t="s">
        <v>494</v>
      </c>
    </row>
    <row r="723">
      <c r="A723" s="19" t="s">
        <v>45</v>
      </c>
    </row>
    <row r="724">
      <c r="A724" s="19" t="s">
        <v>45</v>
      </c>
    </row>
    <row r="725">
      <c r="A725" s="19" t="s">
        <v>424</v>
      </c>
    </row>
    <row r="726">
      <c r="A726" s="19" t="s">
        <v>424</v>
      </c>
    </row>
    <row r="727">
      <c r="A727" s="19" t="s">
        <v>424</v>
      </c>
    </row>
    <row r="728">
      <c r="A728" s="19" t="s">
        <v>382</v>
      </c>
    </row>
    <row r="729">
      <c r="A729" s="19" t="s">
        <v>388</v>
      </c>
    </row>
    <row r="730">
      <c r="A730" s="19" t="s">
        <v>459</v>
      </c>
    </row>
    <row r="731">
      <c r="A731" s="19" t="s">
        <v>459</v>
      </c>
    </row>
    <row r="732">
      <c r="A732" s="19" t="s">
        <v>224</v>
      </c>
    </row>
    <row r="733">
      <c r="A733" s="19" t="s">
        <v>382</v>
      </c>
    </row>
    <row r="734">
      <c r="A734" s="19" t="s">
        <v>388</v>
      </c>
    </row>
    <row r="735">
      <c r="A735" s="19" t="s">
        <v>382</v>
      </c>
    </row>
    <row r="736">
      <c r="A736" s="19" t="s">
        <v>224</v>
      </c>
    </row>
    <row r="737">
      <c r="A737" s="19" t="s">
        <v>306</v>
      </c>
    </row>
    <row r="738">
      <c r="A738" s="19" t="s">
        <v>45</v>
      </c>
    </row>
    <row r="739">
      <c r="A739" s="19" t="s">
        <v>224</v>
      </c>
    </row>
    <row r="740">
      <c r="A740" s="19" t="s">
        <v>449</v>
      </c>
    </row>
    <row r="741">
      <c r="A741" s="19" t="s">
        <v>307</v>
      </c>
    </row>
    <row r="742">
      <c r="A742" s="19" t="s">
        <v>236</v>
      </c>
    </row>
    <row r="743">
      <c r="A743" s="19" t="s">
        <v>236</v>
      </c>
    </row>
    <row r="744">
      <c r="A744" s="19" t="s">
        <v>236</v>
      </c>
    </row>
    <row r="745">
      <c r="A745" s="19" t="s">
        <v>176</v>
      </c>
    </row>
    <row r="746">
      <c r="A746" s="19" t="s">
        <v>176</v>
      </c>
    </row>
    <row r="747">
      <c r="A747" s="19" t="s">
        <v>236</v>
      </c>
    </row>
    <row r="748">
      <c r="A748" s="19" t="s">
        <v>453</v>
      </c>
    </row>
    <row r="749">
      <c r="A749" s="19" t="s">
        <v>453</v>
      </c>
    </row>
    <row r="750">
      <c r="A750" s="19" t="s">
        <v>176</v>
      </c>
    </row>
    <row r="751">
      <c r="A751" s="19" t="s">
        <v>453</v>
      </c>
    </row>
    <row r="752">
      <c r="A752" s="19" t="s">
        <v>236</v>
      </c>
    </row>
    <row r="753">
      <c r="A753" s="19" t="s">
        <v>447</v>
      </c>
    </row>
    <row r="754">
      <c r="A754" s="19" t="s">
        <v>447</v>
      </c>
    </row>
    <row r="755">
      <c r="A755" s="19" t="s">
        <v>447</v>
      </c>
    </row>
    <row r="756">
      <c r="A756" s="19" t="s">
        <v>221</v>
      </c>
    </row>
    <row r="757">
      <c r="A757" s="19" t="s">
        <v>221</v>
      </c>
    </row>
    <row r="758">
      <c r="A758" s="19" t="s">
        <v>221</v>
      </c>
    </row>
    <row r="759">
      <c r="A759" s="19" t="s">
        <v>446</v>
      </c>
    </row>
    <row r="760">
      <c r="A760" s="19" t="s">
        <v>272</v>
      </c>
    </row>
    <row r="761">
      <c r="A761" s="19" t="s">
        <v>272</v>
      </c>
    </row>
    <row r="762">
      <c r="A762" s="19" t="s">
        <v>272</v>
      </c>
    </row>
    <row r="763">
      <c r="A763" s="19" t="s">
        <v>516</v>
      </c>
    </row>
    <row r="764">
      <c r="A764" s="19" t="s">
        <v>516</v>
      </c>
    </row>
    <row r="765">
      <c r="A765" s="19" t="s">
        <v>572</v>
      </c>
    </row>
    <row r="766">
      <c r="A766" s="19" t="s">
        <v>128</v>
      </c>
    </row>
    <row r="767">
      <c r="A767" s="19" t="s">
        <v>128</v>
      </c>
    </row>
    <row r="768">
      <c r="A768" s="19" t="s">
        <v>128</v>
      </c>
    </row>
    <row r="769">
      <c r="A769" s="19" t="s">
        <v>572</v>
      </c>
    </row>
    <row r="770">
      <c r="A770" s="19" t="s">
        <v>128</v>
      </c>
    </row>
    <row r="771">
      <c r="A771" s="19" t="s">
        <v>393</v>
      </c>
    </row>
    <row r="772">
      <c r="A772" s="19" t="s">
        <v>419</v>
      </c>
    </row>
    <row r="773">
      <c r="A773" s="19" t="s">
        <v>572</v>
      </c>
    </row>
    <row r="774">
      <c r="A774" s="19" t="s">
        <v>572</v>
      </c>
    </row>
    <row r="775">
      <c r="A775" s="19" t="s">
        <v>272</v>
      </c>
    </row>
    <row r="776">
      <c r="A776" s="19" t="s">
        <v>272</v>
      </c>
    </row>
    <row r="777">
      <c r="A777" s="19" t="s">
        <v>393</v>
      </c>
    </row>
    <row r="778">
      <c r="A778" s="19" t="s">
        <v>128</v>
      </c>
    </row>
    <row r="779">
      <c r="A779" s="19" t="s">
        <v>128</v>
      </c>
    </row>
    <row r="780">
      <c r="A780" s="19" t="s">
        <v>569</v>
      </c>
    </row>
    <row r="781">
      <c r="A781" s="19" t="s">
        <v>31</v>
      </c>
    </row>
    <row r="782">
      <c r="A782" s="19" t="s">
        <v>31</v>
      </c>
    </row>
    <row r="783">
      <c r="A783" s="19" t="s">
        <v>31</v>
      </c>
    </row>
    <row r="784">
      <c r="A784" s="19" t="s">
        <v>31</v>
      </c>
    </row>
    <row r="785">
      <c r="A785" s="19" t="s">
        <v>569</v>
      </c>
    </row>
    <row r="786">
      <c r="A786" s="19" t="s">
        <v>28</v>
      </c>
    </row>
    <row r="787">
      <c r="A787" s="19" t="s">
        <v>28</v>
      </c>
    </row>
    <row r="788">
      <c r="A788" s="19" t="s">
        <v>94</v>
      </c>
    </row>
    <row r="789">
      <c r="A789" s="19" t="s">
        <v>46</v>
      </c>
    </row>
    <row r="790">
      <c r="A790" s="19" t="s">
        <v>94</v>
      </c>
    </row>
    <row r="791">
      <c r="A791" s="19" t="s">
        <v>31</v>
      </c>
    </row>
    <row r="792">
      <c r="A792" s="19" t="s">
        <v>94</v>
      </c>
    </row>
    <row r="793">
      <c r="A793" s="19" t="s">
        <v>94</v>
      </c>
    </row>
    <row r="794">
      <c r="A794" s="19" t="s">
        <v>31</v>
      </c>
    </row>
    <row r="795">
      <c r="A795" s="19" t="s">
        <v>94</v>
      </c>
    </row>
    <row r="796">
      <c r="A796" s="19" t="s">
        <v>31</v>
      </c>
    </row>
    <row r="797">
      <c r="A797" s="19" t="s">
        <v>321</v>
      </c>
    </row>
    <row r="798">
      <c r="A798" s="19" t="s">
        <v>321</v>
      </c>
    </row>
    <row r="799">
      <c r="A799" s="19" t="s">
        <v>321</v>
      </c>
    </row>
    <row r="800">
      <c r="A800" s="19" t="s">
        <v>131</v>
      </c>
    </row>
    <row r="801">
      <c r="A801" s="19" t="s">
        <v>131</v>
      </c>
    </row>
    <row r="802">
      <c r="A802" s="19" t="s">
        <v>131</v>
      </c>
    </row>
    <row r="803">
      <c r="A803" s="19" t="s">
        <v>131</v>
      </c>
    </row>
    <row r="804">
      <c r="A804" s="19" t="s">
        <v>131</v>
      </c>
    </row>
    <row r="805">
      <c r="A805" s="19" t="s">
        <v>131</v>
      </c>
    </row>
    <row r="806">
      <c r="A806" s="19" t="s">
        <v>252</v>
      </c>
    </row>
    <row r="807">
      <c r="A807" s="19" t="s">
        <v>91</v>
      </c>
    </row>
    <row r="808">
      <c r="A808" s="19" t="s">
        <v>91</v>
      </c>
    </row>
    <row r="809">
      <c r="A809" s="19" t="s">
        <v>202</v>
      </c>
    </row>
    <row r="810">
      <c r="A810" s="19" t="s">
        <v>548</v>
      </c>
    </row>
    <row r="811">
      <c r="A811" s="19" t="s">
        <v>355</v>
      </c>
    </row>
    <row r="812">
      <c r="A812" s="19" t="s">
        <v>91</v>
      </c>
    </row>
    <row r="813">
      <c r="A813" s="19" t="s">
        <v>312</v>
      </c>
    </row>
    <row r="814">
      <c r="A814" s="19" t="s">
        <v>312</v>
      </c>
    </row>
    <row r="815">
      <c r="A815" s="19" t="s">
        <v>551</v>
      </c>
    </row>
    <row r="816">
      <c r="A816" s="19" t="s">
        <v>404</v>
      </c>
    </row>
    <row r="817">
      <c r="A817" s="19" t="s">
        <v>445</v>
      </c>
    </row>
    <row r="818">
      <c r="A818" s="19" t="s">
        <v>452</v>
      </c>
    </row>
    <row r="819">
      <c r="A819" s="19" t="s">
        <v>575</v>
      </c>
    </row>
    <row r="820">
      <c r="A820" s="19" t="s">
        <v>404</v>
      </c>
    </row>
    <row r="821">
      <c r="A821" s="19" t="s">
        <v>80</v>
      </c>
    </row>
    <row r="822">
      <c r="A822" s="19" t="s">
        <v>80</v>
      </c>
    </row>
    <row r="823">
      <c r="A823" s="19" t="s">
        <v>80</v>
      </c>
    </row>
    <row r="824">
      <c r="A824" s="19" t="s">
        <v>352</v>
      </c>
    </row>
    <row r="825">
      <c r="A825" s="19" t="s">
        <v>352</v>
      </c>
    </row>
    <row r="826">
      <c r="A826" s="19" t="s">
        <v>575</v>
      </c>
    </row>
    <row r="827">
      <c r="A827" s="19" t="s">
        <v>445</v>
      </c>
    </row>
    <row r="828">
      <c r="A828" s="19" t="s">
        <v>445</v>
      </c>
    </row>
    <row r="829">
      <c r="A829" s="19" t="s">
        <v>80</v>
      </c>
    </row>
    <row r="830">
      <c r="A830" s="19" t="s">
        <v>312</v>
      </c>
    </row>
    <row r="831">
      <c r="A831" s="19" t="s">
        <v>202</v>
      </c>
    </row>
    <row r="832">
      <c r="A832" s="19" t="s">
        <v>90</v>
      </c>
    </row>
    <row r="833">
      <c r="A833" s="19" t="s">
        <v>91</v>
      </c>
    </row>
    <row r="834">
      <c r="A834" s="19" t="s">
        <v>90</v>
      </c>
    </row>
    <row r="835">
      <c r="A835" s="19" t="s">
        <v>452</v>
      </c>
    </row>
    <row r="836">
      <c r="A836" s="19" t="s">
        <v>202</v>
      </c>
    </row>
    <row r="837">
      <c r="A837" s="19" t="s">
        <v>285</v>
      </c>
    </row>
    <row r="838">
      <c r="A838" s="19" t="s">
        <v>452</v>
      </c>
    </row>
    <row r="839">
      <c r="A839" s="19" t="s">
        <v>358</v>
      </c>
    </row>
    <row r="840">
      <c r="A840" s="19" t="s">
        <v>452</v>
      </c>
    </row>
    <row r="841">
      <c r="A841" s="19" t="s">
        <v>285</v>
      </c>
    </row>
    <row r="842">
      <c r="A842" s="19" t="s">
        <v>285</v>
      </c>
    </row>
    <row r="843">
      <c r="A843" s="19" t="s">
        <v>80</v>
      </c>
    </row>
    <row r="844">
      <c r="A844" s="19" t="s">
        <v>259</v>
      </c>
    </row>
    <row r="845">
      <c r="A845" s="19" t="s">
        <v>404</v>
      </c>
    </row>
    <row r="846">
      <c r="A846" s="19" t="s">
        <v>285</v>
      </c>
    </row>
    <row r="847">
      <c r="A847" s="19" t="s">
        <v>252</v>
      </c>
    </row>
    <row r="848">
      <c r="A848" s="19" t="s">
        <v>252</v>
      </c>
    </row>
    <row r="849">
      <c r="A849" s="19" t="s">
        <v>404</v>
      </c>
    </row>
    <row r="850">
      <c r="A850" s="19" t="s">
        <v>252</v>
      </c>
    </row>
    <row r="851">
      <c r="A851" s="19" t="s">
        <v>202</v>
      </c>
    </row>
    <row r="852">
      <c r="A852" s="19" t="s">
        <v>259</v>
      </c>
    </row>
    <row r="853">
      <c r="A853" s="19" t="s">
        <v>252</v>
      </c>
    </row>
    <row r="854">
      <c r="A854" s="19" t="s">
        <v>312</v>
      </c>
    </row>
    <row r="855">
      <c r="A855" s="19" t="s">
        <v>312</v>
      </c>
    </row>
    <row r="856">
      <c r="A856" s="19" t="s">
        <v>236</v>
      </c>
    </row>
    <row r="857">
      <c r="A857" s="19" t="s">
        <v>236</v>
      </c>
    </row>
    <row r="858">
      <c r="A858" s="19" t="s">
        <v>213</v>
      </c>
    </row>
    <row r="859">
      <c r="A859" s="19" t="s">
        <v>253</v>
      </c>
    </row>
    <row r="860">
      <c r="A860" s="19" t="s">
        <v>253</v>
      </c>
    </row>
    <row r="861">
      <c r="A861" s="19" t="s">
        <v>389</v>
      </c>
    </row>
    <row r="862">
      <c r="A862" s="19" t="s">
        <v>525</v>
      </c>
    </row>
    <row r="863">
      <c r="A863" s="19" t="s">
        <v>299</v>
      </c>
    </row>
    <row r="864">
      <c r="A864" s="19" t="s">
        <v>299</v>
      </c>
    </row>
    <row r="865">
      <c r="A865" s="19" t="s">
        <v>389</v>
      </c>
    </row>
    <row r="866">
      <c r="A866" s="19" t="s">
        <v>525</v>
      </c>
    </row>
    <row r="867">
      <c r="A867" s="19" t="s">
        <v>491</v>
      </c>
    </row>
    <row r="868">
      <c r="A868" s="19" t="s">
        <v>520</v>
      </c>
    </row>
    <row r="869">
      <c r="A869" s="19" t="s">
        <v>216</v>
      </c>
    </row>
    <row r="870">
      <c r="A870" s="19" t="s">
        <v>149</v>
      </c>
    </row>
    <row r="871">
      <c r="A871" s="19" t="s">
        <v>175</v>
      </c>
    </row>
    <row r="872">
      <c r="A872" s="19" t="s">
        <v>149</v>
      </c>
    </row>
    <row r="873">
      <c r="A873" s="19" t="s">
        <v>175</v>
      </c>
    </row>
    <row r="874">
      <c r="A874" s="19" t="s">
        <v>216</v>
      </c>
    </row>
    <row r="875">
      <c r="A875" s="19" t="s">
        <v>299</v>
      </c>
    </row>
    <row r="876">
      <c r="A876" s="19" t="s">
        <v>322</v>
      </c>
    </row>
    <row r="877">
      <c r="A877" s="19" t="s">
        <v>322</v>
      </c>
    </row>
    <row r="878">
      <c r="A878" s="19" t="s">
        <v>216</v>
      </c>
    </row>
    <row r="879">
      <c r="A879" s="19" t="s">
        <v>322</v>
      </c>
    </row>
    <row r="880">
      <c r="A880" s="19" t="s">
        <v>408</v>
      </c>
    </row>
    <row r="881">
      <c r="A881" s="19" t="s">
        <v>421</v>
      </c>
    </row>
    <row r="882">
      <c r="A882" s="19" t="s">
        <v>530</v>
      </c>
    </row>
    <row r="883">
      <c r="A883" s="19" t="s">
        <v>530</v>
      </c>
    </row>
    <row r="884">
      <c r="A884" s="19" t="s">
        <v>542</v>
      </c>
    </row>
    <row r="885">
      <c r="A885" s="19" t="s">
        <v>567</v>
      </c>
    </row>
    <row r="886">
      <c r="A886" s="19" t="s">
        <v>530</v>
      </c>
    </row>
    <row r="887">
      <c r="A887" s="19" t="s">
        <v>448</v>
      </c>
    </row>
    <row r="888">
      <c r="A888" s="19" t="s">
        <v>448</v>
      </c>
    </row>
    <row r="889">
      <c r="A889" s="19" t="s">
        <v>119</v>
      </c>
    </row>
    <row r="890">
      <c r="A890" s="19" t="s">
        <v>119</v>
      </c>
    </row>
    <row r="891">
      <c r="A891" s="19" t="s">
        <v>573</v>
      </c>
    </row>
    <row r="892">
      <c r="A892" s="19" t="s">
        <v>51</v>
      </c>
    </row>
    <row r="893">
      <c r="A893" s="19" t="s">
        <v>88</v>
      </c>
    </row>
    <row r="894">
      <c r="A894" s="19" t="s">
        <v>88</v>
      </c>
    </row>
    <row r="895">
      <c r="A895" s="19" t="s">
        <v>88</v>
      </c>
    </row>
    <row r="896">
      <c r="A896" s="19" t="s">
        <v>88</v>
      </c>
    </row>
    <row r="897">
      <c r="A897" s="19" t="s">
        <v>409</v>
      </c>
    </row>
    <row r="898">
      <c r="A898" s="19" t="s">
        <v>373</v>
      </c>
    </row>
    <row r="899">
      <c r="A899" s="19" t="s">
        <v>64</v>
      </c>
    </row>
    <row r="900">
      <c r="A900" s="19" t="s">
        <v>526</v>
      </c>
    </row>
    <row r="901">
      <c r="A901" s="19" t="s">
        <v>332</v>
      </c>
    </row>
    <row r="902">
      <c r="A902" s="19" t="s">
        <v>573</v>
      </c>
    </row>
    <row r="903">
      <c r="A903" s="19" t="s">
        <v>372</v>
      </c>
    </row>
    <row r="904">
      <c r="A904" s="19" t="s">
        <v>373</v>
      </c>
    </row>
    <row r="905">
      <c r="A905" s="19" t="s">
        <v>381</v>
      </c>
    </row>
    <row r="906">
      <c r="A906" s="19" t="s">
        <v>381</v>
      </c>
    </row>
    <row r="907">
      <c r="A907" s="19" t="s">
        <v>514</v>
      </c>
    </row>
    <row r="908">
      <c r="A908" s="19" t="s">
        <v>212</v>
      </c>
    </row>
    <row r="909">
      <c r="A909" s="19" t="s">
        <v>212</v>
      </c>
    </row>
    <row r="910">
      <c r="A910" s="19" t="s">
        <v>88</v>
      </c>
    </row>
    <row r="911">
      <c r="A911" s="19" t="s">
        <v>194</v>
      </c>
    </row>
    <row r="912">
      <c r="A912" s="19" t="s">
        <v>194</v>
      </c>
    </row>
    <row r="913">
      <c r="A913" s="19" t="s">
        <v>212</v>
      </c>
    </row>
    <row r="914">
      <c r="A914" s="19" t="s">
        <v>190</v>
      </c>
    </row>
    <row r="915">
      <c r="A915" s="19" t="s">
        <v>88</v>
      </c>
    </row>
    <row r="916">
      <c r="A916" s="19" t="s">
        <v>526</v>
      </c>
    </row>
    <row r="917">
      <c r="A917" s="19" t="s">
        <v>573</v>
      </c>
    </row>
    <row r="918">
      <c r="A918" s="19" t="s">
        <v>345</v>
      </c>
    </row>
    <row r="919">
      <c r="A919" s="19" t="s">
        <v>62</v>
      </c>
    </row>
    <row r="920">
      <c r="A920" s="19" t="s">
        <v>208</v>
      </c>
    </row>
    <row r="921">
      <c r="A921" s="19" t="s">
        <v>565</v>
      </c>
    </row>
    <row r="922">
      <c r="A922" s="19" t="s">
        <v>376</v>
      </c>
    </row>
    <row r="923">
      <c r="A923" s="19" t="s">
        <v>133</v>
      </c>
    </row>
    <row r="924">
      <c r="A924" s="19" t="s">
        <v>133</v>
      </c>
    </row>
    <row r="925">
      <c r="A925" s="19" t="s">
        <v>133</v>
      </c>
    </row>
    <row r="926">
      <c r="A926" s="19" t="s">
        <v>350</v>
      </c>
    </row>
    <row r="927">
      <c r="A927" s="19" t="s">
        <v>208</v>
      </c>
    </row>
    <row r="928">
      <c r="A928" s="19" t="s">
        <v>102</v>
      </c>
    </row>
    <row r="929">
      <c r="A929" s="19" t="s">
        <v>278</v>
      </c>
    </row>
    <row r="930">
      <c r="A930" s="19" t="s">
        <v>468</v>
      </c>
    </row>
    <row r="931">
      <c r="A931" s="19" t="s">
        <v>365</v>
      </c>
    </row>
    <row r="932">
      <c r="A932" s="19" t="s">
        <v>468</v>
      </c>
    </row>
    <row r="933">
      <c r="A933" s="19" t="s">
        <v>102</v>
      </c>
    </row>
    <row r="934">
      <c r="A934" s="19" t="s">
        <v>365</v>
      </c>
    </row>
    <row r="935">
      <c r="A935" s="19" t="s">
        <v>133</v>
      </c>
    </row>
    <row r="936">
      <c r="A936" s="19" t="s">
        <v>468</v>
      </c>
    </row>
    <row r="937">
      <c r="A937" s="19" t="s">
        <v>278</v>
      </c>
    </row>
    <row r="938">
      <c r="A938" s="19" t="s">
        <v>278</v>
      </c>
    </row>
    <row r="939">
      <c r="A939" s="19" t="s">
        <v>102</v>
      </c>
    </row>
    <row r="940">
      <c r="A940" s="19" t="s">
        <v>345</v>
      </c>
    </row>
    <row r="941">
      <c r="A941" s="19" t="s">
        <v>249</v>
      </c>
    </row>
    <row r="942">
      <c r="A942" s="19" t="s">
        <v>423</v>
      </c>
    </row>
    <row r="943">
      <c r="A943" s="19" t="s">
        <v>491</v>
      </c>
    </row>
    <row r="944">
      <c r="A944" s="19" t="s">
        <v>249</v>
      </c>
    </row>
    <row r="945">
      <c r="A945" s="19" t="s">
        <v>451</v>
      </c>
    </row>
    <row r="946">
      <c r="A946" s="19" t="s">
        <v>68</v>
      </c>
    </row>
    <row r="947">
      <c r="A947" s="19" t="s">
        <v>251</v>
      </c>
    </row>
    <row r="948">
      <c r="A948" s="19" t="s">
        <v>251</v>
      </c>
    </row>
    <row r="949">
      <c r="A949" s="19" t="s">
        <v>68</v>
      </c>
    </row>
    <row r="950">
      <c r="A950" s="19" t="s">
        <v>76</v>
      </c>
    </row>
    <row r="951">
      <c r="A951" s="19" t="s">
        <v>68</v>
      </c>
    </row>
    <row r="952">
      <c r="A952" s="19" t="s">
        <v>76</v>
      </c>
    </row>
    <row r="953">
      <c r="A953" s="19" t="s">
        <v>129</v>
      </c>
    </row>
    <row r="954">
      <c r="A954" s="19" t="s">
        <v>134</v>
      </c>
    </row>
    <row r="955">
      <c r="A955" s="19" t="s">
        <v>134</v>
      </c>
    </row>
    <row r="956">
      <c r="A956" s="19" t="s">
        <v>134</v>
      </c>
    </row>
    <row r="957">
      <c r="A957" s="19" t="s">
        <v>129</v>
      </c>
    </row>
    <row r="958">
      <c r="A958" s="19" t="s">
        <v>134</v>
      </c>
    </row>
    <row r="959">
      <c r="A959" s="19" t="s">
        <v>129</v>
      </c>
    </row>
    <row r="960">
      <c r="A960" s="19" t="s">
        <v>76</v>
      </c>
    </row>
    <row r="961">
      <c r="A961" s="19" t="s">
        <v>41</v>
      </c>
    </row>
    <row r="962">
      <c r="A962" s="19" t="s">
        <v>41</v>
      </c>
    </row>
    <row r="963">
      <c r="A963" s="19" t="s">
        <v>207</v>
      </c>
    </row>
    <row r="964">
      <c r="A964" s="19" t="s">
        <v>207</v>
      </c>
    </row>
    <row r="965">
      <c r="A965" s="19" t="s">
        <v>207</v>
      </c>
    </row>
    <row r="966">
      <c r="A966" s="19" t="s">
        <v>207</v>
      </c>
    </row>
    <row r="967">
      <c r="A967" s="19" t="s">
        <v>68</v>
      </c>
    </row>
    <row r="968">
      <c r="A968" s="19" t="s">
        <v>76</v>
      </c>
    </row>
    <row r="969">
      <c r="A969" s="19" t="s">
        <v>207</v>
      </c>
    </row>
    <row r="970">
      <c r="A970" s="19" t="s">
        <v>251</v>
      </c>
    </row>
    <row r="971">
      <c r="A971" s="19" t="s">
        <v>329</v>
      </c>
    </row>
    <row r="972">
      <c r="A972" s="19" t="s">
        <v>267</v>
      </c>
    </row>
    <row r="973">
      <c r="A973" s="19" t="s">
        <v>451</v>
      </c>
    </row>
    <row r="974">
      <c r="A974" s="19" t="s">
        <v>134</v>
      </c>
    </row>
    <row r="975">
      <c r="A975" s="19" t="s">
        <v>68</v>
      </c>
    </row>
    <row r="976">
      <c r="A976" s="19" t="s">
        <v>68</v>
      </c>
    </row>
    <row r="977">
      <c r="A977" s="19" t="s">
        <v>57</v>
      </c>
    </row>
    <row r="978">
      <c r="A978" s="19" t="s">
        <v>216</v>
      </c>
    </row>
    <row r="979">
      <c r="A979" s="19" t="s">
        <v>129</v>
      </c>
    </row>
    <row r="980">
      <c r="A980" s="19" t="s">
        <v>129</v>
      </c>
    </row>
    <row r="981">
      <c r="A981" s="19" t="s">
        <v>129</v>
      </c>
    </row>
    <row r="982">
      <c r="A982" s="19" t="s">
        <v>41</v>
      </c>
    </row>
    <row r="983">
      <c r="A983" s="19" t="s">
        <v>526</v>
      </c>
    </row>
    <row r="984">
      <c r="A984" s="19" t="s">
        <v>88</v>
      </c>
    </row>
    <row r="985">
      <c r="A985" s="19" t="s">
        <v>593</v>
      </c>
    </row>
    <row r="986">
      <c r="A986" s="19" t="s">
        <v>88</v>
      </c>
    </row>
    <row r="987">
      <c r="A987" s="19" t="s">
        <v>88</v>
      </c>
    </row>
    <row r="988">
      <c r="A988" s="19" t="s">
        <v>267</v>
      </c>
    </row>
    <row r="989">
      <c r="A989" s="19" t="s">
        <v>399</v>
      </c>
    </row>
    <row r="990">
      <c r="A990" s="19" t="s">
        <v>399</v>
      </c>
    </row>
    <row r="991">
      <c r="A991" s="19" t="s">
        <v>399</v>
      </c>
    </row>
    <row r="992">
      <c r="A992" s="19" t="s">
        <v>488</v>
      </c>
    </row>
    <row r="993">
      <c r="A993" s="19" t="s">
        <v>40</v>
      </c>
    </row>
    <row r="994">
      <c r="A994" s="19" t="s">
        <v>24</v>
      </c>
    </row>
    <row r="995">
      <c r="A995" s="19" t="s">
        <v>24</v>
      </c>
    </row>
    <row r="996">
      <c r="A996" s="19" t="s">
        <v>24</v>
      </c>
    </row>
    <row r="997">
      <c r="A997" s="19" t="s">
        <v>24</v>
      </c>
    </row>
    <row r="998">
      <c r="A998" s="19" t="s">
        <v>217</v>
      </c>
    </row>
    <row r="999">
      <c r="A999" s="19" t="s">
        <v>314</v>
      </c>
    </row>
    <row r="1000">
      <c r="A1000" s="19" t="s">
        <v>588</v>
      </c>
    </row>
    <row r="1001">
      <c r="A1001" s="19" t="s">
        <v>40</v>
      </c>
    </row>
    <row r="1002">
      <c r="A1002" s="19" t="s">
        <v>97</v>
      </c>
    </row>
    <row r="1003">
      <c r="A1003" s="19" t="s">
        <v>109</v>
      </c>
    </row>
    <row r="1004">
      <c r="A1004" s="19" t="s">
        <v>217</v>
      </c>
    </row>
    <row r="1005">
      <c r="A1005" s="19" t="s">
        <v>97</v>
      </c>
    </row>
    <row r="1006">
      <c r="A1006" s="19" t="s">
        <v>488</v>
      </c>
    </row>
    <row r="1007">
      <c r="A1007" s="19" t="s">
        <v>488</v>
      </c>
    </row>
    <row r="1008">
      <c r="A1008" s="19" t="s">
        <v>97</v>
      </c>
    </row>
    <row r="1009">
      <c r="A1009" s="19" t="s">
        <v>379</v>
      </c>
    </row>
    <row r="1010">
      <c r="A1010" s="19" t="s">
        <v>379</v>
      </c>
    </row>
    <row r="1011">
      <c r="A1011" s="19" t="s">
        <v>380</v>
      </c>
    </row>
    <row r="1012">
      <c r="A1012" s="19" t="s">
        <v>314</v>
      </c>
    </row>
    <row r="1013">
      <c r="A1013" s="19" t="s">
        <v>380</v>
      </c>
    </row>
    <row r="1014">
      <c r="A1014" s="19" t="s">
        <v>385</v>
      </c>
    </row>
    <row r="1015">
      <c r="A1015" s="19" t="s">
        <v>38</v>
      </c>
    </row>
    <row r="1016">
      <c r="A1016" s="19" t="s">
        <v>24</v>
      </c>
    </row>
    <row r="1017">
      <c r="A1017" s="19" t="s">
        <v>241</v>
      </c>
    </row>
    <row r="1018">
      <c r="A1018" s="19" t="s">
        <v>516</v>
      </c>
    </row>
    <row r="1019">
      <c r="A1019" s="19" t="s">
        <v>405</v>
      </c>
    </row>
    <row r="1020">
      <c r="A1020" s="19" t="s">
        <v>413</v>
      </c>
    </row>
    <row r="1021">
      <c r="A1021" s="19" t="s">
        <v>516</v>
      </c>
    </row>
    <row r="1022">
      <c r="A1022" s="19" t="s">
        <v>351</v>
      </c>
    </row>
    <row r="1023">
      <c r="A1023" s="19" t="s">
        <v>294</v>
      </c>
    </row>
    <row r="1024">
      <c r="A1024" s="19" t="s">
        <v>83</v>
      </c>
    </row>
    <row r="1025">
      <c r="A1025" s="19" t="s">
        <v>93</v>
      </c>
    </row>
    <row r="1026">
      <c r="A1026" s="19" t="s">
        <v>217</v>
      </c>
    </row>
    <row r="1027">
      <c r="A1027" s="19" t="s">
        <v>314</v>
      </c>
    </row>
    <row r="1028">
      <c r="A1028" s="19" t="s">
        <v>351</v>
      </c>
    </row>
    <row r="1029">
      <c r="A1029" s="19" t="s">
        <v>217</v>
      </c>
    </row>
    <row r="1030">
      <c r="A1030" s="19" t="s">
        <v>98</v>
      </c>
    </row>
    <row r="1031">
      <c r="A1031" s="19" t="s">
        <v>109</v>
      </c>
    </row>
    <row r="1032">
      <c r="A1032" s="19" t="s">
        <v>456</v>
      </c>
    </row>
    <row r="1033">
      <c r="A1033" s="19" t="s">
        <v>579</v>
      </c>
    </row>
    <row r="1034">
      <c r="A1034" s="19" t="s">
        <v>359</v>
      </c>
    </row>
    <row r="1035">
      <c r="A1035" s="19" t="s">
        <v>210</v>
      </c>
    </row>
    <row r="1036">
      <c r="A1036" s="19" t="s">
        <v>210</v>
      </c>
    </row>
    <row r="1037">
      <c r="A1037" s="19" t="s">
        <v>173</v>
      </c>
    </row>
    <row r="1038">
      <c r="A1038" s="19" t="s">
        <v>314</v>
      </c>
    </row>
    <row r="1039">
      <c r="A1039" s="19" t="s">
        <v>314</v>
      </c>
    </row>
    <row r="1040">
      <c r="A1040" s="19" t="s">
        <v>33</v>
      </c>
    </row>
    <row r="1041">
      <c r="A1041" s="19" t="s">
        <v>33</v>
      </c>
    </row>
    <row r="1042">
      <c r="A1042" s="19" t="s">
        <v>197</v>
      </c>
    </row>
    <row r="1043">
      <c r="A1043" s="19" t="s">
        <v>98</v>
      </c>
    </row>
    <row r="1044">
      <c r="A1044" s="19" t="s">
        <v>93</v>
      </c>
    </row>
    <row r="1045">
      <c r="A1045" s="19" t="s">
        <v>173</v>
      </c>
    </row>
    <row r="1046">
      <c r="A1046" s="19" t="s">
        <v>210</v>
      </c>
    </row>
    <row r="1047">
      <c r="A1047" s="19" t="s">
        <v>456</v>
      </c>
    </row>
    <row r="1048">
      <c r="A1048" s="19" t="s">
        <v>342</v>
      </c>
    </row>
    <row r="1049">
      <c r="A1049" s="19" t="s">
        <v>385</v>
      </c>
    </row>
    <row r="1050">
      <c r="A1050" s="19" t="s">
        <v>392</v>
      </c>
    </row>
    <row r="1051">
      <c r="A1051" s="19" t="s">
        <v>97</v>
      </c>
    </row>
    <row r="1052">
      <c r="A1052" s="19" t="s">
        <v>263</v>
      </c>
    </row>
    <row r="1053">
      <c r="A1053" s="19" t="s">
        <v>458</v>
      </c>
    </row>
    <row r="1054">
      <c r="A1054" s="19" t="s">
        <v>490</v>
      </c>
    </row>
    <row r="1055">
      <c r="A1055" s="19" t="s">
        <v>33</v>
      </c>
    </row>
    <row r="1056">
      <c r="A1056" s="19" t="s">
        <v>471</v>
      </c>
    </row>
    <row r="1057">
      <c r="A1057" s="19" t="s">
        <v>93</v>
      </c>
    </row>
    <row r="1058">
      <c r="A1058" s="19" t="s">
        <v>263</v>
      </c>
    </row>
    <row r="1059">
      <c r="A1059" s="19" t="s">
        <v>427</v>
      </c>
    </row>
    <row r="1060">
      <c r="A1060" s="19" t="s">
        <v>217</v>
      </c>
    </row>
    <row r="1061">
      <c r="A1061" s="19" t="s">
        <v>109</v>
      </c>
    </row>
    <row r="1062">
      <c r="A1062" s="19" t="s">
        <v>392</v>
      </c>
    </row>
    <row r="1063">
      <c r="A1063" s="19" t="s">
        <v>397</v>
      </c>
    </row>
    <row r="1064">
      <c r="A1064" s="19" t="s">
        <v>241</v>
      </c>
    </row>
    <row r="1065">
      <c r="A1065" s="19" t="s">
        <v>442</v>
      </c>
    </row>
    <row r="1066">
      <c r="A1066" s="19" t="s">
        <v>324</v>
      </c>
    </row>
    <row r="1067">
      <c r="A1067" s="19" t="s">
        <v>324</v>
      </c>
    </row>
    <row r="1068">
      <c r="A1068" s="19" t="s">
        <v>379</v>
      </c>
    </row>
    <row r="1069">
      <c r="A1069" s="19" t="s">
        <v>387</v>
      </c>
    </row>
    <row r="1070">
      <c r="A1070" s="19" t="s">
        <v>585</v>
      </c>
    </row>
    <row r="1071">
      <c r="A1071" s="19" t="s">
        <v>288</v>
      </c>
    </row>
    <row r="1072">
      <c r="A1072" s="19" t="s">
        <v>21</v>
      </c>
    </row>
    <row r="1073">
      <c r="A1073" s="19" t="s">
        <v>83</v>
      </c>
    </row>
    <row r="1074">
      <c r="A1074" s="19" t="s">
        <v>93</v>
      </c>
    </row>
    <row r="1075">
      <c r="A1075" s="19" t="s">
        <v>165</v>
      </c>
    </row>
    <row r="1076">
      <c r="A1076" s="19" t="s">
        <v>197</v>
      </c>
    </row>
    <row r="1077">
      <c r="A1077" s="19" t="s">
        <v>113</v>
      </c>
    </row>
    <row r="1078">
      <c r="A1078" s="19" t="s">
        <v>246</v>
      </c>
    </row>
    <row r="1079">
      <c r="A1079" s="19" t="s">
        <v>324</v>
      </c>
    </row>
    <row r="1080">
      <c r="A1080" s="19" t="s">
        <v>324</v>
      </c>
    </row>
    <row r="1081">
      <c r="A1081" s="19" t="s">
        <v>415</v>
      </c>
    </row>
    <row r="1082">
      <c r="A1082" s="19" t="s">
        <v>387</v>
      </c>
    </row>
    <row r="1083">
      <c r="A1083" s="19" t="s">
        <v>273</v>
      </c>
    </row>
    <row r="1084">
      <c r="A1084" s="19" t="s">
        <v>324</v>
      </c>
    </row>
    <row r="1085">
      <c r="A1085" s="19" t="s">
        <v>61</v>
      </c>
    </row>
    <row r="1086">
      <c r="A1086" s="19" t="s">
        <v>243</v>
      </c>
    </row>
    <row r="1087">
      <c r="A1087" s="19" t="s">
        <v>185</v>
      </c>
    </row>
    <row r="1088">
      <c r="A1088" s="19" t="s">
        <v>380</v>
      </c>
    </row>
    <row r="1089">
      <c r="A1089" s="19" t="s">
        <v>40</v>
      </c>
    </row>
    <row r="1090">
      <c r="A1090" s="19" t="s">
        <v>107</v>
      </c>
    </row>
    <row r="1091">
      <c r="A1091" s="19" t="s">
        <v>40</v>
      </c>
    </row>
    <row r="1092">
      <c r="A1092" s="19" t="s">
        <v>24</v>
      </c>
    </row>
    <row r="1093">
      <c r="A1093" s="19" t="s">
        <v>38</v>
      </c>
    </row>
    <row r="1094">
      <c r="A1094" s="19" t="s">
        <v>197</v>
      </c>
    </row>
    <row r="1095">
      <c r="A1095" s="19" t="s">
        <v>107</v>
      </c>
    </row>
    <row r="1096">
      <c r="A1096" s="19" t="s">
        <v>197</v>
      </c>
    </row>
    <row r="1097">
      <c r="A1097" s="19" t="s">
        <v>579</v>
      </c>
    </row>
    <row r="1098">
      <c r="A1098" s="19" t="s">
        <v>273</v>
      </c>
    </row>
    <row r="1099">
      <c r="A1099" s="19" t="s">
        <v>109</v>
      </c>
    </row>
    <row r="1100">
      <c r="A1100" s="19" t="s">
        <v>490</v>
      </c>
    </row>
    <row r="1101">
      <c r="A1101" s="19" t="s">
        <v>187</v>
      </c>
    </row>
    <row r="1102">
      <c r="A1102" s="19" t="s">
        <v>187</v>
      </c>
    </row>
    <row r="1103">
      <c r="A1103" s="19" t="s">
        <v>187</v>
      </c>
    </row>
    <row r="1104">
      <c r="A1104" s="19" t="s">
        <v>284</v>
      </c>
    </row>
    <row r="1105">
      <c r="A1105" s="19" t="s">
        <v>229</v>
      </c>
    </row>
    <row r="1106">
      <c r="A1106" s="19" t="s">
        <v>284</v>
      </c>
    </row>
    <row r="1107">
      <c r="A1107" s="19" t="s">
        <v>284</v>
      </c>
    </row>
    <row r="1108">
      <c r="A1108" s="19" t="s">
        <v>284</v>
      </c>
    </row>
    <row r="1109">
      <c r="A1109" s="19" t="s">
        <v>229</v>
      </c>
    </row>
    <row r="1110">
      <c r="A1110" s="19" t="s">
        <v>229</v>
      </c>
    </row>
    <row r="1111">
      <c r="A1111" s="19" t="s">
        <v>229</v>
      </c>
    </row>
    <row r="1112">
      <c r="A1112" s="19" t="s">
        <v>233</v>
      </c>
    </row>
    <row r="1113">
      <c r="A1113" s="19" t="s">
        <v>115</v>
      </c>
    </row>
    <row r="1114">
      <c r="A1114" s="19" t="s">
        <v>200</v>
      </c>
    </row>
    <row r="1115">
      <c r="A1115" s="19" t="s">
        <v>315</v>
      </c>
    </row>
    <row r="1116">
      <c r="A1116" s="19" t="s">
        <v>545</v>
      </c>
    </row>
    <row r="1117">
      <c r="A1117" s="19" t="s">
        <v>426</v>
      </c>
    </row>
    <row r="1118">
      <c r="A1118" s="19" t="s">
        <v>39</v>
      </c>
    </row>
    <row r="1119">
      <c r="A1119" s="19" t="s">
        <v>39</v>
      </c>
    </row>
    <row r="1120">
      <c r="A1120" s="19" t="s">
        <v>280</v>
      </c>
    </row>
    <row r="1121">
      <c r="A1121" s="19" t="s">
        <v>428</v>
      </c>
    </row>
    <row r="1122">
      <c r="A1122" s="19" t="s">
        <v>81</v>
      </c>
    </row>
    <row r="1123">
      <c r="A1123" s="19" t="s">
        <v>280</v>
      </c>
    </row>
    <row r="1124">
      <c r="A1124" s="19" t="s">
        <v>81</v>
      </c>
    </row>
    <row r="1125">
      <c r="A1125" s="19" t="s">
        <v>55</v>
      </c>
    </row>
    <row r="1126">
      <c r="A1126" s="19" t="s">
        <v>55</v>
      </c>
    </row>
    <row r="1127">
      <c r="A1127" s="19" t="s">
        <v>55</v>
      </c>
    </row>
    <row r="1128">
      <c r="A1128" s="19" t="s">
        <v>55</v>
      </c>
    </row>
    <row r="1129">
      <c r="A1129" s="19" t="s">
        <v>362</v>
      </c>
    </row>
    <row r="1130">
      <c r="A1130" s="19" t="s">
        <v>362</v>
      </c>
    </row>
    <row r="1131">
      <c r="A1131" s="19" t="s">
        <v>374</v>
      </c>
    </row>
    <row r="1132">
      <c r="A1132" s="19" t="s">
        <v>431</v>
      </c>
    </row>
    <row r="1133">
      <c r="A1133" s="19" t="s">
        <v>374</v>
      </c>
    </row>
    <row r="1134">
      <c r="A1134" s="19" t="s">
        <v>374</v>
      </c>
    </row>
    <row r="1135">
      <c r="A1135" s="19" t="s">
        <v>374</v>
      </c>
    </row>
    <row r="1136">
      <c r="A1136" s="19" t="s">
        <v>374</v>
      </c>
    </row>
    <row r="1137">
      <c r="A1137" s="19" t="s">
        <v>235</v>
      </c>
    </row>
    <row r="1138">
      <c r="A1138" s="19" t="s">
        <v>235</v>
      </c>
    </row>
    <row r="1139">
      <c r="A1139" s="19" t="s">
        <v>235</v>
      </c>
    </row>
    <row r="1140">
      <c r="A1140" s="19" t="s">
        <v>235</v>
      </c>
    </row>
    <row r="1141">
      <c r="A1141" s="19" t="s">
        <v>193</v>
      </c>
    </row>
    <row r="1142">
      <c r="A1142" s="19" t="s">
        <v>235</v>
      </c>
    </row>
    <row r="1143">
      <c r="A1143" s="19" t="s">
        <v>193</v>
      </c>
    </row>
    <row r="1144">
      <c r="A1144" s="19" t="s">
        <v>446</v>
      </c>
    </row>
    <row r="1145">
      <c r="A1145" s="19" t="s">
        <v>304</v>
      </c>
    </row>
    <row r="1146">
      <c r="A1146" s="19" t="s">
        <v>304</v>
      </c>
    </row>
    <row r="1147">
      <c r="A1147" s="19" t="s">
        <v>304</v>
      </c>
    </row>
    <row r="1148">
      <c r="A1148" s="19" t="s">
        <v>304</v>
      </c>
    </row>
    <row r="1149">
      <c r="A1149" s="19" t="s">
        <v>304</v>
      </c>
    </row>
    <row r="1150">
      <c r="A1150" s="19" t="s">
        <v>304</v>
      </c>
    </row>
    <row r="1151">
      <c r="A1151" s="19" t="s">
        <v>304</v>
      </c>
    </row>
    <row r="1152">
      <c r="A1152" s="19" t="s">
        <v>304</v>
      </c>
    </row>
    <row r="1153">
      <c r="A1153" s="19" t="s">
        <v>274</v>
      </c>
    </row>
    <row r="1154">
      <c r="A1154" s="19" t="s">
        <v>466</v>
      </c>
    </row>
    <row r="1155">
      <c r="A1155" s="19" t="s">
        <v>274</v>
      </c>
    </row>
    <row r="1156">
      <c r="A1156" s="19" t="s">
        <v>82</v>
      </c>
    </row>
    <row r="1157">
      <c r="A1157" s="19" t="s">
        <v>466</v>
      </c>
    </row>
    <row r="1158">
      <c r="A1158" s="19" t="s">
        <v>466</v>
      </c>
    </row>
    <row r="1159">
      <c r="A1159" s="19" t="s">
        <v>82</v>
      </c>
    </row>
    <row r="1160">
      <c r="A1160" s="19" t="s">
        <v>466</v>
      </c>
    </row>
    <row r="1161">
      <c r="A1161" s="19" t="s">
        <v>274</v>
      </c>
    </row>
    <row r="1162">
      <c r="A1162" s="19" t="s">
        <v>82</v>
      </c>
    </row>
    <row r="1163">
      <c r="A1163" s="19" t="s">
        <v>32</v>
      </c>
    </row>
    <row r="1164">
      <c r="A1164" s="19" t="s">
        <v>32</v>
      </c>
    </row>
    <row r="1165">
      <c r="A1165" s="19" t="s">
        <v>87</v>
      </c>
    </row>
    <row r="1166">
      <c r="A1166" s="19" t="s">
        <v>87</v>
      </c>
    </row>
    <row r="1167">
      <c r="A1167" s="19" t="s">
        <v>87</v>
      </c>
    </row>
    <row r="1168">
      <c r="A1168" s="19" t="s">
        <v>32</v>
      </c>
    </row>
    <row r="1169">
      <c r="A1169" s="19" t="s">
        <v>32</v>
      </c>
    </row>
    <row r="1170">
      <c r="A1170" s="19" t="s">
        <v>282</v>
      </c>
    </row>
    <row r="1171">
      <c r="A1171" s="19" t="s">
        <v>282</v>
      </c>
    </row>
    <row r="1172">
      <c r="A1172" s="19" t="s">
        <v>282</v>
      </c>
    </row>
    <row r="1173">
      <c r="A1173" s="19" t="s">
        <v>282</v>
      </c>
    </row>
    <row r="1174">
      <c r="A1174" s="19" t="s">
        <v>282</v>
      </c>
    </row>
    <row r="1175">
      <c r="A1175" s="19" t="s">
        <v>282</v>
      </c>
    </row>
    <row r="1176">
      <c r="A1176" s="19" t="s">
        <v>301</v>
      </c>
    </row>
    <row r="1177">
      <c r="A1177" s="19" t="s">
        <v>301</v>
      </c>
    </row>
    <row r="1178">
      <c r="A1178" s="19" t="s">
        <v>301</v>
      </c>
    </row>
    <row r="1179">
      <c r="A1179" s="19" t="s">
        <v>301</v>
      </c>
    </row>
    <row r="1180">
      <c r="A1180" s="19" t="s">
        <v>301</v>
      </c>
    </row>
    <row r="1181">
      <c r="A1181" s="19" t="s">
        <v>584</v>
      </c>
    </row>
    <row r="1182">
      <c r="A1182" s="19" t="s">
        <v>301</v>
      </c>
    </row>
    <row r="1183">
      <c r="A1183" s="19" t="s">
        <v>367</v>
      </c>
    </row>
    <row r="1184">
      <c r="A1184" s="19" t="s">
        <v>180</v>
      </c>
    </row>
    <row r="1185">
      <c r="A1185" s="19" t="s">
        <v>180</v>
      </c>
    </row>
    <row r="1186">
      <c r="A1186" s="19" t="s">
        <v>180</v>
      </c>
    </row>
    <row r="1187">
      <c r="A1187" s="19" t="s">
        <v>375</v>
      </c>
    </row>
    <row r="1188">
      <c r="A1188" s="19" t="s">
        <v>375</v>
      </c>
    </row>
    <row r="1189">
      <c r="A1189" s="19" t="s">
        <v>375</v>
      </c>
    </row>
    <row r="1190">
      <c r="A1190" s="19" t="s">
        <v>112</v>
      </c>
    </row>
    <row r="1191">
      <c r="A1191" s="19" t="s">
        <v>112</v>
      </c>
    </row>
    <row r="1192">
      <c r="A1192" s="19" t="s">
        <v>112</v>
      </c>
    </row>
    <row r="1193">
      <c r="A1193" s="19" t="s">
        <v>27</v>
      </c>
    </row>
    <row r="1194">
      <c r="A1194" s="19" t="s">
        <v>27</v>
      </c>
    </row>
    <row r="1195">
      <c r="A1195" s="19" t="s">
        <v>27</v>
      </c>
    </row>
    <row r="1196">
      <c r="A1196" s="19" t="s">
        <v>425</v>
      </c>
    </row>
    <row r="1197">
      <c r="A1197" s="19" t="s">
        <v>425</v>
      </c>
    </row>
    <row r="1198">
      <c r="A1198" s="19" t="s">
        <v>425</v>
      </c>
    </row>
    <row r="1199">
      <c r="A1199" s="19" t="s">
        <v>27</v>
      </c>
    </row>
    <row r="1200">
      <c r="A1200" s="19" t="s">
        <v>80</v>
      </c>
    </row>
    <row r="1201">
      <c r="A1201" s="19" t="s">
        <v>391</v>
      </c>
    </row>
    <row r="1202">
      <c r="A1202" s="19" t="s">
        <v>195</v>
      </c>
    </row>
    <row r="1203">
      <c r="A1203" s="19" t="s">
        <v>367</v>
      </c>
    </row>
    <row r="1204">
      <c r="A1204" s="19" t="s">
        <v>56</v>
      </c>
    </row>
    <row r="1205">
      <c r="A1205" s="19" t="s">
        <v>195</v>
      </c>
    </row>
    <row r="1206">
      <c r="A1206" s="19" t="s">
        <v>195</v>
      </c>
    </row>
    <row r="1207">
      <c r="A1207" s="19" t="s">
        <v>56</v>
      </c>
    </row>
    <row r="1208">
      <c r="A1208" s="19" t="s">
        <v>391</v>
      </c>
    </row>
    <row r="1209">
      <c r="A1209" s="19" t="s">
        <v>425</v>
      </c>
    </row>
    <row r="1210">
      <c r="A1210" s="19" t="s">
        <v>425</v>
      </c>
    </row>
    <row r="1211">
      <c r="A1211" s="19" t="s">
        <v>425</v>
      </c>
    </row>
    <row r="1212">
      <c r="A1212" s="19" t="s">
        <v>124</v>
      </c>
    </row>
    <row r="1213">
      <c r="A1213" s="19" t="s">
        <v>485</v>
      </c>
    </row>
    <row r="1214">
      <c r="A1214" s="19" t="s">
        <v>338</v>
      </c>
    </row>
    <row r="1215">
      <c r="A1215" s="19" t="s">
        <v>390</v>
      </c>
    </row>
    <row r="1216">
      <c r="A1216" s="19" t="s">
        <v>395</v>
      </c>
    </row>
    <row r="1217">
      <c r="A1217" s="19" t="s">
        <v>124</v>
      </c>
    </row>
    <row r="1218">
      <c r="A1218" s="19" t="s">
        <v>390</v>
      </c>
    </row>
    <row r="1219">
      <c r="A1219" s="19" t="s">
        <v>227</v>
      </c>
    </row>
    <row r="1220">
      <c r="A1220" s="19" t="s">
        <v>395</v>
      </c>
    </row>
    <row r="1221">
      <c r="A1221" s="19" t="s">
        <v>124</v>
      </c>
    </row>
    <row r="1222">
      <c r="A1222" s="19" t="s">
        <v>296</v>
      </c>
    </row>
    <row r="1223">
      <c r="A1223" s="19" t="s">
        <v>323</v>
      </c>
    </row>
    <row r="1224">
      <c r="A1224" s="19" t="s">
        <v>323</v>
      </c>
    </row>
    <row r="1225">
      <c r="A1225" s="19" t="s">
        <v>296</v>
      </c>
    </row>
    <row r="1226">
      <c r="A1226" s="19" t="s">
        <v>462</v>
      </c>
    </row>
    <row r="1227">
      <c r="A1227" s="19" t="s">
        <v>124</v>
      </c>
    </row>
    <row r="1228">
      <c r="A1228" s="19" t="s">
        <v>462</v>
      </c>
    </row>
    <row r="1229">
      <c r="A1229" s="19" t="s">
        <v>48</v>
      </c>
    </row>
    <row r="1230">
      <c r="A1230" s="19" t="s">
        <v>48</v>
      </c>
    </row>
    <row r="1231">
      <c r="A1231" s="19" t="s">
        <v>48</v>
      </c>
    </row>
    <row r="1232">
      <c r="A1232" s="19" t="s">
        <v>48</v>
      </c>
    </row>
    <row r="1233">
      <c r="A1233" s="19" t="s">
        <v>460</v>
      </c>
    </row>
    <row r="1234">
      <c r="A1234" s="19" t="s">
        <v>29</v>
      </c>
    </row>
    <row r="1235">
      <c r="A1235" s="19" t="s">
        <v>29</v>
      </c>
    </row>
    <row r="1236">
      <c r="A1236" s="19" t="s">
        <v>492</v>
      </c>
    </row>
    <row r="1237">
      <c r="A1237" s="19" t="s">
        <v>564</v>
      </c>
    </row>
    <row r="1238">
      <c r="A1238" s="19" t="s">
        <v>564</v>
      </c>
    </row>
    <row r="1239">
      <c r="A1239" s="19" t="s">
        <v>283</v>
      </c>
    </row>
    <row r="1240">
      <c r="A1240" s="19" t="s">
        <v>422</v>
      </c>
    </row>
    <row r="1241">
      <c r="A1241" s="19" t="s">
        <v>289</v>
      </c>
    </row>
    <row r="1242">
      <c r="A1242" s="19" t="s">
        <v>289</v>
      </c>
    </row>
    <row r="1243">
      <c r="A1243" s="19" t="s">
        <v>503</v>
      </c>
    </row>
    <row r="1244">
      <c r="A1244" s="19" t="s">
        <v>283</v>
      </c>
    </row>
    <row r="1245">
      <c r="A1245" s="19" t="s">
        <v>289</v>
      </c>
    </row>
    <row r="1246">
      <c r="A1246" s="19" t="s">
        <v>289</v>
      </c>
    </row>
    <row r="1247">
      <c r="A1247" s="19" t="s">
        <v>227</v>
      </c>
    </row>
    <row r="1248">
      <c r="A1248" s="19" t="s">
        <v>348</v>
      </c>
    </row>
    <row r="1249">
      <c r="A1249" s="19" t="s">
        <v>45</v>
      </c>
    </row>
    <row r="1250">
      <c r="A1250" s="19" t="s">
        <v>91</v>
      </c>
    </row>
    <row r="1251">
      <c r="A1251" s="19" t="s">
        <v>48</v>
      </c>
    </row>
    <row r="1252">
      <c r="A1252" s="19" t="s">
        <v>422</v>
      </c>
    </row>
    <row r="1253">
      <c r="A1253" s="19" t="s">
        <v>76</v>
      </c>
    </row>
    <row r="1254">
      <c r="A1254" s="19" t="s">
        <v>77</v>
      </c>
    </row>
    <row r="1255">
      <c r="A1255" s="19" t="s">
        <v>168</v>
      </c>
    </row>
    <row r="1256">
      <c r="A1256" s="19" t="s">
        <v>523</v>
      </c>
    </row>
    <row r="1257">
      <c r="A1257" s="19" t="s">
        <v>576</v>
      </c>
    </row>
    <row r="1258">
      <c r="A1258" s="19" t="s">
        <v>171</v>
      </c>
    </row>
    <row r="1259">
      <c r="A1259" s="19" t="s">
        <v>171</v>
      </c>
    </row>
    <row r="1260">
      <c r="A1260" s="19" t="s">
        <v>171</v>
      </c>
    </row>
    <row r="1261">
      <c r="A1261" s="19" t="s">
        <v>189</v>
      </c>
    </row>
    <row r="1262">
      <c r="A1262" s="19" t="s">
        <v>189</v>
      </c>
    </row>
    <row r="1263">
      <c r="A1263" s="19" t="s">
        <v>171</v>
      </c>
    </row>
    <row r="1264">
      <c r="A1264" s="19" t="s">
        <v>267</v>
      </c>
    </row>
    <row r="1265">
      <c r="A1265" s="19" t="s">
        <v>267</v>
      </c>
    </row>
    <row r="1266">
      <c r="A1266" s="19" t="s">
        <v>267</v>
      </c>
    </row>
    <row r="1267">
      <c r="A1267" s="19" t="s">
        <v>533</v>
      </c>
    </row>
    <row r="1268">
      <c r="A1268" s="19" t="s">
        <v>257</v>
      </c>
    </row>
    <row r="1269">
      <c r="A1269" s="19" t="s">
        <v>257</v>
      </c>
    </row>
    <row r="1270">
      <c r="A1270" s="19" t="s">
        <v>533</v>
      </c>
    </row>
    <row r="1271">
      <c r="A1271" s="19" t="s">
        <v>26</v>
      </c>
    </row>
    <row r="1272">
      <c r="A1272" s="19" t="s">
        <v>26</v>
      </c>
    </row>
    <row r="1273">
      <c r="A1273" s="19" t="s">
        <v>26</v>
      </c>
    </row>
    <row r="1274">
      <c r="A1274" s="19" t="s">
        <v>26</v>
      </c>
    </row>
    <row r="1275">
      <c r="A1275" s="19" t="s">
        <v>26</v>
      </c>
    </row>
    <row r="1276">
      <c r="A1276" s="19" t="s">
        <v>561</v>
      </c>
    </row>
    <row r="1277">
      <c r="A1277" s="19" t="s">
        <v>26</v>
      </c>
    </row>
    <row r="1278">
      <c r="A1278" s="19" t="s">
        <v>26</v>
      </c>
    </row>
    <row r="1279">
      <c r="A1279" s="19" t="s">
        <v>533</v>
      </c>
    </row>
    <row r="1280">
      <c r="A1280" s="19" t="s">
        <v>26</v>
      </c>
    </row>
    <row r="1281">
      <c r="A1281" s="19" t="s">
        <v>360</v>
      </c>
    </row>
    <row r="1282">
      <c r="A1282" s="19" t="s">
        <v>360</v>
      </c>
    </row>
    <row r="1283">
      <c r="A1283" s="19" t="s">
        <v>360</v>
      </c>
    </row>
    <row r="1284">
      <c r="A1284" s="19" t="s">
        <v>444</v>
      </c>
    </row>
    <row r="1285">
      <c r="A1285" s="19" t="s">
        <v>444</v>
      </c>
    </row>
    <row r="1286">
      <c r="A1286" s="19" t="s">
        <v>151</v>
      </c>
    </row>
    <row r="1287">
      <c r="A1287" s="19" t="s">
        <v>151</v>
      </c>
    </row>
    <row r="1288">
      <c r="A1288" s="19" t="s">
        <v>151</v>
      </c>
    </row>
    <row r="1289">
      <c r="A1289" s="19" t="s">
        <v>99</v>
      </c>
    </row>
    <row r="1290">
      <c r="A1290" s="19" t="s">
        <v>311</v>
      </c>
    </row>
    <row r="1291">
      <c r="A1291" s="19" t="s">
        <v>311</v>
      </c>
    </row>
    <row r="1292">
      <c r="A1292" s="19" t="s">
        <v>311</v>
      </c>
    </row>
    <row r="1293">
      <c r="A1293" s="19" t="s">
        <v>311</v>
      </c>
    </row>
    <row r="1294">
      <c r="A1294" s="19" t="s">
        <v>311</v>
      </c>
    </row>
    <row r="1295">
      <c r="A1295" s="19" t="s">
        <v>388</v>
      </c>
    </row>
    <row r="1296">
      <c r="A1296" s="19" t="s">
        <v>110</v>
      </c>
    </row>
    <row r="1297">
      <c r="A1297" s="19" t="s">
        <v>301</v>
      </c>
    </row>
    <row r="1298">
      <c r="A1298" s="19" t="s">
        <v>379</v>
      </c>
    </row>
    <row r="1299">
      <c r="A1299" s="19" t="s">
        <v>53</v>
      </c>
    </row>
    <row r="1300">
      <c r="A1300" s="19" t="s">
        <v>295</v>
      </c>
    </row>
    <row r="1301">
      <c r="A1301" s="19" t="s">
        <v>295</v>
      </c>
    </row>
    <row r="1302">
      <c r="A1302" s="19" t="s">
        <v>295</v>
      </c>
    </row>
    <row r="1303">
      <c r="A1303" s="19" t="s">
        <v>449</v>
      </c>
    </row>
    <row r="1304">
      <c r="A1304" s="19" t="s">
        <v>449</v>
      </c>
    </row>
    <row r="1305">
      <c r="A1305" s="19" t="s">
        <v>210</v>
      </c>
    </row>
    <row r="1306">
      <c r="A1306" s="19" t="s">
        <v>449</v>
      </c>
    </row>
    <row r="1307">
      <c r="A1307" s="19" t="s">
        <v>306</v>
      </c>
    </row>
    <row r="1308">
      <c r="A1308" s="19" t="s">
        <v>449</v>
      </c>
    </row>
    <row r="1309">
      <c r="A1309" s="19" t="s">
        <v>81</v>
      </c>
    </row>
    <row r="1310">
      <c r="A1310" s="19" t="s">
        <v>248</v>
      </c>
    </row>
    <row r="1311">
      <c r="A1311" s="19" t="s">
        <v>429</v>
      </c>
    </row>
    <row r="1312">
      <c r="A1312" s="19" t="s">
        <v>92</v>
      </c>
    </row>
    <row r="1313">
      <c r="A1313" s="19" t="s">
        <v>234</v>
      </c>
    </row>
    <row r="1314">
      <c r="A1314" s="19" t="s">
        <v>302</v>
      </c>
    </row>
    <row r="1315">
      <c r="A1315" s="19" t="s">
        <v>313</v>
      </c>
    </row>
    <row r="1316">
      <c r="A1316" s="19" t="s">
        <v>302</v>
      </c>
    </row>
    <row r="1317">
      <c r="A1317" s="19" t="s">
        <v>302</v>
      </c>
    </row>
    <row r="1318">
      <c r="A1318" s="19" t="s">
        <v>317</v>
      </c>
    </row>
    <row r="1319">
      <c r="A1319" s="19" t="s">
        <v>317</v>
      </c>
    </row>
    <row r="1320">
      <c r="A1320" s="19" t="s">
        <v>402</v>
      </c>
    </row>
    <row r="1321">
      <c r="A1321" s="19" t="s">
        <v>366</v>
      </c>
    </row>
    <row r="1322">
      <c r="A1322" s="19" t="s">
        <v>366</v>
      </c>
    </row>
    <row r="1323">
      <c r="A1323" s="19" t="s">
        <v>302</v>
      </c>
    </row>
    <row r="1324">
      <c r="A1324" s="19" t="s">
        <v>248</v>
      </c>
    </row>
    <row r="1325">
      <c r="A1325" s="19" t="s">
        <v>198</v>
      </c>
    </row>
    <row r="1326">
      <c r="A1326" s="19" t="s">
        <v>483</v>
      </c>
    </row>
    <row r="1327">
      <c r="A1327" s="19" t="s">
        <v>588</v>
      </c>
    </row>
    <row r="1328">
      <c r="A1328" s="19" t="s">
        <v>584</v>
      </c>
    </row>
    <row r="1329">
      <c r="A1329" s="19" t="s">
        <v>43</v>
      </c>
    </row>
    <row r="1330">
      <c r="A1330" s="19" t="s">
        <v>43</v>
      </c>
    </row>
    <row r="1331">
      <c r="A1331" s="19" t="s">
        <v>728</v>
      </c>
    </row>
    <row r="1332">
      <c r="A1332" s="19" t="s">
        <v>728</v>
      </c>
    </row>
    <row r="1333">
      <c r="A1333" s="19" t="s">
        <v>225</v>
      </c>
    </row>
    <row r="1334">
      <c r="A1334" s="19" t="s">
        <v>225</v>
      </c>
    </row>
    <row r="1335">
      <c r="A1335" s="19" t="s">
        <v>412</v>
      </c>
    </row>
    <row r="1336">
      <c r="A1336" s="19" t="s">
        <v>412</v>
      </c>
    </row>
    <row r="1337">
      <c r="A1337" s="19" t="s">
        <v>361</v>
      </c>
    </row>
    <row r="1338">
      <c r="A1338" s="19" t="s">
        <v>361</v>
      </c>
    </row>
    <row r="1339">
      <c r="A1339" s="19" t="s">
        <v>361</v>
      </c>
    </row>
    <row r="1340">
      <c r="A1340" s="19" t="s">
        <v>485</v>
      </c>
    </row>
    <row r="1341">
      <c r="A1341" s="19" t="s">
        <v>392</v>
      </c>
    </row>
    <row r="1342">
      <c r="A1342" s="19" t="s">
        <v>392</v>
      </c>
    </row>
    <row r="1343">
      <c r="A1343" s="19" t="s">
        <v>819</v>
      </c>
    </row>
    <row r="1344">
      <c r="A1344" s="19" t="s">
        <v>819</v>
      </c>
    </row>
    <row r="1345">
      <c r="A1345" s="19" t="s">
        <v>819</v>
      </c>
    </row>
    <row r="1346">
      <c r="A1346" s="19" t="s">
        <v>162</v>
      </c>
    </row>
    <row r="1347">
      <c r="A1347" s="19" t="s">
        <v>162</v>
      </c>
    </row>
    <row r="1348">
      <c r="A1348" s="19" t="s">
        <v>162</v>
      </c>
    </row>
    <row r="1349">
      <c r="A1349" s="19" t="s">
        <v>791</v>
      </c>
    </row>
    <row r="1350">
      <c r="A1350" s="19" t="s">
        <v>791</v>
      </c>
    </row>
    <row r="1351">
      <c r="A1351" s="19" t="s">
        <v>791</v>
      </c>
    </row>
    <row r="1352">
      <c r="A1352" s="19" t="s">
        <v>815</v>
      </c>
    </row>
    <row r="1353">
      <c r="A1353" s="19" t="s">
        <v>815</v>
      </c>
    </row>
    <row r="1354">
      <c r="A1354" s="19" t="s">
        <v>92</v>
      </c>
    </row>
    <row r="1355">
      <c r="A1355" s="19" t="s">
        <v>87</v>
      </c>
    </row>
    <row r="1356">
      <c r="A1356" s="19" t="s">
        <v>87</v>
      </c>
    </row>
    <row r="1357">
      <c r="A1357" s="19" t="s">
        <v>87</v>
      </c>
    </row>
    <row r="1358">
      <c r="A1358" s="19" t="s">
        <v>111</v>
      </c>
    </row>
    <row r="1359">
      <c r="A1359" s="19" t="s">
        <v>111</v>
      </c>
    </row>
    <row r="1360">
      <c r="A1360" s="19" t="s">
        <v>87</v>
      </c>
    </row>
    <row r="1361">
      <c r="A1361" s="19" t="s">
        <v>50</v>
      </c>
    </row>
    <row r="1362">
      <c r="A1362" s="19" t="s">
        <v>50</v>
      </c>
    </row>
    <row r="1363">
      <c r="A1363" s="19" t="s">
        <v>50</v>
      </c>
    </row>
    <row r="1364">
      <c r="A1364" s="19" t="s">
        <v>50</v>
      </c>
    </row>
    <row r="1365">
      <c r="A1365" s="19" t="s">
        <v>56</v>
      </c>
    </row>
    <row r="1366">
      <c r="A1366" s="19" t="s">
        <v>410</v>
      </c>
    </row>
    <row r="1367">
      <c r="A1367" s="19" t="s">
        <v>749</v>
      </c>
    </row>
    <row r="1368">
      <c r="A1368" s="19" t="s">
        <v>749</v>
      </c>
    </row>
    <row r="1369">
      <c r="A1369" s="19" t="s">
        <v>749</v>
      </c>
    </row>
    <row r="1370">
      <c r="A1370" s="19" t="s">
        <v>139</v>
      </c>
    </row>
    <row r="1371">
      <c r="A1371" s="19" t="s">
        <v>139</v>
      </c>
    </row>
    <row r="1372">
      <c r="A1372" s="19" t="s">
        <v>139</v>
      </c>
    </row>
    <row r="1373">
      <c r="A1373" s="19" t="s">
        <v>228</v>
      </c>
    </row>
    <row r="1374">
      <c r="A1374" s="19" t="s">
        <v>228</v>
      </c>
    </row>
    <row r="1375">
      <c r="A1375" s="19" t="s">
        <v>330</v>
      </c>
    </row>
    <row r="1376">
      <c r="A1376" s="19" t="s">
        <v>330</v>
      </c>
    </row>
    <row r="1377">
      <c r="A1377" s="19" t="s">
        <v>330</v>
      </c>
    </row>
    <row r="1378">
      <c r="A1378" s="19" t="s">
        <v>37</v>
      </c>
    </row>
    <row r="1379">
      <c r="A1379" s="19" t="s">
        <v>37</v>
      </c>
    </row>
    <row r="1380">
      <c r="A1380" s="19" t="s">
        <v>330</v>
      </c>
    </row>
    <row r="1381">
      <c r="A1381" s="19" t="s">
        <v>286</v>
      </c>
    </row>
    <row r="1382">
      <c r="A1382" s="19" t="s">
        <v>286</v>
      </c>
    </row>
    <row r="1383">
      <c r="A1383" s="19" t="s">
        <v>286</v>
      </c>
    </row>
    <row r="1384">
      <c r="A1384" s="19" t="s">
        <v>412</v>
      </c>
    </row>
    <row r="1385">
      <c r="A1385" s="19" t="s">
        <v>381</v>
      </c>
    </row>
    <row r="1386">
      <c r="A1386" s="19" t="s">
        <v>811</v>
      </c>
    </row>
    <row r="1387">
      <c r="A1387" s="19" t="s">
        <v>811</v>
      </c>
    </row>
    <row r="1388">
      <c r="A1388" s="19" t="s">
        <v>804</v>
      </c>
    </row>
    <row r="1389">
      <c r="A1389" s="19" t="s">
        <v>804</v>
      </c>
    </row>
    <row r="1390">
      <c r="A1390" s="19" t="s">
        <v>451</v>
      </c>
    </row>
    <row r="1391">
      <c r="A1391" s="19" t="s">
        <v>283</v>
      </c>
    </row>
    <row r="1392">
      <c r="A1392" s="19" t="s">
        <v>813</v>
      </c>
    </row>
    <row r="1393">
      <c r="A1393" s="19" t="s">
        <v>813</v>
      </c>
    </row>
    <row r="1394">
      <c r="A1394" s="19" t="s">
        <v>813</v>
      </c>
    </row>
    <row r="1395">
      <c r="A1395" s="19" t="s">
        <v>818</v>
      </c>
    </row>
    <row r="1396">
      <c r="A1396" s="19" t="s">
        <v>818</v>
      </c>
    </row>
    <row r="1397">
      <c r="A1397" s="19" t="s">
        <v>818</v>
      </c>
    </row>
    <row r="1398">
      <c r="A1398" s="19" t="s">
        <v>116</v>
      </c>
    </row>
    <row r="1399">
      <c r="A1399" s="19" t="s">
        <v>116</v>
      </c>
    </row>
    <row r="1400">
      <c r="A1400" s="19" t="s">
        <v>165</v>
      </c>
    </row>
    <row r="1401">
      <c r="A1401" s="19" t="s">
        <v>165</v>
      </c>
    </row>
    <row r="1402">
      <c r="A1402" s="19" t="s">
        <v>328</v>
      </c>
    </row>
    <row r="1403">
      <c r="A1403" s="19" t="s">
        <v>328</v>
      </c>
    </row>
    <row r="1404">
      <c r="A1404" s="19" t="s">
        <v>328</v>
      </c>
    </row>
    <row r="1405">
      <c r="A1405" s="19" t="s">
        <v>750</v>
      </c>
    </row>
    <row r="1406">
      <c r="A1406" s="19" t="s">
        <v>169</v>
      </c>
    </row>
    <row r="1407">
      <c r="A1407" s="19" t="s">
        <v>368</v>
      </c>
    </row>
    <row r="1408">
      <c r="A1408" s="19" t="s">
        <v>368</v>
      </c>
    </row>
    <row r="1409">
      <c r="A1409" s="19" t="s">
        <v>368</v>
      </c>
    </row>
    <row r="1410">
      <c r="A1410" s="19" t="s">
        <v>815</v>
      </c>
    </row>
    <row r="1411">
      <c r="A1411" s="19" t="s">
        <v>19</v>
      </c>
    </row>
    <row r="1412">
      <c r="A1412" s="19" t="s">
        <v>624</v>
      </c>
    </row>
    <row r="1413">
      <c r="A1413" s="19" t="s">
        <v>624</v>
      </c>
    </row>
    <row r="1414">
      <c r="A1414" s="19" t="s">
        <v>624</v>
      </c>
    </row>
    <row r="1415">
      <c r="A1415" s="19" t="s">
        <v>391</v>
      </c>
    </row>
    <row r="1416">
      <c r="A1416" s="19" t="s">
        <v>507</v>
      </c>
    </row>
    <row r="1417">
      <c r="A1417" s="19" t="s">
        <v>297</v>
      </c>
    </row>
    <row r="1418">
      <c r="A1418" s="19" t="s">
        <v>297</v>
      </c>
    </row>
    <row r="1419">
      <c r="A1419" s="19" t="s">
        <v>297</v>
      </c>
    </row>
    <row r="1420">
      <c r="A1420" s="19" t="s">
        <v>99</v>
      </c>
    </row>
    <row r="1421">
      <c r="A1421" s="19" t="s">
        <v>318</v>
      </c>
    </row>
    <row r="1422">
      <c r="A1422" s="19" t="s">
        <v>474</v>
      </c>
    </row>
    <row r="1423">
      <c r="A1423" s="19" t="s">
        <v>474</v>
      </c>
    </row>
    <row r="1424">
      <c r="A1424" s="19" t="s">
        <v>136</v>
      </c>
    </row>
    <row r="1425">
      <c r="A1425" s="19" t="s">
        <v>263</v>
      </c>
    </row>
    <row r="1426">
      <c r="A1426" s="19" t="s">
        <v>501</v>
      </c>
    </row>
    <row r="1427">
      <c r="A1427" s="19" t="s">
        <v>385</v>
      </c>
    </row>
    <row r="1428">
      <c r="A1428" s="19" t="s">
        <v>385</v>
      </c>
    </row>
    <row r="1429">
      <c r="A1429" s="19" t="s">
        <v>398</v>
      </c>
    </row>
    <row r="1430">
      <c r="A1430" s="19" t="s">
        <v>398</v>
      </c>
    </row>
    <row r="1431">
      <c r="A1431" s="19" t="s">
        <v>340</v>
      </c>
    </row>
    <row r="1432">
      <c r="A1432" s="19" t="s">
        <v>296</v>
      </c>
    </row>
    <row r="1433">
      <c r="A1433" s="19" t="s">
        <v>106</v>
      </c>
    </row>
    <row r="1434">
      <c r="A1434" s="19" t="s">
        <v>106</v>
      </c>
    </row>
    <row r="1435">
      <c r="A1435" s="19" t="s">
        <v>49</v>
      </c>
    </row>
    <row r="1436">
      <c r="A1436" s="19" t="s">
        <v>49</v>
      </c>
    </row>
    <row r="1437">
      <c r="A1437" s="19" t="s">
        <v>293</v>
      </c>
    </row>
    <row r="1438">
      <c r="A1438" s="19" t="s">
        <v>293</v>
      </c>
    </row>
    <row r="1439">
      <c r="A1439" s="19" t="s">
        <v>256</v>
      </c>
    </row>
    <row r="1440">
      <c r="A1440" s="19" t="s">
        <v>256</v>
      </c>
    </row>
    <row r="1441">
      <c r="A1441" s="19" t="s">
        <v>256</v>
      </c>
    </row>
    <row r="1442">
      <c r="A1442" s="19" t="s">
        <v>256</v>
      </c>
    </row>
    <row r="1443">
      <c r="A1443" s="19" t="s">
        <v>406</v>
      </c>
    </row>
    <row r="1444">
      <c r="A1444" s="19" t="s">
        <v>406</v>
      </c>
    </row>
    <row r="1445">
      <c r="A1445" s="19" t="s">
        <v>406</v>
      </c>
    </row>
    <row r="1446">
      <c r="A1446" s="19" t="s">
        <v>256</v>
      </c>
    </row>
    <row r="1447">
      <c r="A1447" s="19" t="s">
        <v>209</v>
      </c>
    </row>
    <row r="1448">
      <c r="A1448" s="19" t="s">
        <v>209</v>
      </c>
    </row>
    <row r="1449">
      <c r="A1449" s="19" t="s">
        <v>214</v>
      </c>
    </row>
    <row r="1450">
      <c r="A1450" s="19" t="s">
        <v>356</v>
      </c>
    </row>
    <row r="1451">
      <c r="A1451" s="19" t="s">
        <v>214</v>
      </c>
    </row>
    <row r="1452">
      <c r="A1452" s="19" t="s">
        <v>340</v>
      </c>
    </row>
    <row r="1453">
      <c r="A1453" s="19" t="s">
        <v>160</v>
      </c>
    </row>
    <row r="1454">
      <c r="A1454" s="19" t="s">
        <v>459</v>
      </c>
    </row>
    <row r="1455">
      <c r="A1455" s="19" t="s">
        <v>160</v>
      </c>
    </row>
    <row r="1456">
      <c r="A1456" s="19" t="s">
        <v>472</v>
      </c>
    </row>
    <row r="1457">
      <c r="A1457" s="19" t="s">
        <v>472</v>
      </c>
    </row>
    <row r="1458">
      <c r="A1458" s="19" t="s">
        <v>281</v>
      </c>
    </row>
    <row r="1459">
      <c r="A1459" s="19" t="s">
        <v>470</v>
      </c>
    </row>
    <row r="1460">
      <c r="A1460" s="19" t="s">
        <v>104</v>
      </c>
    </row>
    <row r="1461">
      <c r="A1461" s="19" t="s">
        <v>104</v>
      </c>
    </row>
    <row r="1462">
      <c r="A1462" s="19" t="s">
        <v>104</v>
      </c>
    </row>
    <row r="1463">
      <c r="A1463" s="19" t="s">
        <v>66</v>
      </c>
    </row>
    <row r="1464">
      <c r="A1464" s="19" t="s">
        <v>66</v>
      </c>
    </row>
    <row r="1465">
      <c r="A1465" s="19" t="s">
        <v>14</v>
      </c>
    </row>
    <row r="1466">
      <c r="A1466" s="19" t="s">
        <v>363</v>
      </c>
    </row>
    <row r="1467">
      <c r="A1467" s="19" t="s">
        <v>363</v>
      </c>
    </row>
    <row r="1468">
      <c r="A1468" s="19" t="s">
        <v>363</v>
      </c>
    </row>
    <row r="1469">
      <c r="A1469" s="19" t="s">
        <v>432</v>
      </c>
    </row>
    <row r="1470">
      <c r="A1470" s="19" t="s">
        <v>231</v>
      </c>
    </row>
    <row r="1471">
      <c r="A1471" s="19" t="s">
        <v>231</v>
      </c>
    </row>
    <row r="1472">
      <c r="A1472" s="19" t="s">
        <v>231</v>
      </c>
    </row>
    <row r="1473">
      <c r="A1473" s="19" t="s">
        <v>475</v>
      </c>
    </row>
    <row r="1474">
      <c r="A1474" s="19" t="s">
        <v>475</v>
      </c>
    </row>
    <row r="1475">
      <c r="A1475" s="19" t="s">
        <v>122</v>
      </c>
    </row>
    <row r="1476">
      <c r="A1476" s="19" t="s">
        <v>122</v>
      </c>
    </row>
    <row r="1477">
      <c r="A1477" s="19" t="s">
        <v>805</v>
      </c>
    </row>
    <row r="1478">
      <c r="A1478" s="19" t="s">
        <v>799</v>
      </c>
    </row>
    <row r="1479">
      <c r="A1479" s="19" t="s">
        <v>799</v>
      </c>
    </row>
    <row r="1480">
      <c r="A1480" s="19" t="s">
        <v>805</v>
      </c>
    </row>
    <row r="1481">
      <c r="A1481" s="19" t="s">
        <v>805</v>
      </c>
    </row>
    <row r="1482">
      <c r="A1482" s="19" t="s">
        <v>168</v>
      </c>
    </row>
    <row r="1483">
      <c r="A1483" s="19" t="s">
        <v>168</v>
      </c>
    </row>
    <row r="1484">
      <c r="A1484" s="19" t="s">
        <v>750</v>
      </c>
    </row>
    <row r="1485">
      <c r="A1485" s="19" t="s">
        <v>817</v>
      </c>
    </row>
    <row r="1486">
      <c r="A1486" s="19" t="s">
        <v>336</v>
      </c>
    </row>
    <row r="1487">
      <c r="A1487" s="19" t="s">
        <v>169</v>
      </c>
    </row>
    <row r="1488">
      <c r="A1488" s="19" t="s">
        <v>122</v>
      </c>
    </row>
    <row r="1489">
      <c r="A1489" s="19" t="s">
        <v>796</v>
      </c>
    </row>
    <row r="1490">
      <c r="A1490" s="19" t="s">
        <v>113</v>
      </c>
    </row>
    <row r="1491">
      <c r="A1491" s="19" t="s">
        <v>113</v>
      </c>
    </row>
    <row r="1492">
      <c r="A1492" s="19" t="s">
        <v>515</v>
      </c>
    </row>
    <row r="1493">
      <c r="A1493" s="19" t="s">
        <v>796</v>
      </c>
    </row>
    <row r="1494">
      <c r="A1494" s="19" t="s">
        <v>43</v>
      </c>
    </row>
    <row r="1495">
      <c r="A1495" s="19" t="s">
        <v>103</v>
      </c>
    </row>
    <row r="1496">
      <c r="A1496" s="19" t="s">
        <v>793</v>
      </c>
    </row>
    <row r="1497">
      <c r="A1497" s="19" t="s">
        <v>793</v>
      </c>
    </row>
    <row r="1498">
      <c r="A1498" s="19" t="s">
        <v>199</v>
      </c>
    </row>
    <row r="1499">
      <c r="A1499" s="19" t="s">
        <v>199</v>
      </c>
    </row>
    <row r="1500">
      <c r="A1500" s="19" t="s">
        <v>232</v>
      </c>
    </row>
    <row r="1501">
      <c r="A1501" s="19" t="s">
        <v>500</v>
      </c>
    </row>
    <row r="1502">
      <c r="A1502" s="19" t="s">
        <v>411</v>
      </c>
    </row>
    <row r="1503">
      <c r="A1503" s="19" t="s">
        <v>414</v>
      </c>
    </row>
    <row r="1504">
      <c r="A1504" s="19" t="s">
        <v>414</v>
      </c>
    </row>
    <row r="1505">
      <c r="A1505" s="19" t="s">
        <v>880</v>
      </c>
    </row>
    <row r="1506">
      <c r="A1506" s="19" t="s">
        <v>880</v>
      </c>
    </row>
    <row r="1507">
      <c r="A1507" s="19" t="s">
        <v>411</v>
      </c>
    </row>
    <row r="1508">
      <c r="A1508" s="19" t="s">
        <v>281</v>
      </c>
    </row>
    <row r="1509">
      <c r="A1509" s="19" t="s">
        <v>497</v>
      </c>
    </row>
    <row r="1510">
      <c r="A1510" s="19" t="s">
        <v>497</v>
      </c>
    </row>
    <row r="1511">
      <c r="A1511" s="19" t="s">
        <v>281</v>
      </c>
    </row>
    <row r="1512">
      <c r="A1512" s="19" t="s">
        <v>293</v>
      </c>
    </row>
    <row r="1513">
      <c r="A1513" s="19" t="s">
        <v>232</v>
      </c>
    </row>
    <row r="1514">
      <c r="A1514" s="19" t="s">
        <v>752</v>
      </c>
    </row>
    <row r="1515">
      <c r="A1515" s="19" t="s">
        <v>144</v>
      </c>
    </row>
    <row r="1516">
      <c r="A1516" s="19" t="s">
        <v>817</v>
      </c>
    </row>
    <row r="1517">
      <c r="A1517" s="19" t="s">
        <v>144</v>
      </c>
    </row>
    <row r="1518">
      <c r="A1518" s="19" t="s">
        <v>752</v>
      </c>
    </row>
    <row r="1519">
      <c r="A1519" s="19" t="s">
        <v>501</v>
      </c>
    </row>
    <row r="1520">
      <c r="A1520" s="19" t="s">
        <v>796</v>
      </c>
    </row>
    <row r="1521">
      <c r="A1521" s="19" t="s">
        <v>469</v>
      </c>
    </row>
    <row r="1522">
      <c r="A1522" s="19" t="s">
        <v>469</v>
      </c>
    </row>
    <row r="1523">
      <c r="A1523" s="19" t="s">
        <v>473</v>
      </c>
    </row>
    <row r="1524">
      <c r="A1524" s="19" t="s">
        <v>473</v>
      </c>
    </row>
    <row r="1525">
      <c r="A1525" s="19" t="s">
        <v>401</v>
      </c>
    </row>
    <row r="1526">
      <c r="A1526" s="19" t="s">
        <v>401</v>
      </c>
    </row>
    <row r="1527">
      <c r="A1527" s="19" t="s">
        <v>401</v>
      </c>
    </row>
    <row r="1528">
      <c r="A1528" s="19" t="s">
        <v>580</v>
      </c>
    </row>
    <row r="1529">
      <c r="A1529" s="19" t="s">
        <v>135</v>
      </c>
    </row>
    <row r="1530">
      <c r="A1530" s="19" t="s">
        <v>170</v>
      </c>
    </row>
    <row r="1531">
      <c r="A1531" s="19" t="s">
        <v>829</v>
      </c>
    </row>
    <row r="1532">
      <c r="A1532" s="19" t="s">
        <v>880</v>
      </c>
    </row>
    <row r="1533">
      <c r="A1533" s="19" t="s">
        <v>829</v>
      </c>
    </row>
    <row r="1534">
      <c r="A1534" s="19" t="s">
        <v>164</v>
      </c>
    </row>
    <row r="1535">
      <c r="A1535" s="19" t="s">
        <v>170</v>
      </c>
    </row>
    <row r="1536">
      <c r="A1536" s="19" t="s">
        <v>490</v>
      </c>
    </row>
    <row r="1537">
      <c r="A1537" s="19" t="s">
        <v>317</v>
      </c>
    </row>
    <row r="1538">
      <c r="A1538" s="19" t="s">
        <v>793</v>
      </c>
    </row>
    <row r="1539">
      <c r="A1539" s="19" t="s">
        <v>757</v>
      </c>
    </row>
    <row r="1540">
      <c r="A1540" s="19" t="s">
        <v>820</v>
      </c>
    </row>
    <row r="1541">
      <c r="A1541" s="19" t="s">
        <v>820</v>
      </c>
    </row>
    <row r="1542">
      <c r="A1542" s="19" t="s">
        <v>201</v>
      </c>
    </row>
    <row r="1543">
      <c r="A1543" s="19" t="s">
        <v>584</v>
      </c>
    </row>
    <row r="1544">
      <c r="A1544" s="19" t="s">
        <v>264</v>
      </c>
    </row>
    <row r="1545">
      <c r="A1545" s="19" t="s">
        <v>144</v>
      </c>
    </row>
    <row r="1546">
      <c r="A1546" s="19" t="s">
        <v>309</v>
      </c>
    </row>
    <row r="1547">
      <c r="A1547" s="19" t="s">
        <v>135</v>
      </c>
    </row>
    <row r="1548">
      <c r="A1548" s="19" t="s">
        <v>309</v>
      </c>
    </row>
    <row r="1549">
      <c r="A1549" s="19" t="s">
        <v>135</v>
      </c>
    </row>
    <row r="1550">
      <c r="A1550" s="19" t="s">
        <v>114</v>
      </c>
    </row>
    <row r="1551">
      <c r="A1551" s="19" t="s">
        <v>829</v>
      </c>
    </row>
    <row r="1552">
      <c r="A1552" s="19" t="s">
        <v>371</v>
      </c>
    </row>
    <row r="1553">
      <c r="A1553" s="19" t="s">
        <v>771</v>
      </c>
    </row>
    <row r="1554">
      <c r="A1554" s="19" t="s">
        <v>31</v>
      </c>
    </row>
    <row r="1555">
      <c r="A1555" s="19" t="s">
        <v>371</v>
      </c>
    </row>
    <row r="1556">
      <c r="A1556" s="19" t="s">
        <v>201</v>
      </c>
    </row>
    <row r="1557">
      <c r="A1557" s="19" t="s">
        <v>500</v>
      </c>
    </row>
    <row r="1558">
      <c r="A1558" s="19" t="s">
        <v>806</v>
      </c>
    </row>
    <row r="1559">
      <c r="A1559" s="19" t="s">
        <v>806</v>
      </c>
    </row>
    <row r="1560">
      <c r="A1560" s="19" t="s">
        <v>806</v>
      </c>
    </row>
    <row r="1561">
      <c r="A1561" s="19" t="s">
        <v>795</v>
      </c>
    </row>
    <row r="1562">
      <c r="A1562" s="19" t="s">
        <v>757</v>
      </c>
    </row>
    <row r="1563">
      <c r="A1563" s="19" t="s">
        <v>757</v>
      </c>
    </row>
    <row r="1564">
      <c r="A1564" s="19" t="s">
        <v>757</v>
      </c>
    </row>
    <row r="1565">
      <c r="A1565" s="19" t="s">
        <v>371</v>
      </c>
    </row>
    <row r="1566">
      <c r="A1566" s="19" t="s">
        <v>309</v>
      </c>
    </row>
    <row r="1567">
      <c r="A1567" s="19" t="s">
        <v>420</v>
      </c>
    </row>
    <row r="1568">
      <c r="A1568" s="19" t="s">
        <v>79</v>
      </c>
    </row>
    <row r="1569">
      <c r="A1569" s="19" t="s">
        <v>79</v>
      </c>
    </row>
    <row r="1570">
      <c r="A1570" s="19" t="s">
        <v>335</v>
      </c>
    </row>
    <row r="1571">
      <c r="A1571" s="19" t="s">
        <v>335</v>
      </c>
    </row>
    <row r="1572">
      <c r="A1572" s="19" t="s">
        <v>54</v>
      </c>
    </row>
    <row r="1573">
      <c r="A1573" s="19" t="s">
        <v>465</v>
      </c>
    </row>
    <row r="1574">
      <c r="A1574" s="19" t="s">
        <v>39</v>
      </c>
    </row>
    <row r="1575">
      <c r="A1575" s="19" t="s">
        <v>454</v>
      </c>
    </row>
    <row r="1576">
      <c r="A1576" s="19" t="s">
        <v>825</v>
      </c>
    </row>
    <row r="1577">
      <c r="A1577" s="19" t="s">
        <v>825</v>
      </c>
    </row>
    <row r="1578">
      <c r="A1578" s="19" t="s">
        <v>136</v>
      </c>
    </row>
    <row r="1579">
      <c r="A1579" s="19" t="s">
        <v>136</v>
      </c>
    </row>
    <row r="1580">
      <c r="A1580" s="19" t="s">
        <v>554</v>
      </c>
    </row>
    <row r="1581">
      <c r="A1581" s="19" t="s">
        <v>821</v>
      </c>
    </row>
    <row r="1582">
      <c r="A1582" s="19" t="s">
        <v>816</v>
      </c>
    </row>
    <row r="1583">
      <c r="A1583" s="19" t="s">
        <v>821</v>
      </c>
    </row>
    <row r="1584">
      <c r="A1584" s="19" t="s">
        <v>196</v>
      </c>
    </row>
    <row r="1585">
      <c r="A1585" s="19" t="s">
        <v>196</v>
      </c>
    </row>
    <row r="1586">
      <c r="A1586" s="19" t="s">
        <v>249</v>
      </c>
    </row>
    <row r="1587">
      <c r="A1587" s="19" t="s">
        <v>110</v>
      </c>
    </row>
    <row r="1588">
      <c r="A1588" s="19" t="s">
        <v>48</v>
      </c>
    </row>
    <row r="1589">
      <c r="A1589" s="19" t="s">
        <v>569</v>
      </c>
    </row>
    <row r="1590">
      <c r="A1590" s="19" t="s">
        <v>39</v>
      </c>
    </row>
    <row r="1591">
      <c r="A1591" s="19" t="s">
        <v>196</v>
      </c>
    </row>
    <row r="1592">
      <c r="A1592" s="19" t="s">
        <v>430</v>
      </c>
    </row>
    <row r="1593">
      <c r="A1593" s="19" t="s">
        <v>843</v>
      </c>
    </row>
    <row r="1594">
      <c r="A1594" s="19" t="s">
        <v>754</v>
      </c>
    </row>
    <row r="1595">
      <c r="A1595" s="19" t="s">
        <v>881</v>
      </c>
    </row>
    <row r="1596">
      <c r="A1596" s="19" t="s">
        <v>816</v>
      </c>
    </row>
    <row r="1597">
      <c r="A1597" s="19" t="s">
        <v>821</v>
      </c>
    </row>
    <row r="1598">
      <c r="A1598" s="19" t="s">
        <v>825</v>
      </c>
    </row>
    <row r="1599">
      <c r="A1599" s="19" t="s">
        <v>166</v>
      </c>
    </row>
    <row r="1600">
      <c r="A1600" s="19" t="s">
        <v>795</v>
      </c>
    </row>
    <row r="1601">
      <c r="A1601" s="19" t="s">
        <v>388</v>
      </c>
    </row>
    <row r="1602">
      <c r="A1602" s="19" t="s">
        <v>427</v>
      </c>
    </row>
    <row r="1603">
      <c r="A1603" s="19" t="s">
        <v>771</v>
      </c>
    </row>
    <row r="1604">
      <c r="A1604" s="19" t="s">
        <v>80</v>
      </c>
    </row>
    <row r="1605">
      <c r="A1605" s="19" t="s">
        <v>771</v>
      </c>
    </row>
    <row r="1606">
      <c r="A1606" s="19" t="s">
        <v>839</v>
      </c>
    </row>
    <row r="1607">
      <c r="A1607" s="19" t="s">
        <v>839</v>
      </c>
    </row>
    <row r="1608">
      <c r="A1608" s="19" t="s">
        <v>830</v>
      </c>
    </row>
    <row r="1609">
      <c r="A1609" s="19" t="s">
        <v>810</v>
      </c>
    </row>
    <row r="1610">
      <c r="A1610" s="19" t="s">
        <v>881</v>
      </c>
    </row>
    <row r="1611">
      <c r="A1611" s="19" t="s">
        <v>326</v>
      </c>
    </row>
    <row r="1612">
      <c r="A1612" s="19" t="s">
        <v>754</v>
      </c>
    </row>
    <row r="1613">
      <c r="A1613" s="19" t="s">
        <v>532</v>
      </c>
    </row>
    <row r="1614">
      <c r="A1614" s="19" t="s">
        <v>532</v>
      </c>
    </row>
    <row r="1615">
      <c r="A1615" s="19" t="s">
        <v>559</v>
      </c>
    </row>
    <row r="1616">
      <c r="A1616" s="19" t="s">
        <v>559</v>
      </c>
    </row>
    <row r="1617">
      <c r="A1617" s="19" t="s">
        <v>323</v>
      </c>
    </row>
    <row r="1618">
      <c r="A1618" s="19" t="s">
        <v>107</v>
      </c>
    </row>
    <row r="1619">
      <c r="A1619" s="19" t="s">
        <v>111</v>
      </c>
    </row>
    <row r="1620">
      <c r="A1620" s="19" t="s">
        <v>107</v>
      </c>
    </row>
    <row r="1621">
      <c r="A1621" s="19" t="s">
        <v>228</v>
      </c>
    </row>
    <row r="1622">
      <c r="A1622" s="19" t="s">
        <v>166</v>
      </c>
    </row>
    <row r="1623">
      <c r="A1623" s="19" t="s">
        <v>169</v>
      </c>
    </row>
    <row r="1624">
      <c r="A1624" s="19" t="s">
        <v>166</v>
      </c>
    </row>
    <row r="1625">
      <c r="A1625" s="19" t="s">
        <v>843</v>
      </c>
    </row>
    <row r="1626">
      <c r="A1626" s="20" t="s">
        <v>843</v>
      </c>
    </row>
    <row r="1627">
      <c r="A1627" s="20" t="s">
        <v>577</v>
      </c>
    </row>
    <row r="1628">
      <c r="A1628" s="20" t="s">
        <v>267</v>
      </c>
    </row>
    <row r="1629">
      <c r="A1629" s="20" t="s">
        <v>476</v>
      </c>
    </row>
    <row r="1630">
      <c r="A1630" s="20" t="s">
        <v>504</v>
      </c>
    </row>
    <row r="1631">
      <c r="A1631" s="20" t="s">
        <v>312</v>
      </c>
    </row>
    <row r="1632">
      <c r="A1632" s="20" t="s">
        <v>573</v>
      </c>
    </row>
    <row r="1633">
      <c r="A1633" s="20" t="s">
        <v>565</v>
      </c>
    </row>
    <row r="1634">
      <c r="A1634" s="20" t="s">
        <v>529</v>
      </c>
    </row>
    <row r="1635">
      <c r="A1635" s="20" t="s">
        <v>530</v>
      </c>
    </row>
    <row r="1636">
      <c r="A1636" s="20" t="s">
        <v>552</v>
      </c>
    </row>
    <row r="1637">
      <c r="A1637" s="20" t="s">
        <v>551</v>
      </c>
    </row>
    <row r="1638">
      <c r="A1638" s="20" t="s">
        <v>488</v>
      </c>
    </row>
    <row r="1639">
      <c r="A1639" s="20" t="s">
        <v>504</v>
      </c>
    </row>
    <row r="1640">
      <c r="A1640" s="20" t="s">
        <v>552</v>
      </c>
    </row>
    <row r="1641">
      <c r="A1641" s="20" t="s">
        <v>549</v>
      </c>
    </row>
    <row r="1642">
      <c r="A1642" s="20" t="s">
        <v>506</v>
      </c>
    </row>
    <row r="1643">
      <c r="A1643" s="20" t="s">
        <v>486</v>
      </c>
    </row>
    <row r="1644">
      <c r="A1644" s="20" t="s">
        <v>575</v>
      </c>
    </row>
    <row r="1645">
      <c r="A1645" s="20" t="s">
        <v>491</v>
      </c>
    </row>
    <row r="1646">
      <c r="A1646" s="20" t="s">
        <v>511</v>
      </c>
    </row>
    <row r="1647">
      <c r="A1647" s="20" t="s">
        <v>312</v>
      </c>
    </row>
    <row r="1648">
      <c r="A1648" s="20" t="s">
        <v>570</v>
      </c>
    </row>
    <row r="1649">
      <c r="A1649" s="20" t="s">
        <v>512</v>
      </c>
    </row>
    <row r="1650">
      <c r="A1650" s="20" t="s">
        <v>542</v>
      </c>
    </row>
    <row r="1651">
      <c r="A1651" s="20" t="s">
        <v>545</v>
      </c>
    </row>
    <row r="1652">
      <c r="A1652" s="20" t="s">
        <v>523</v>
      </c>
    </row>
    <row r="1653">
      <c r="A1653" s="20" t="s">
        <v>520</v>
      </c>
    </row>
    <row r="1654">
      <c r="A1654" s="20" t="s">
        <v>508</v>
      </c>
    </row>
    <row r="1655">
      <c r="A1655" s="20" t="s">
        <v>879</v>
      </c>
    </row>
    <row r="1656">
      <c r="A1656" s="20" t="s">
        <v>879</v>
      </c>
    </row>
    <row r="1657">
      <c r="A1657" s="20" t="s">
        <v>879</v>
      </c>
    </row>
    <row r="1658">
      <c r="A1658" s="20" t="s">
        <v>879</v>
      </c>
    </row>
    <row r="1659">
      <c r="A1659" s="20" t="s">
        <v>879</v>
      </c>
    </row>
    <row r="1660">
      <c r="A1660" s="20" t="s">
        <v>879</v>
      </c>
    </row>
    <row r="1661">
      <c r="A1661" s="20" t="s">
        <v>879</v>
      </c>
    </row>
    <row r="1662">
      <c r="A1662" s="20" t="s">
        <v>879</v>
      </c>
    </row>
    <row r="1663">
      <c r="A1663" s="20" t="s">
        <v>879</v>
      </c>
    </row>
    <row r="1664">
      <c r="A1664" s="20" t="s">
        <v>879</v>
      </c>
    </row>
    <row r="1665">
      <c r="A1665" s="20" t="s">
        <v>879</v>
      </c>
    </row>
    <row r="1666">
      <c r="A1666" s="20" t="s">
        <v>879</v>
      </c>
    </row>
    <row r="1667">
      <c r="A1667" s="20" t="s">
        <v>879</v>
      </c>
    </row>
    <row r="1668">
      <c r="A1668" s="20" t="s">
        <v>879</v>
      </c>
    </row>
    <row r="1669">
      <c r="A1669" s="20" t="s">
        <v>879</v>
      </c>
    </row>
    <row r="1670">
      <c r="A1670" s="20" t="s">
        <v>879</v>
      </c>
    </row>
    <row r="1671">
      <c r="A1671" s="20" t="s">
        <v>879</v>
      </c>
    </row>
    <row r="1672">
      <c r="A1672" s="20" t="s">
        <v>879</v>
      </c>
    </row>
    <row r="1673">
      <c r="A1673" s="20" t="s">
        <v>879</v>
      </c>
    </row>
    <row r="1674">
      <c r="A1674" s="20" t="s">
        <v>879</v>
      </c>
    </row>
    <row r="1675">
      <c r="A1675" s="20" t="s">
        <v>879</v>
      </c>
    </row>
    <row r="1676">
      <c r="A1676" s="20" t="s">
        <v>879</v>
      </c>
    </row>
    <row r="1677">
      <c r="A1677" s="20" t="s">
        <v>879</v>
      </c>
    </row>
    <row r="1678">
      <c r="A1678" s="20" t="s">
        <v>879</v>
      </c>
    </row>
    <row r="1679">
      <c r="A1679" s="20" t="s">
        <v>879</v>
      </c>
    </row>
    <row r="1680">
      <c r="A1680" s="20" t="s">
        <v>879</v>
      </c>
    </row>
    <row r="1681">
      <c r="A1681" s="20" t="s">
        <v>879</v>
      </c>
    </row>
    <row r="1682">
      <c r="A1682" s="20" t="s">
        <v>879</v>
      </c>
    </row>
    <row r="1683">
      <c r="A1683" s="20" t="s">
        <v>879</v>
      </c>
    </row>
    <row r="1684">
      <c r="A1684" s="20" t="s">
        <v>879</v>
      </c>
    </row>
    <row r="1685">
      <c r="A1685" s="20" t="s">
        <v>879</v>
      </c>
    </row>
    <row r="1686">
      <c r="A1686" s="20" t="s">
        <v>879</v>
      </c>
    </row>
    <row r="1687">
      <c r="A1687" s="20" t="s">
        <v>879</v>
      </c>
    </row>
    <row r="1688">
      <c r="A1688" s="20" t="s">
        <v>879</v>
      </c>
    </row>
    <row r="1689">
      <c r="A1689" s="20" t="s">
        <v>879</v>
      </c>
    </row>
    <row r="1690">
      <c r="A1690" s="20" t="s">
        <v>879</v>
      </c>
    </row>
    <row r="1691">
      <c r="A1691" s="20" t="s">
        <v>580</v>
      </c>
    </row>
    <row r="1692">
      <c r="A1692" s="20" t="s">
        <v>312</v>
      </c>
    </row>
    <row r="1693">
      <c r="A1693" s="20" t="s">
        <v>575</v>
      </c>
    </row>
    <row r="1694">
      <c r="A1694" s="20" t="s">
        <v>565</v>
      </c>
    </row>
    <row r="1695">
      <c r="A1695" s="20" t="s">
        <v>529</v>
      </c>
    </row>
    <row r="1696">
      <c r="A1696" s="20" t="s">
        <v>488</v>
      </c>
    </row>
    <row r="1697">
      <c r="A1697" s="20" t="s">
        <v>538</v>
      </c>
    </row>
    <row r="1698">
      <c r="A1698" s="20" t="s">
        <v>306</v>
      </c>
    </row>
    <row r="1699">
      <c r="A1699" s="20" t="s">
        <v>582</v>
      </c>
    </row>
    <row r="1700">
      <c r="A1700" s="20" t="s">
        <v>204</v>
      </c>
    </row>
    <row r="1701">
      <c r="A1701" s="21"/>
    </row>
    <row r="1702">
      <c r="A1702" s="21"/>
    </row>
    <row r="1703">
      <c r="A1703" s="21"/>
    </row>
    <row r="1704">
      <c r="A1704" s="21"/>
    </row>
    <row r="1705">
      <c r="A1705" s="21"/>
    </row>
    <row r="1706">
      <c r="A1706" s="21"/>
    </row>
    <row r="1707">
      <c r="A1707" s="21"/>
    </row>
    <row r="1708">
      <c r="A1708" s="21"/>
    </row>
    <row r="1709">
      <c r="A1709" s="21"/>
    </row>
    <row r="1710">
      <c r="A1710" s="21"/>
    </row>
    <row r="1711">
      <c r="A1711" s="21"/>
    </row>
    <row r="1712">
      <c r="A1712" s="21"/>
    </row>
    <row r="1713">
      <c r="A1713" s="21"/>
    </row>
    <row r="1714">
      <c r="A1714" s="21"/>
    </row>
    <row r="1715">
      <c r="A1715" s="21"/>
    </row>
    <row r="1716">
      <c r="A1716" s="21"/>
    </row>
    <row r="1717">
      <c r="A1717" s="21"/>
    </row>
    <row r="1718">
      <c r="A1718" s="21"/>
    </row>
    <row r="1719">
      <c r="A1719" s="21"/>
    </row>
    <row r="1720">
      <c r="A1720" s="21"/>
    </row>
    <row r="1721">
      <c r="A1721" s="21"/>
    </row>
    <row r="1722">
      <c r="A1722" s="21"/>
    </row>
    <row r="1723">
      <c r="A1723" s="21"/>
    </row>
    <row r="1724">
      <c r="A1724" s="21"/>
    </row>
    <row r="1725">
      <c r="A1725" s="21"/>
    </row>
    <row r="1726">
      <c r="A1726" s="21"/>
    </row>
    <row r="1727">
      <c r="A1727" s="21"/>
    </row>
    <row r="1728">
      <c r="A1728" s="21"/>
    </row>
    <row r="1729">
      <c r="A1729" s="21"/>
    </row>
    <row r="1730">
      <c r="A1730" s="21"/>
    </row>
    <row r="1731">
      <c r="A1731" s="21"/>
    </row>
    <row r="1732">
      <c r="A1732" s="21"/>
    </row>
    <row r="1733">
      <c r="A1733" s="21"/>
    </row>
    <row r="1734">
      <c r="A1734" s="21"/>
    </row>
    <row r="1735">
      <c r="A1735" s="21"/>
    </row>
    <row r="1736">
      <c r="A1736" s="21"/>
    </row>
    <row r="1737">
      <c r="A1737" s="21"/>
    </row>
    <row r="1738">
      <c r="A1738" s="21"/>
    </row>
    <row r="1739">
      <c r="A1739" s="21"/>
    </row>
    <row r="1740">
      <c r="A1740" s="21"/>
    </row>
    <row r="1741">
      <c r="A1741" s="21"/>
    </row>
    <row r="1742">
      <c r="A1742" s="21"/>
    </row>
    <row r="1743">
      <c r="A1743" s="21"/>
    </row>
    <row r="1744">
      <c r="A1744" s="21"/>
    </row>
    <row r="1745">
      <c r="A1745" s="21"/>
    </row>
    <row r="1746">
      <c r="A1746" s="21"/>
    </row>
    <row r="1747">
      <c r="A1747" s="21"/>
    </row>
    <row r="1748">
      <c r="A1748" s="21"/>
    </row>
    <row r="1749">
      <c r="A1749" s="21"/>
    </row>
    <row r="1750">
      <c r="A1750" s="21"/>
    </row>
    <row r="1751">
      <c r="A1751" s="21"/>
    </row>
    <row r="1752">
      <c r="A1752" s="21"/>
    </row>
    <row r="1753">
      <c r="A1753" s="21"/>
    </row>
    <row r="1754">
      <c r="A1754" s="21"/>
    </row>
    <row r="1755">
      <c r="A1755" s="21"/>
    </row>
    <row r="1756">
      <c r="A1756" s="21"/>
    </row>
    <row r="1757">
      <c r="A1757" s="21"/>
    </row>
    <row r="1758">
      <c r="A1758" s="21"/>
    </row>
    <row r="1759">
      <c r="A1759" s="21"/>
    </row>
    <row r="1760">
      <c r="A1760" s="21"/>
    </row>
    <row r="1761">
      <c r="A1761" s="21"/>
    </row>
    <row r="1762">
      <c r="A1762" s="21"/>
    </row>
    <row r="1763">
      <c r="A1763" s="21"/>
    </row>
    <row r="1764">
      <c r="A1764" s="21"/>
    </row>
    <row r="1765">
      <c r="A1765" s="21"/>
    </row>
    <row r="1766">
      <c r="A1766" s="21"/>
    </row>
    <row r="1767">
      <c r="A1767" s="21"/>
    </row>
    <row r="1768">
      <c r="A1768" s="21"/>
    </row>
    <row r="1769">
      <c r="A1769" s="21"/>
    </row>
    <row r="1770">
      <c r="A1770" s="21"/>
    </row>
    <row r="1771">
      <c r="A1771" s="21"/>
    </row>
    <row r="1772">
      <c r="A1772" s="21"/>
    </row>
    <row r="1773">
      <c r="A1773" s="21"/>
    </row>
    <row r="1774">
      <c r="A1774" s="21"/>
    </row>
    <row r="1775">
      <c r="A1775" s="21"/>
    </row>
    <row r="1776">
      <c r="A1776" s="21"/>
    </row>
    <row r="1777">
      <c r="A1777" s="21"/>
    </row>
    <row r="1778">
      <c r="A1778" s="21"/>
    </row>
    <row r="1779">
      <c r="A1779" s="21"/>
    </row>
    <row r="1780">
      <c r="A1780" s="21"/>
    </row>
    <row r="1781">
      <c r="A1781" s="21"/>
    </row>
    <row r="1782">
      <c r="A1782" s="21"/>
    </row>
    <row r="1783">
      <c r="A1783" s="21"/>
    </row>
    <row r="1784">
      <c r="A1784" s="21"/>
    </row>
    <row r="1785">
      <c r="A1785" s="21"/>
    </row>
    <row r="1786">
      <c r="A1786" s="21"/>
    </row>
    <row r="1787">
      <c r="A1787" s="21"/>
    </row>
    <row r="1788">
      <c r="A1788" s="21"/>
    </row>
    <row r="1789">
      <c r="A1789" s="21"/>
    </row>
    <row r="1790">
      <c r="A1790" s="21"/>
    </row>
    <row r="1791">
      <c r="A1791" s="21"/>
    </row>
    <row r="1792">
      <c r="A1792" s="21"/>
    </row>
    <row r="1793">
      <c r="A1793" s="21"/>
    </row>
    <row r="1794">
      <c r="A1794" s="21"/>
    </row>
    <row r="1795">
      <c r="A1795" s="21"/>
    </row>
    <row r="1796">
      <c r="A1796" s="21"/>
    </row>
    <row r="1797">
      <c r="A1797" s="21"/>
    </row>
    <row r="1798">
      <c r="A1798" s="21"/>
    </row>
    <row r="1799">
      <c r="A1799" s="21"/>
    </row>
    <row r="1800">
      <c r="A1800" s="21"/>
    </row>
    <row r="1801">
      <c r="A1801" s="21"/>
    </row>
    <row r="1802">
      <c r="A1802" s="21"/>
    </row>
    <row r="1803">
      <c r="A1803" s="21"/>
    </row>
    <row r="1804">
      <c r="A1804" s="21"/>
    </row>
    <row r="1805">
      <c r="A1805" s="21"/>
    </row>
    <row r="1806">
      <c r="A1806" s="21"/>
    </row>
    <row r="1807">
      <c r="A1807" s="21"/>
    </row>
    <row r="1808">
      <c r="A1808" s="21"/>
    </row>
    <row r="1809">
      <c r="A1809" s="21"/>
    </row>
    <row r="1810">
      <c r="A1810" s="21"/>
    </row>
    <row r="1811">
      <c r="A1811" s="21"/>
    </row>
    <row r="1812">
      <c r="A1812" s="21"/>
    </row>
    <row r="1813">
      <c r="A1813" s="21"/>
    </row>
    <row r="1814">
      <c r="A1814" s="21"/>
    </row>
    <row r="1815">
      <c r="A1815" s="21"/>
    </row>
    <row r="1816">
      <c r="A1816" s="21"/>
    </row>
    <row r="1817">
      <c r="A1817" s="21"/>
    </row>
    <row r="1818">
      <c r="A1818" s="21"/>
    </row>
    <row r="1819">
      <c r="A1819" s="21"/>
    </row>
    <row r="1820">
      <c r="A1820" s="21"/>
    </row>
    <row r="1821">
      <c r="A1821" s="21"/>
    </row>
    <row r="1822">
      <c r="A1822" s="21"/>
    </row>
    <row r="1823">
      <c r="A1823" s="21"/>
    </row>
    <row r="1824">
      <c r="A1824" s="21"/>
    </row>
    <row r="1825">
      <c r="A1825" s="21"/>
    </row>
    <row r="1826">
      <c r="A1826" s="21"/>
    </row>
    <row r="1827">
      <c r="A1827" s="21"/>
    </row>
    <row r="1828">
      <c r="A1828" s="21"/>
    </row>
    <row r="1829">
      <c r="A1829" s="21"/>
    </row>
    <row r="1830">
      <c r="A1830" s="21"/>
    </row>
    <row r="1831">
      <c r="A1831" s="21"/>
    </row>
    <row r="1832">
      <c r="A1832" s="21"/>
    </row>
    <row r="1833">
      <c r="A1833" s="21"/>
    </row>
    <row r="1834">
      <c r="A1834" s="21"/>
    </row>
    <row r="1835">
      <c r="A1835" s="21"/>
    </row>
    <row r="1836">
      <c r="A1836" s="21"/>
    </row>
    <row r="1837">
      <c r="A1837" s="21"/>
    </row>
    <row r="1838">
      <c r="A1838" s="21"/>
    </row>
    <row r="1839">
      <c r="A1839" s="21"/>
    </row>
    <row r="1840">
      <c r="A1840" s="21"/>
    </row>
    <row r="1841">
      <c r="A1841" s="21"/>
    </row>
    <row r="1842">
      <c r="A1842" s="21"/>
    </row>
    <row r="1843">
      <c r="A1843" s="21"/>
    </row>
    <row r="1844">
      <c r="A1844" s="21"/>
    </row>
    <row r="1845">
      <c r="A1845" s="21"/>
    </row>
    <row r="1846">
      <c r="A1846" s="21"/>
    </row>
    <row r="1847">
      <c r="A1847" s="21"/>
    </row>
    <row r="1848">
      <c r="A1848" s="21"/>
    </row>
    <row r="1849">
      <c r="A1849" s="21"/>
    </row>
    <row r="1850">
      <c r="A1850" s="21"/>
    </row>
    <row r="1851">
      <c r="A1851" s="21"/>
    </row>
    <row r="1852">
      <c r="A1852" s="21"/>
    </row>
    <row r="1853">
      <c r="A1853" s="21"/>
    </row>
    <row r="1854">
      <c r="A1854" s="21"/>
    </row>
    <row r="1855">
      <c r="A1855" s="21"/>
    </row>
    <row r="1856">
      <c r="A1856" s="21"/>
    </row>
    <row r="1857">
      <c r="A1857" s="21"/>
    </row>
    <row r="1858">
      <c r="A1858" s="21"/>
    </row>
    <row r="1859">
      <c r="A1859" s="21"/>
    </row>
    <row r="1860">
      <c r="A1860" s="21"/>
    </row>
    <row r="1861">
      <c r="A1861" s="21"/>
    </row>
    <row r="1862">
      <c r="A1862" s="21"/>
    </row>
    <row r="1863">
      <c r="A1863" s="21"/>
    </row>
    <row r="1864">
      <c r="A1864" s="21"/>
    </row>
    <row r="1865">
      <c r="A1865" s="21"/>
    </row>
    <row r="1866">
      <c r="A1866" s="21"/>
    </row>
    <row r="1867">
      <c r="A1867" s="21"/>
    </row>
    <row r="1868">
      <c r="A1868" s="21"/>
    </row>
    <row r="1869">
      <c r="A1869" s="21"/>
    </row>
    <row r="1870">
      <c r="A1870" s="21"/>
    </row>
    <row r="1871">
      <c r="A1871" s="21"/>
    </row>
    <row r="1872">
      <c r="A1872" s="21"/>
    </row>
    <row r="1873">
      <c r="A1873" s="21"/>
    </row>
    <row r="1874">
      <c r="A1874" s="21"/>
    </row>
    <row r="1875">
      <c r="A1875" s="21"/>
    </row>
    <row r="1876">
      <c r="A1876" s="21"/>
    </row>
    <row r="1877">
      <c r="A1877" s="21"/>
    </row>
    <row r="1878">
      <c r="A1878" s="21"/>
    </row>
    <row r="1879">
      <c r="A1879" s="21"/>
    </row>
    <row r="1880">
      <c r="A1880" s="21"/>
    </row>
    <row r="1881">
      <c r="A1881" s="21"/>
    </row>
    <row r="1882">
      <c r="A1882" s="21"/>
    </row>
    <row r="1883">
      <c r="A1883" s="21"/>
    </row>
    <row r="1884">
      <c r="A1884" s="21"/>
    </row>
    <row r="1885">
      <c r="A1885" s="21"/>
    </row>
    <row r="1886">
      <c r="A1886" s="21"/>
    </row>
    <row r="1887">
      <c r="A1887" s="21"/>
    </row>
    <row r="1888">
      <c r="A1888" s="21"/>
    </row>
    <row r="1889">
      <c r="A1889" s="21"/>
    </row>
    <row r="1890">
      <c r="A1890" s="21"/>
    </row>
    <row r="1891">
      <c r="A1891" s="21"/>
    </row>
    <row r="1892">
      <c r="A1892" s="21"/>
    </row>
    <row r="1893">
      <c r="A1893" s="21"/>
    </row>
    <row r="1894">
      <c r="A1894" s="21"/>
    </row>
    <row r="1895">
      <c r="A1895" s="21"/>
    </row>
    <row r="1896">
      <c r="A1896" s="21"/>
    </row>
    <row r="1897">
      <c r="A1897" s="21"/>
    </row>
    <row r="1898">
      <c r="A1898" s="21"/>
    </row>
    <row r="1899">
      <c r="A1899" s="21"/>
    </row>
    <row r="1900">
      <c r="A1900" s="21"/>
    </row>
    <row r="1901">
      <c r="A1901" s="21"/>
    </row>
    <row r="1902">
      <c r="A1902" s="21"/>
    </row>
    <row r="1903">
      <c r="A1903" s="21"/>
    </row>
    <row r="1904">
      <c r="A1904" s="21"/>
    </row>
    <row r="1905">
      <c r="A1905" s="21"/>
    </row>
    <row r="1906">
      <c r="A1906" s="21"/>
    </row>
    <row r="1907">
      <c r="A1907" s="21"/>
    </row>
    <row r="1908">
      <c r="A1908" s="21"/>
    </row>
    <row r="1909">
      <c r="A1909" s="21"/>
    </row>
    <row r="1910">
      <c r="A1910" s="21"/>
    </row>
    <row r="1911">
      <c r="A1911" s="21"/>
    </row>
    <row r="1912">
      <c r="A1912" s="21"/>
    </row>
    <row r="1913">
      <c r="A1913" s="21"/>
    </row>
    <row r="1914">
      <c r="A1914" s="21"/>
    </row>
    <row r="1915">
      <c r="A1915" s="21"/>
    </row>
    <row r="1916">
      <c r="A1916" s="21"/>
    </row>
    <row r="1917">
      <c r="A1917" s="21"/>
    </row>
    <row r="1918">
      <c r="A1918" s="21"/>
    </row>
    <row r="1919">
      <c r="A1919" s="21"/>
    </row>
    <row r="1920">
      <c r="A1920" s="21"/>
    </row>
    <row r="1921">
      <c r="A1921" s="21"/>
    </row>
    <row r="1922">
      <c r="A1922" s="21"/>
    </row>
    <row r="1923">
      <c r="A1923" s="21"/>
    </row>
    <row r="1924">
      <c r="A1924" s="21"/>
    </row>
    <row r="1925">
      <c r="A1925" s="21"/>
    </row>
    <row r="1926">
      <c r="A1926" s="21"/>
    </row>
    <row r="1927">
      <c r="A1927" s="21"/>
    </row>
    <row r="1928">
      <c r="A1928" s="21"/>
    </row>
    <row r="1929">
      <c r="A1929" s="21"/>
    </row>
    <row r="1930">
      <c r="A1930" s="21"/>
    </row>
    <row r="1931">
      <c r="A1931" s="21"/>
    </row>
    <row r="1932">
      <c r="A1932" s="21"/>
    </row>
    <row r="1933">
      <c r="A1933" s="21"/>
    </row>
    <row r="1934">
      <c r="A1934" s="21"/>
    </row>
    <row r="1935">
      <c r="A1935" s="21"/>
    </row>
    <row r="1936">
      <c r="A1936" s="21"/>
    </row>
    <row r="1937">
      <c r="A1937" s="21"/>
    </row>
    <row r="1938">
      <c r="A1938" s="21"/>
    </row>
    <row r="1939">
      <c r="A1939" s="21"/>
    </row>
    <row r="1940">
      <c r="A1940" s="21"/>
    </row>
    <row r="1941">
      <c r="A1941" s="21"/>
    </row>
    <row r="1942">
      <c r="A1942" s="21"/>
    </row>
    <row r="1943">
      <c r="A1943" s="21"/>
    </row>
    <row r="1944">
      <c r="A1944" s="21"/>
    </row>
    <row r="1945">
      <c r="A1945" s="21"/>
    </row>
    <row r="1946">
      <c r="A1946" s="21"/>
    </row>
    <row r="1947">
      <c r="A1947" s="21"/>
    </row>
    <row r="1948">
      <c r="A1948" s="21"/>
    </row>
    <row r="1949">
      <c r="A1949" s="21"/>
    </row>
    <row r="1950">
      <c r="A1950" s="21"/>
    </row>
    <row r="1951">
      <c r="A1951" s="21"/>
    </row>
    <row r="1952">
      <c r="A1952" s="21"/>
    </row>
    <row r="1953">
      <c r="A1953" s="21"/>
    </row>
    <row r="1954">
      <c r="A1954" s="21"/>
    </row>
    <row r="1955">
      <c r="A1955" s="21"/>
    </row>
    <row r="1956">
      <c r="A1956" s="21"/>
    </row>
    <row r="1957">
      <c r="A1957" s="21"/>
    </row>
    <row r="1958">
      <c r="A1958" s="21"/>
    </row>
    <row r="1959">
      <c r="A1959" s="21"/>
    </row>
    <row r="1960">
      <c r="A1960" s="21"/>
    </row>
    <row r="1961">
      <c r="A1961" s="21"/>
    </row>
    <row r="1962">
      <c r="A1962" s="21"/>
    </row>
    <row r="1963">
      <c r="A1963" s="21"/>
    </row>
    <row r="1964">
      <c r="A1964" s="21"/>
    </row>
    <row r="1965">
      <c r="A1965" s="21"/>
    </row>
    <row r="1966">
      <c r="A1966" s="21"/>
    </row>
    <row r="1967">
      <c r="A1967" s="21"/>
    </row>
    <row r="1968">
      <c r="A1968" s="21"/>
    </row>
    <row r="1969">
      <c r="A1969" s="21"/>
    </row>
    <row r="1970">
      <c r="A1970" s="21"/>
    </row>
    <row r="1971">
      <c r="A1971" s="21"/>
    </row>
    <row r="1972">
      <c r="A1972" s="21"/>
    </row>
    <row r="1973">
      <c r="A1973" s="21"/>
    </row>
    <row r="1974">
      <c r="A1974" s="21"/>
    </row>
    <row r="1975">
      <c r="A1975" s="21"/>
    </row>
    <row r="1976">
      <c r="A1976" s="21"/>
    </row>
    <row r="1977">
      <c r="A1977" s="21"/>
    </row>
    <row r="1978">
      <c r="A1978" s="21"/>
    </row>
    <row r="1979">
      <c r="A1979" s="21"/>
    </row>
    <row r="1980">
      <c r="A1980" s="21"/>
    </row>
    <row r="1981">
      <c r="A1981" s="21"/>
    </row>
    <row r="1982">
      <c r="A1982" s="21"/>
    </row>
    <row r="1983">
      <c r="A1983" s="21"/>
    </row>
    <row r="1984">
      <c r="A1984" s="21"/>
    </row>
    <row r="1985">
      <c r="A1985" s="21"/>
    </row>
    <row r="1986">
      <c r="A1986" s="21"/>
    </row>
    <row r="1987">
      <c r="A1987" s="21"/>
    </row>
    <row r="1988">
      <c r="A1988" s="21"/>
    </row>
    <row r="1989">
      <c r="A1989" s="21"/>
    </row>
    <row r="1990">
      <c r="A1990" s="21"/>
    </row>
    <row r="1991">
      <c r="A1991" s="21"/>
    </row>
    <row r="1992">
      <c r="A1992" s="21"/>
    </row>
    <row r="1993">
      <c r="A1993" s="21"/>
    </row>
    <row r="1994">
      <c r="A1994" s="21"/>
    </row>
    <row r="1995">
      <c r="A1995" s="21"/>
    </row>
    <row r="1996">
      <c r="A1996" s="21"/>
    </row>
    <row r="1997">
      <c r="A1997" s="21"/>
    </row>
    <row r="1998">
      <c r="A1998" s="21"/>
    </row>
    <row r="1999">
      <c r="A1999" s="21"/>
    </row>
    <row r="2000">
      <c r="A2000" s="21"/>
    </row>
    <row r="2001">
      <c r="A2001" s="21"/>
    </row>
    <row r="2002">
      <c r="A2002" s="21"/>
    </row>
    <row r="2003">
      <c r="A2003" s="21"/>
    </row>
    <row r="2004">
      <c r="A2004" s="21"/>
    </row>
    <row r="2005">
      <c r="A2005" s="21"/>
    </row>
    <row r="2006">
      <c r="A2006" s="21"/>
    </row>
    <row r="2007">
      <c r="A2007" s="21"/>
    </row>
    <row r="2008">
      <c r="A2008" s="21"/>
    </row>
    <row r="2009">
      <c r="A2009" s="21"/>
    </row>
    <row r="2010">
      <c r="A2010" s="21"/>
    </row>
    <row r="2011">
      <c r="A2011" s="21"/>
    </row>
    <row r="2012">
      <c r="A2012" s="21"/>
    </row>
    <row r="2013">
      <c r="A2013" s="21"/>
    </row>
    <row r="2014">
      <c r="A2014" s="21"/>
    </row>
    <row r="2015">
      <c r="A2015" s="21"/>
    </row>
    <row r="2016">
      <c r="A2016" s="21"/>
    </row>
    <row r="2017">
      <c r="A2017" s="21"/>
    </row>
    <row r="2018">
      <c r="A2018" s="21"/>
    </row>
    <row r="2019">
      <c r="A2019" s="21"/>
    </row>
    <row r="2020">
      <c r="A2020" s="21"/>
    </row>
    <row r="2021">
      <c r="A2021" s="21"/>
    </row>
    <row r="2022">
      <c r="A2022" s="21"/>
    </row>
    <row r="2023">
      <c r="A2023" s="21"/>
    </row>
    <row r="2024">
      <c r="A2024" s="21"/>
    </row>
    <row r="2025">
      <c r="A2025" s="21"/>
    </row>
    <row r="2026">
      <c r="A2026" s="21"/>
    </row>
    <row r="2027">
      <c r="A2027" s="21"/>
    </row>
    <row r="2028">
      <c r="A2028" s="21"/>
    </row>
    <row r="2029">
      <c r="A2029" s="21"/>
    </row>
    <row r="2030">
      <c r="A2030" s="21"/>
    </row>
    <row r="2031">
      <c r="A2031" s="21"/>
    </row>
    <row r="2032">
      <c r="A2032" s="21"/>
    </row>
    <row r="2033">
      <c r="A2033" s="21"/>
    </row>
    <row r="2034">
      <c r="A2034" s="21"/>
    </row>
    <row r="2035">
      <c r="A2035" s="21"/>
    </row>
    <row r="2036">
      <c r="A2036" s="21"/>
    </row>
    <row r="2037">
      <c r="A2037" s="21"/>
    </row>
    <row r="2038">
      <c r="A2038" s="21"/>
    </row>
    <row r="2039">
      <c r="A2039" s="21"/>
    </row>
    <row r="2040">
      <c r="A2040" s="21"/>
    </row>
    <row r="2041">
      <c r="A2041" s="21"/>
    </row>
    <row r="2042">
      <c r="A2042" s="21"/>
    </row>
    <row r="2043">
      <c r="A2043" s="21"/>
    </row>
    <row r="2044">
      <c r="A2044" s="21"/>
    </row>
    <row r="2045">
      <c r="A2045" s="21"/>
    </row>
    <row r="2046">
      <c r="A2046" s="21"/>
    </row>
    <row r="2047">
      <c r="A2047" s="21"/>
    </row>
    <row r="2048">
      <c r="A2048" s="21"/>
    </row>
    <row r="2049">
      <c r="A2049" s="21"/>
    </row>
    <row r="2050">
      <c r="A2050" s="21"/>
    </row>
    <row r="2051">
      <c r="A2051" s="21"/>
    </row>
    <row r="2052">
      <c r="A2052" s="21"/>
    </row>
    <row r="2053">
      <c r="A2053" s="21"/>
    </row>
    <row r="2054">
      <c r="A2054" s="21"/>
    </row>
    <row r="2055">
      <c r="A2055" s="21"/>
    </row>
    <row r="2056">
      <c r="A2056" s="21"/>
    </row>
    <row r="2057">
      <c r="A2057" s="21"/>
    </row>
    <row r="2058">
      <c r="A2058" s="21"/>
    </row>
    <row r="2059">
      <c r="A2059" s="21"/>
    </row>
    <row r="2060">
      <c r="A2060" s="21"/>
    </row>
    <row r="2061">
      <c r="A2061" s="21"/>
    </row>
    <row r="2062">
      <c r="A2062" s="21"/>
    </row>
    <row r="2063">
      <c r="A2063" s="21"/>
    </row>
    <row r="2064">
      <c r="A2064" s="21"/>
    </row>
    <row r="2065">
      <c r="A2065" s="21"/>
    </row>
    <row r="2066">
      <c r="A2066" s="21"/>
    </row>
    <row r="2067">
      <c r="A2067" s="21"/>
    </row>
    <row r="2068">
      <c r="A2068" s="21"/>
    </row>
    <row r="2069">
      <c r="A2069" s="21"/>
    </row>
    <row r="2070">
      <c r="A2070" s="21"/>
    </row>
    <row r="2071">
      <c r="A2071" s="21"/>
    </row>
    <row r="2072">
      <c r="A2072" s="21"/>
    </row>
    <row r="2073">
      <c r="A2073" s="21"/>
    </row>
    <row r="2074">
      <c r="A2074" s="21"/>
    </row>
    <row r="2075">
      <c r="A2075" s="21"/>
    </row>
    <row r="2076">
      <c r="A2076" s="21"/>
    </row>
    <row r="2077">
      <c r="A2077" s="21"/>
    </row>
    <row r="2078">
      <c r="A2078" s="21"/>
    </row>
    <row r="2079">
      <c r="A2079" s="21"/>
    </row>
    <row r="2080">
      <c r="A2080" s="21"/>
    </row>
    <row r="2081">
      <c r="A2081" s="21"/>
    </row>
    <row r="2082">
      <c r="A2082" s="21"/>
    </row>
    <row r="2083">
      <c r="A2083" s="21"/>
    </row>
    <row r="2084">
      <c r="A2084" s="21"/>
    </row>
    <row r="2085">
      <c r="A2085" s="21"/>
    </row>
    <row r="2086">
      <c r="A2086" s="21"/>
    </row>
    <row r="2087">
      <c r="A2087" s="21"/>
    </row>
    <row r="2088">
      <c r="A2088" s="21"/>
    </row>
    <row r="2089">
      <c r="A2089" s="21"/>
    </row>
    <row r="2090">
      <c r="A2090" s="21"/>
    </row>
    <row r="2091">
      <c r="A2091" s="21"/>
    </row>
    <row r="2092">
      <c r="A2092" s="21"/>
    </row>
    <row r="2093">
      <c r="A2093" s="21"/>
    </row>
    <row r="2094">
      <c r="A2094" s="21"/>
    </row>
    <row r="2095">
      <c r="A2095" s="21"/>
    </row>
    <row r="2096">
      <c r="A2096" s="21"/>
    </row>
    <row r="2097">
      <c r="A2097" s="21"/>
    </row>
    <row r="2098">
      <c r="A2098" s="21"/>
    </row>
    <row r="2099">
      <c r="A2099" s="21"/>
    </row>
    <row r="2100">
      <c r="A2100" s="21"/>
    </row>
    <row r="2101">
      <c r="A2101" s="21"/>
    </row>
    <row r="2102">
      <c r="A2102" s="21"/>
    </row>
    <row r="2103">
      <c r="A2103" s="21"/>
    </row>
    <row r="2104">
      <c r="A2104" s="21"/>
    </row>
    <row r="2105">
      <c r="A2105" s="21"/>
    </row>
    <row r="2106">
      <c r="A2106" s="21"/>
    </row>
    <row r="2107">
      <c r="A2107" s="21"/>
    </row>
    <row r="2108">
      <c r="A2108" s="21"/>
    </row>
    <row r="2109">
      <c r="A2109" s="21"/>
    </row>
    <row r="2110">
      <c r="A2110" s="21"/>
    </row>
    <row r="2111">
      <c r="A2111" s="21"/>
    </row>
    <row r="2112">
      <c r="A2112" s="21"/>
    </row>
    <row r="2113">
      <c r="A2113" s="21"/>
    </row>
    <row r="2114">
      <c r="A2114" s="21"/>
    </row>
    <row r="2115">
      <c r="A2115" s="21"/>
    </row>
    <row r="2116">
      <c r="A2116" s="21"/>
    </row>
    <row r="2117">
      <c r="A2117" s="21"/>
    </row>
    <row r="2118">
      <c r="A2118" s="21"/>
    </row>
    <row r="2119">
      <c r="A2119" s="21"/>
    </row>
    <row r="2120">
      <c r="A2120" s="21"/>
    </row>
    <row r="2121">
      <c r="A2121" s="21"/>
    </row>
    <row r="2122">
      <c r="A2122" s="21"/>
    </row>
    <row r="2123">
      <c r="A2123" s="21"/>
    </row>
    <row r="2124">
      <c r="A2124" s="21"/>
    </row>
    <row r="2125">
      <c r="A2125" s="21"/>
    </row>
    <row r="2126">
      <c r="A2126" s="21"/>
    </row>
    <row r="2127">
      <c r="A2127" s="21"/>
    </row>
    <row r="2128">
      <c r="A2128" s="21"/>
    </row>
    <row r="2129">
      <c r="A2129" s="21"/>
    </row>
    <row r="2130">
      <c r="A2130" s="21"/>
    </row>
    <row r="2131">
      <c r="A2131" s="21"/>
    </row>
    <row r="2132">
      <c r="A2132" s="21"/>
    </row>
    <row r="2133">
      <c r="A2133" s="21"/>
    </row>
    <row r="2134">
      <c r="A2134" s="21"/>
    </row>
    <row r="2135">
      <c r="A2135" s="21"/>
    </row>
    <row r="2136">
      <c r="A2136" s="21"/>
    </row>
    <row r="2137">
      <c r="A2137" s="21"/>
    </row>
    <row r="2138">
      <c r="A2138" s="21"/>
    </row>
    <row r="2139">
      <c r="A2139" s="21"/>
    </row>
    <row r="2140">
      <c r="A2140" s="21"/>
    </row>
    <row r="2141">
      <c r="A2141" s="21"/>
    </row>
    <row r="2142">
      <c r="A2142" s="21"/>
    </row>
    <row r="2143">
      <c r="A2143" s="21"/>
    </row>
    <row r="2144">
      <c r="A2144" s="21"/>
    </row>
    <row r="2145">
      <c r="A2145" s="21"/>
    </row>
    <row r="2146">
      <c r="A2146" s="21"/>
    </row>
    <row r="2147">
      <c r="A2147" s="21"/>
    </row>
    <row r="2148">
      <c r="A2148" s="21"/>
    </row>
    <row r="2149">
      <c r="A2149" s="21"/>
    </row>
    <row r="2150">
      <c r="A2150" s="21"/>
    </row>
    <row r="2151">
      <c r="A2151" s="21"/>
    </row>
    <row r="2152">
      <c r="A2152" s="21"/>
    </row>
    <row r="2153">
      <c r="A2153" s="21"/>
    </row>
    <row r="2154">
      <c r="A2154" s="21"/>
    </row>
    <row r="2155">
      <c r="A2155" s="21"/>
    </row>
    <row r="2156">
      <c r="A2156" s="21"/>
    </row>
    <row r="2157">
      <c r="A2157" s="21"/>
    </row>
    <row r="2158">
      <c r="A2158" s="21"/>
    </row>
    <row r="2159">
      <c r="A2159" s="21"/>
    </row>
    <row r="2160">
      <c r="A2160" s="21"/>
    </row>
    <row r="2161">
      <c r="A2161" s="21"/>
    </row>
    <row r="2162">
      <c r="A2162" s="21"/>
    </row>
    <row r="2163">
      <c r="A2163" s="21"/>
    </row>
    <row r="2164">
      <c r="A2164" s="21"/>
    </row>
    <row r="2165">
      <c r="A2165" s="21"/>
    </row>
    <row r="2166">
      <c r="A2166" s="21"/>
    </row>
    <row r="2167">
      <c r="A2167" s="21"/>
    </row>
    <row r="2168">
      <c r="A2168" s="21"/>
    </row>
    <row r="2169">
      <c r="A2169" s="21"/>
    </row>
    <row r="2170">
      <c r="A2170" s="21"/>
    </row>
    <row r="2171">
      <c r="A2171" s="21"/>
    </row>
    <row r="2172">
      <c r="A2172" s="21"/>
    </row>
    <row r="2173">
      <c r="A2173" s="21"/>
    </row>
    <row r="2174">
      <c r="A2174" s="21"/>
    </row>
    <row r="2175">
      <c r="A2175" s="21"/>
    </row>
    <row r="2176">
      <c r="A2176" s="21"/>
    </row>
    <row r="2177">
      <c r="A2177" s="21"/>
    </row>
    <row r="2178">
      <c r="A2178" s="21"/>
    </row>
    <row r="2179">
      <c r="A2179" s="21"/>
    </row>
    <row r="2180">
      <c r="A2180" s="21"/>
    </row>
    <row r="2181">
      <c r="A2181" s="21"/>
    </row>
    <row r="2182">
      <c r="A2182" s="21"/>
    </row>
    <row r="2183">
      <c r="A2183" s="21"/>
    </row>
    <row r="2184">
      <c r="A2184" s="21"/>
    </row>
    <row r="2185">
      <c r="A2185" s="21"/>
    </row>
    <row r="2186">
      <c r="A2186" s="21"/>
    </row>
    <row r="2187">
      <c r="A2187" s="21"/>
    </row>
    <row r="2188">
      <c r="A2188" s="21"/>
    </row>
    <row r="2189">
      <c r="A2189" s="21"/>
    </row>
    <row r="2190">
      <c r="A2190" s="21"/>
    </row>
    <row r="2191">
      <c r="A2191" s="21"/>
    </row>
    <row r="2192">
      <c r="A2192" s="21"/>
    </row>
    <row r="2193">
      <c r="A2193" s="21"/>
    </row>
    <row r="2194">
      <c r="A2194" s="21"/>
    </row>
    <row r="2195">
      <c r="A2195" s="21"/>
    </row>
    <row r="2196">
      <c r="A2196" s="21"/>
    </row>
    <row r="2197">
      <c r="A2197" s="21"/>
    </row>
    <row r="2198">
      <c r="A2198" s="21"/>
    </row>
    <row r="2199">
      <c r="A2199" s="21"/>
    </row>
    <row r="2200">
      <c r="A2200" s="21"/>
    </row>
    <row r="2201">
      <c r="A2201" s="21"/>
    </row>
    <row r="2202">
      <c r="A2202" s="21"/>
    </row>
    <row r="2203">
      <c r="A2203" s="21"/>
    </row>
    <row r="2204">
      <c r="A2204" s="21"/>
    </row>
    <row r="2205">
      <c r="A2205" s="21"/>
    </row>
    <row r="2206">
      <c r="A2206" s="21"/>
    </row>
    <row r="2207">
      <c r="A2207" s="21"/>
    </row>
    <row r="2208">
      <c r="A2208" s="21"/>
    </row>
    <row r="2209">
      <c r="A2209" s="21"/>
    </row>
    <row r="2210">
      <c r="A2210" s="21"/>
    </row>
    <row r="2211">
      <c r="A2211" s="21"/>
    </row>
    <row r="2212">
      <c r="A2212" s="21"/>
    </row>
    <row r="2213">
      <c r="A2213" s="21"/>
    </row>
    <row r="2214">
      <c r="A2214" s="21"/>
    </row>
    <row r="2215">
      <c r="A2215" s="21"/>
    </row>
    <row r="2216">
      <c r="A2216" s="21"/>
    </row>
    <row r="2217">
      <c r="A2217" s="21"/>
    </row>
    <row r="2218">
      <c r="A2218" s="21"/>
    </row>
    <row r="2219">
      <c r="A2219" s="21"/>
    </row>
    <row r="2220">
      <c r="A2220" s="21"/>
    </row>
    <row r="2221">
      <c r="A2221" s="21"/>
    </row>
    <row r="2222">
      <c r="A2222" s="21"/>
    </row>
    <row r="2223">
      <c r="A2223" s="21"/>
    </row>
    <row r="2224">
      <c r="A2224" s="21"/>
    </row>
    <row r="2225">
      <c r="A2225" s="21"/>
    </row>
    <row r="2226">
      <c r="A2226" s="21"/>
    </row>
    <row r="2227">
      <c r="A2227" s="21"/>
    </row>
    <row r="2228">
      <c r="A2228" s="21"/>
    </row>
    <row r="2229">
      <c r="A2229" s="21"/>
    </row>
    <row r="2230">
      <c r="A2230" s="21"/>
    </row>
    <row r="2231">
      <c r="A2231" s="21"/>
    </row>
    <row r="2232">
      <c r="A2232" s="21"/>
    </row>
    <row r="2233">
      <c r="A2233" s="21"/>
    </row>
    <row r="2234">
      <c r="A2234" s="21"/>
    </row>
    <row r="2235">
      <c r="A2235" s="21"/>
    </row>
    <row r="2236">
      <c r="A2236" s="21"/>
    </row>
    <row r="2237">
      <c r="A2237" s="21"/>
    </row>
    <row r="2238">
      <c r="A2238" s="21"/>
    </row>
    <row r="2239">
      <c r="A2239" s="21"/>
    </row>
    <row r="2240">
      <c r="A2240" s="21"/>
    </row>
    <row r="2241">
      <c r="A2241" s="21"/>
    </row>
    <row r="2242">
      <c r="A2242" s="21"/>
    </row>
    <row r="2243">
      <c r="A2243" s="21"/>
    </row>
    <row r="2244">
      <c r="A2244" s="21"/>
    </row>
    <row r="2245">
      <c r="A2245" s="21"/>
    </row>
    <row r="2246">
      <c r="A2246" s="21"/>
    </row>
    <row r="2247">
      <c r="A2247" s="21"/>
    </row>
    <row r="2248">
      <c r="A2248" s="21"/>
    </row>
    <row r="2249">
      <c r="A2249" s="21"/>
    </row>
    <row r="2250">
      <c r="A2250" s="21"/>
    </row>
    <row r="2251">
      <c r="A2251" s="21"/>
    </row>
    <row r="2252">
      <c r="A2252" s="21"/>
    </row>
    <row r="2253">
      <c r="A2253" s="21"/>
    </row>
    <row r="2254">
      <c r="A2254" s="21"/>
    </row>
    <row r="2255">
      <c r="A2255" s="21"/>
    </row>
    <row r="2256">
      <c r="A2256" s="21"/>
    </row>
    <row r="2257">
      <c r="A2257" s="21"/>
    </row>
    <row r="2258">
      <c r="A2258" s="21"/>
    </row>
    <row r="2259">
      <c r="A2259" s="21"/>
    </row>
    <row r="2260">
      <c r="A2260" s="21"/>
    </row>
    <row r="2261">
      <c r="A2261" s="21"/>
    </row>
    <row r="2262">
      <c r="A2262" s="21"/>
    </row>
    <row r="2263">
      <c r="A2263" s="21"/>
    </row>
    <row r="2264">
      <c r="A2264" s="21"/>
    </row>
    <row r="2265">
      <c r="A2265" s="21"/>
    </row>
    <row r="2266">
      <c r="A2266" s="21"/>
    </row>
    <row r="2267">
      <c r="A2267" s="21"/>
    </row>
    <row r="2268">
      <c r="A2268" s="21"/>
    </row>
    <row r="2269">
      <c r="A2269" s="21"/>
    </row>
    <row r="2270">
      <c r="A2270" s="21"/>
    </row>
    <row r="2271">
      <c r="A2271" s="21"/>
    </row>
    <row r="2272">
      <c r="A2272" s="21"/>
    </row>
    <row r="2273">
      <c r="A2273" s="21"/>
    </row>
    <row r="2274">
      <c r="A2274" s="21"/>
    </row>
    <row r="2275">
      <c r="A2275" s="21"/>
    </row>
    <row r="2276">
      <c r="A2276" s="21"/>
    </row>
    <row r="2277">
      <c r="A2277" s="21"/>
    </row>
    <row r="2278">
      <c r="A2278" s="21"/>
    </row>
    <row r="2279">
      <c r="A2279" s="21"/>
    </row>
    <row r="2280">
      <c r="A2280" s="21"/>
    </row>
    <row r="2281">
      <c r="A2281" s="21"/>
    </row>
    <row r="2282">
      <c r="A2282" s="21"/>
    </row>
    <row r="2283">
      <c r="A2283" s="21"/>
    </row>
    <row r="2284">
      <c r="A2284" s="21"/>
    </row>
    <row r="2285">
      <c r="A2285" s="21"/>
    </row>
    <row r="2286">
      <c r="A2286" s="21"/>
    </row>
    <row r="2287">
      <c r="A2287" s="21"/>
    </row>
    <row r="2288">
      <c r="A2288" s="21"/>
    </row>
    <row r="2289">
      <c r="A2289" s="21"/>
    </row>
    <row r="2290">
      <c r="A2290" s="21"/>
    </row>
    <row r="2291">
      <c r="A2291" s="21"/>
    </row>
    <row r="2292">
      <c r="A2292" s="21"/>
    </row>
    <row r="2293">
      <c r="A2293" s="21"/>
    </row>
    <row r="2294">
      <c r="A2294" s="21"/>
    </row>
    <row r="2295">
      <c r="A2295" s="21"/>
    </row>
    <row r="2296">
      <c r="A2296" s="21"/>
    </row>
    <row r="2297">
      <c r="A2297" s="21"/>
    </row>
    <row r="2298">
      <c r="A2298" s="21"/>
    </row>
    <row r="2299">
      <c r="A2299" s="21"/>
    </row>
    <row r="2300">
      <c r="A2300" s="21"/>
    </row>
    <row r="2301">
      <c r="A2301" s="21"/>
    </row>
    <row r="2302">
      <c r="A2302" s="21"/>
    </row>
    <row r="2303">
      <c r="A2303" s="21"/>
    </row>
    <row r="2304">
      <c r="A2304" s="21"/>
    </row>
    <row r="2305">
      <c r="A2305" s="21"/>
    </row>
    <row r="2306">
      <c r="A2306" s="21"/>
    </row>
    <row r="2307">
      <c r="A2307" s="21"/>
    </row>
    <row r="2308">
      <c r="A2308" s="21"/>
    </row>
    <row r="2309">
      <c r="A2309" s="21"/>
    </row>
    <row r="2310">
      <c r="A2310" s="21"/>
    </row>
    <row r="2311">
      <c r="A2311" s="21"/>
    </row>
    <row r="2312">
      <c r="A2312" s="21"/>
    </row>
    <row r="2313">
      <c r="A2313" s="21"/>
    </row>
    <row r="2314">
      <c r="A2314" s="21"/>
    </row>
    <row r="2315">
      <c r="A2315" s="21"/>
    </row>
    <row r="2316">
      <c r="A2316" s="21"/>
    </row>
    <row r="2317">
      <c r="A2317" s="21"/>
    </row>
    <row r="2318">
      <c r="A2318" s="21"/>
    </row>
    <row r="2319">
      <c r="A2319" s="21"/>
    </row>
    <row r="2320">
      <c r="A2320" s="21"/>
    </row>
    <row r="2321">
      <c r="A2321" s="21"/>
    </row>
    <row r="2322">
      <c r="A2322" s="21"/>
    </row>
    <row r="2323">
      <c r="A2323" s="21"/>
    </row>
    <row r="2324">
      <c r="A2324" s="21"/>
    </row>
    <row r="2325">
      <c r="A2325" s="21"/>
    </row>
    <row r="2326">
      <c r="A2326" s="21"/>
    </row>
    <row r="2327">
      <c r="A2327" s="21"/>
    </row>
    <row r="2328">
      <c r="A2328" s="21"/>
    </row>
    <row r="2329">
      <c r="A2329" s="21"/>
    </row>
    <row r="2330">
      <c r="A2330" s="21"/>
    </row>
    <row r="2331">
      <c r="A2331" s="21"/>
    </row>
    <row r="2332">
      <c r="A2332" s="21"/>
    </row>
    <row r="2333">
      <c r="A2333" s="21"/>
    </row>
    <row r="2334">
      <c r="A2334" s="21"/>
    </row>
    <row r="2335">
      <c r="A2335" s="21"/>
    </row>
    <row r="2336">
      <c r="A2336" s="21"/>
    </row>
    <row r="2337">
      <c r="A2337" s="21"/>
    </row>
    <row r="2338">
      <c r="A2338" s="21"/>
    </row>
    <row r="2339">
      <c r="A2339" s="21"/>
    </row>
    <row r="2340">
      <c r="A2340" s="21"/>
    </row>
    <row r="2341">
      <c r="A2341" s="21"/>
    </row>
    <row r="2342">
      <c r="A2342" s="21"/>
    </row>
    <row r="2343">
      <c r="A2343" s="21"/>
    </row>
    <row r="2344">
      <c r="A2344" s="21"/>
    </row>
    <row r="2345">
      <c r="A2345" s="21"/>
    </row>
    <row r="2346">
      <c r="A2346" s="21"/>
    </row>
    <row r="2347">
      <c r="A2347" s="21"/>
    </row>
    <row r="2348">
      <c r="A2348" s="21"/>
    </row>
    <row r="2349">
      <c r="A2349" s="21"/>
    </row>
    <row r="2350">
      <c r="A2350" s="21"/>
    </row>
    <row r="2351">
      <c r="A2351" s="21"/>
    </row>
    <row r="2352">
      <c r="A2352" s="21"/>
    </row>
    <row r="2353">
      <c r="A2353" s="21"/>
    </row>
    <row r="2354">
      <c r="A2354" s="21"/>
    </row>
    <row r="2355">
      <c r="A2355" s="21"/>
    </row>
    <row r="2356">
      <c r="A2356" s="21"/>
    </row>
    <row r="2357">
      <c r="A2357" s="21"/>
    </row>
    <row r="2358">
      <c r="A2358" s="21"/>
    </row>
    <row r="2359">
      <c r="A2359" s="21"/>
    </row>
    <row r="2360">
      <c r="A2360" s="21"/>
    </row>
    <row r="2361">
      <c r="A2361" s="21"/>
    </row>
    <row r="2362">
      <c r="A2362" s="21"/>
    </row>
    <row r="2363">
      <c r="A2363" s="21"/>
    </row>
    <row r="2364">
      <c r="A2364" s="21"/>
    </row>
    <row r="2365">
      <c r="A2365" s="21"/>
    </row>
    <row r="2366">
      <c r="A2366" s="21"/>
    </row>
    <row r="2367">
      <c r="A2367" s="21"/>
    </row>
    <row r="2368">
      <c r="A2368" s="21"/>
    </row>
    <row r="2369">
      <c r="A2369" s="21"/>
    </row>
    <row r="2370">
      <c r="A2370" s="21"/>
    </row>
    <row r="2371">
      <c r="A2371" s="21"/>
    </row>
    <row r="2372">
      <c r="A2372" s="21"/>
    </row>
    <row r="2373">
      <c r="A2373" s="21"/>
    </row>
    <row r="2374">
      <c r="A2374" s="21"/>
    </row>
    <row r="2375">
      <c r="A2375" s="21"/>
    </row>
    <row r="2376">
      <c r="A2376" s="21"/>
    </row>
    <row r="2377">
      <c r="A2377" s="21"/>
    </row>
    <row r="2378">
      <c r="A2378" s="21"/>
    </row>
    <row r="2379">
      <c r="A2379" s="21"/>
    </row>
    <row r="2380">
      <c r="A2380" s="21"/>
    </row>
    <row r="2381">
      <c r="A2381" s="21"/>
    </row>
    <row r="2382">
      <c r="A2382" s="21"/>
    </row>
    <row r="2383">
      <c r="A2383" s="21"/>
    </row>
    <row r="2384">
      <c r="A2384" s="21"/>
    </row>
    <row r="2385">
      <c r="A2385" s="21"/>
    </row>
    <row r="2386">
      <c r="A2386" s="21"/>
    </row>
    <row r="2387">
      <c r="A2387" s="21"/>
    </row>
    <row r="2388">
      <c r="A2388" s="21"/>
    </row>
    <row r="2389">
      <c r="A2389" s="21"/>
    </row>
    <row r="2390">
      <c r="A2390" s="21"/>
    </row>
    <row r="2391">
      <c r="A2391" s="21"/>
    </row>
    <row r="2392">
      <c r="A2392" s="21"/>
    </row>
    <row r="2393">
      <c r="A2393" s="21"/>
    </row>
    <row r="2394">
      <c r="A2394" s="21"/>
    </row>
    <row r="2395">
      <c r="A2395" s="21"/>
    </row>
    <row r="2396">
      <c r="A2396" s="21"/>
    </row>
    <row r="2397">
      <c r="A2397" s="21"/>
    </row>
    <row r="2398">
      <c r="A2398" s="21"/>
    </row>
    <row r="2399">
      <c r="A2399" s="21"/>
    </row>
    <row r="2400">
      <c r="A2400" s="21"/>
    </row>
    <row r="2401">
      <c r="A2401" s="21"/>
    </row>
    <row r="2402">
      <c r="A2402" s="21"/>
    </row>
    <row r="2403">
      <c r="A2403" s="21"/>
    </row>
    <row r="2404">
      <c r="A2404" s="21"/>
    </row>
    <row r="2405">
      <c r="A2405" s="21"/>
    </row>
    <row r="2406">
      <c r="A2406" s="21"/>
    </row>
    <row r="2407">
      <c r="A2407" s="21"/>
    </row>
    <row r="2408">
      <c r="A2408" s="21"/>
    </row>
    <row r="2409">
      <c r="A2409" s="21"/>
    </row>
    <row r="2410">
      <c r="A2410" s="21"/>
    </row>
    <row r="2411">
      <c r="A2411" s="21"/>
    </row>
    <row r="2412">
      <c r="A2412" s="21"/>
    </row>
    <row r="2413">
      <c r="A2413" s="21"/>
    </row>
    <row r="2414">
      <c r="A2414" s="21"/>
    </row>
    <row r="2415">
      <c r="A2415" s="21"/>
    </row>
    <row r="2416">
      <c r="A2416" s="21"/>
    </row>
    <row r="2417">
      <c r="A2417" s="21"/>
    </row>
    <row r="2418">
      <c r="A2418" s="21"/>
    </row>
    <row r="2419">
      <c r="A2419" s="21"/>
    </row>
    <row r="2420">
      <c r="A2420" s="21"/>
    </row>
    <row r="2421">
      <c r="A2421" s="21"/>
    </row>
    <row r="2422">
      <c r="A2422" s="21"/>
    </row>
    <row r="2423">
      <c r="A2423" s="21"/>
    </row>
    <row r="2424">
      <c r="A2424" s="21"/>
    </row>
    <row r="2425">
      <c r="A2425" s="21"/>
    </row>
    <row r="2426">
      <c r="A2426" s="21"/>
    </row>
    <row r="2427">
      <c r="A2427" s="21"/>
    </row>
    <row r="2428">
      <c r="A2428" s="21"/>
    </row>
    <row r="2429">
      <c r="A2429" s="21"/>
    </row>
    <row r="2430">
      <c r="A2430" s="21"/>
    </row>
    <row r="2431">
      <c r="A2431" s="21"/>
    </row>
    <row r="2432">
      <c r="A2432" s="21"/>
    </row>
    <row r="2433">
      <c r="A2433" s="21"/>
    </row>
    <row r="2434">
      <c r="A2434" s="21"/>
    </row>
    <row r="2435">
      <c r="A2435" s="21"/>
    </row>
    <row r="2436">
      <c r="A2436" s="21"/>
    </row>
    <row r="2437">
      <c r="A2437" s="21"/>
    </row>
    <row r="2438">
      <c r="A2438" s="21"/>
    </row>
    <row r="2439">
      <c r="A2439" s="21"/>
    </row>
    <row r="2440">
      <c r="A2440" s="21"/>
    </row>
    <row r="2441">
      <c r="A2441" s="21"/>
    </row>
    <row r="2442">
      <c r="A2442" s="21"/>
    </row>
    <row r="2443">
      <c r="A2443" s="21"/>
    </row>
    <row r="2444">
      <c r="A2444" s="21"/>
    </row>
    <row r="2445">
      <c r="A2445" s="21"/>
    </row>
    <row r="2446">
      <c r="A2446" s="21"/>
    </row>
    <row r="2447">
      <c r="A2447" s="21"/>
    </row>
    <row r="2448">
      <c r="A2448" s="21"/>
    </row>
    <row r="2449">
      <c r="A2449" s="21"/>
    </row>
    <row r="2450">
      <c r="A2450" s="21"/>
    </row>
    <row r="2451">
      <c r="A2451" s="21"/>
    </row>
    <row r="2452">
      <c r="A2452" s="21"/>
    </row>
    <row r="2453">
      <c r="A2453" s="21"/>
    </row>
    <row r="2454">
      <c r="A2454" s="21"/>
    </row>
    <row r="2455">
      <c r="A2455" s="21"/>
    </row>
    <row r="2456">
      <c r="A2456" s="21"/>
    </row>
    <row r="2457">
      <c r="A2457" s="21"/>
    </row>
    <row r="2458">
      <c r="A2458" s="21"/>
    </row>
    <row r="2459">
      <c r="A2459" s="21"/>
    </row>
    <row r="2460">
      <c r="A2460" s="21"/>
    </row>
    <row r="2461">
      <c r="A2461" s="21"/>
    </row>
    <row r="2462">
      <c r="A2462" s="21"/>
    </row>
    <row r="2463">
      <c r="A2463" s="21"/>
    </row>
    <row r="2464">
      <c r="A2464" s="21"/>
    </row>
    <row r="2465">
      <c r="A2465" s="21"/>
    </row>
    <row r="2466">
      <c r="A2466" s="21"/>
    </row>
    <row r="2467">
      <c r="A2467" s="21"/>
    </row>
    <row r="2468">
      <c r="A2468" s="21"/>
    </row>
    <row r="2469">
      <c r="A2469" s="21"/>
    </row>
    <row r="2470">
      <c r="A2470" s="21"/>
    </row>
    <row r="2471">
      <c r="A2471" s="21"/>
    </row>
    <row r="2472">
      <c r="A2472" s="21"/>
    </row>
    <row r="2473">
      <c r="A2473" s="21"/>
    </row>
    <row r="2474">
      <c r="A2474" s="21"/>
    </row>
    <row r="2475">
      <c r="A2475" s="21"/>
    </row>
    <row r="2476">
      <c r="A2476" s="21"/>
    </row>
    <row r="2477">
      <c r="A2477" s="21"/>
    </row>
    <row r="2478">
      <c r="A2478" s="21"/>
    </row>
    <row r="2479">
      <c r="A2479" s="21"/>
    </row>
    <row r="2480">
      <c r="A2480" s="21"/>
    </row>
    <row r="2481">
      <c r="A2481" s="21"/>
    </row>
    <row r="2482">
      <c r="A2482" s="21"/>
    </row>
    <row r="2483">
      <c r="A2483" s="21"/>
    </row>
    <row r="2484">
      <c r="A2484" s="21"/>
    </row>
    <row r="2485">
      <c r="A2485" s="21"/>
    </row>
    <row r="2486">
      <c r="A2486" s="21"/>
    </row>
    <row r="2487">
      <c r="A2487" s="21"/>
    </row>
    <row r="2488">
      <c r="A2488" s="21"/>
    </row>
    <row r="2489">
      <c r="A2489" s="21"/>
    </row>
    <row r="2490">
      <c r="A2490" s="21"/>
    </row>
    <row r="2491">
      <c r="A2491" s="21"/>
    </row>
    <row r="2492">
      <c r="A2492" s="21"/>
    </row>
    <row r="2493">
      <c r="A2493" s="21"/>
    </row>
    <row r="2494">
      <c r="A2494" s="21"/>
    </row>
    <row r="2495">
      <c r="A2495" s="21"/>
    </row>
    <row r="2496">
      <c r="A2496" s="21"/>
    </row>
    <row r="2497">
      <c r="A2497" s="21"/>
    </row>
    <row r="2498">
      <c r="A2498" s="21"/>
    </row>
    <row r="2499">
      <c r="A2499" s="21"/>
    </row>
    <row r="2500">
      <c r="A2500" s="21"/>
    </row>
    <row r="2501">
      <c r="A2501" s="21"/>
    </row>
    <row r="2502">
      <c r="A2502" s="21"/>
    </row>
    <row r="2503">
      <c r="A2503" s="21"/>
    </row>
    <row r="2504">
      <c r="A2504" s="21"/>
    </row>
    <row r="2505">
      <c r="A2505" s="21"/>
    </row>
    <row r="2506">
      <c r="A2506" s="21"/>
    </row>
    <row r="2507">
      <c r="A2507" s="21"/>
    </row>
    <row r="2508">
      <c r="A2508" s="21"/>
    </row>
    <row r="2509">
      <c r="A2509" s="21"/>
    </row>
    <row r="2510">
      <c r="A2510" s="21"/>
    </row>
    <row r="2511">
      <c r="A2511" s="21"/>
    </row>
    <row r="2512">
      <c r="A2512" s="21"/>
    </row>
    <row r="2513">
      <c r="A2513" s="21"/>
    </row>
    <row r="2514">
      <c r="A2514" s="21"/>
    </row>
    <row r="2515">
      <c r="A2515" s="21"/>
    </row>
    <row r="2516">
      <c r="A2516" s="21"/>
    </row>
    <row r="2517">
      <c r="A2517" s="21"/>
    </row>
    <row r="2518">
      <c r="A2518" s="21"/>
    </row>
    <row r="2519">
      <c r="A2519" s="21"/>
    </row>
    <row r="2520">
      <c r="A2520" s="21"/>
    </row>
    <row r="2521">
      <c r="A2521" s="21"/>
    </row>
    <row r="2522">
      <c r="A2522" s="21"/>
    </row>
    <row r="2523">
      <c r="A2523" s="21"/>
    </row>
    <row r="2524">
      <c r="A2524" s="21"/>
    </row>
    <row r="2525">
      <c r="A2525" s="21"/>
    </row>
    <row r="2526">
      <c r="A2526" s="21"/>
    </row>
    <row r="2527">
      <c r="A2527" s="21"/>
    </row>
    <row r="2528">
      <c r="A2528" s="21"/>
    </row>
    <row r="2529">
      <c r="A2529" s="21"/>
    </row>
    <row r="2530">
      <c r="A2530" s="21"/>
    </row>
    <row r="2531">
      <c r="A2531" s="21"/>
    </row>
    <row r="2532">
      <c r="A2532" s="21"/>
    </row>
    <row r="2533">
      <c r="A2533" s="21"/>
    </row>
    <row r="2534">
      <c r="A2534" s="21"/>
    </row>
    <row r="2535">
      <c r="A2535" s="21"/>
    </row>
    <row r="2536">
      <c r="A2536" s="21"/>
    </row>
    <row r="2537">
      <c r="A2537" s="21"/>
    </row>
    <row r="2538">
      <c r="A2538" s="21"/>
    </row>
    <row r="2539">
      <c r="A2539" s="21"/>
    </row>
    <row r="2540">
      <c r="A2540" s="21"/>
    </row>
    <row r="2541">
      <c r="A2541" s="21"/>
    </row>
    <row r="2542">
      <c r="A2542" s="21"/>
    </row>
    <row r="2543">
      <c r="A2543" s="21"/>
    </row>
    <row r="2544">
      <c r="A2544" s="21"/>
    </row>
    <row r="2545">
      <c r="A2545" s="21"/>
    </row>
    <row r="2546">
      <c r="A2546" s="21"/>
    </row>
    <row r="2547">
      <c r="A2547" s="21"/>
    </row>
    <row r="2548">
      <c r="A2548" s="21"/>
    </row>
    <row r="2549">
      <c r="A2549" s="21"/>
    </row>
    <row r="2550">
      <c r="A2550" s="21"/>
    </row>
    <row r="2551">
      <c r="A2551" s="21"/>
    </row>
    <row r="2552">
      <c r="A2552" s="21"/>
    </row>
    <row r="2553">
      <c r="A2553" s="21"/>
    </row>
    <row r="2554">
      <c r="A2554" s="21"/>
    </row>
    <row r="2555">
      <c r="A2555" s="21"/>
    </row>
    <row r="2556">
      <c r="A2556" s="21"/>
    </row>
    <row r="2557">
      <c r="A2557" s="21"/>
    </row>
    <row r="2558">
      <c r="A2558" s="21"/>
    </row>
    <row r="2559">
      <c r="A2559" s="21"/>
    </row>
    <row r="2560">
      <c r="A2560" s="21"/>
    </row>
    <row r="2561">
      <c r="A2561" s="21"/>
    </row>
    <row r="2562">
      <c r="A2562" s="21"/>
    </row>
    <row r="2563">
      <c r="A2563" s="21"/>
    </row>
    <row r="2564">
      <c r="A2564" s="21"/>
    </row>
    <row r="2565">
      <c r="A2565" s="21"/>
    </row>
    <row r="2566">
      <c r="A2566" s="21"/>
    </row>
    <row r="2567">
      <c r="A2567" s="21"/>
    </row>
    <row r="2568">
      <c r="A2568" s="21"/>
    </row>
    <row r="2569">
      <c r="A2569" s="21"/>
    </row>
    <row r="2570">
      <c r="A2570" s="21"/>
    </row>
    <row r="2571">
      <c r="A2571" s="21"/>
    </row>
    <row r="2572">
      <c r="A2572" s="21"/>
    </row>
    <row r="2573">
      <c r="A2573" s="21"/>
    </row>
    <row r="2574">
      <c r="A2574" s="21"/>
    </row>
    <row r="2575">
      <c r="A2575" s="21"/>
    </row>
    <row r="2576">
      <c r="A2576" s="21"/>
    </row>
    <row r="2577">
      <c r="A2577" s="21"/>
    </row>
    <row r="2578">
      <c r="A2578" s="21"/>
    </row>
    <row r="2579">
      <c r="A2579" s="21"/>
    </row>
    <row r="2580">
      <c r="A2580" s="21"/>
    </row>
    <row r="2581">
      <c r="A2581" s="21"/>
    </row>
    <row r="2582">
      <c r="A2582" s="21"/>
    </row>
    <row r="2583">
      <c r="A2583" s="21"/>
    </row>
    <row r="2584">
      <c r="A2584" s="21"/>
    </row>
    <row r="2585">
      <c r="A2585" s="21"/>
    </row>
    <row r="2586">
      <c r="A2586" s="21"/>
    </row>
    <row r="2587">
      <c r="A2587" s="21"/>
    </row>
    <row r="2588">
      <c r="A2588" s="21"/>
    </row>
    <row r="2589">
      <c r="A2589" s="21"/>
    </row>
    <row r="2590">
      <c r="A2590" s="21"/>
    </row>
    <row r="2591">
      <c r="A2591" s="21"/>
    </row>
    <row r="2592">
      <c r="A2592" s="21"/>
    </row>
    <row r="2593">
      <c r="A2593" s="21"/>
    </row>
    <row r="2594">
      <c r="A2594" s="21"/>
    </row>
    <row r="2595">
      <c r="A2595" s="21"/>
    </row>
    <row r="2596">
      <c r="A2596" s="21"/>
    </row>
    <row r="2597">
      <c r="A2597" s="21"/>
    </row>
    <row r="2598">
      <c r="A2598" s="21"/>
    </row>
    <row r="2599">
      <c r="A2599" s="21"/>
    </row>
    <row r="2600">
      <c r="A2600" s="21"/>
    </row>
    <row r="2601">
      <c r="A2601" s="21"/>
    </row>
    <row r="2602">
      <c r="A2602" s="21"/>
    </row>
    <row r="2603">
      <c r="A2603" s="21"/>
    </row>
    <row r="2604">
      <c r="A2604" s="21"/>
    </row>
    <row r="2605">
      <c r="A2605" s="21"/>
    </row>
    <row r="2606">
      <c r="A2606" s="21"/>
    </row>
    <row r="2607">
      <c r="A2607" s="21"/>
    </row>
    <row r="2608">
      <c r="A2608" s="21"/>
    </row>
    <row r="2609">
      <c r="A2609" s="21"/>
    </row>
    <row r="2610">
      <c r="A2610" s="21"/>
    </row>
    <row r="2611">
      <c r="A2611" s="21"/>
    </row>
    <row r="2612">
      <c r="A2612" s="21"/>
    </row>
    <row r="2613">
      <c r="A2613" s="21"/>
    </row>
    <row r="2614">
      <c r="A2614" s="21"/>
    </row>
    <row r="2615">
      <c r="A2615" s="21"/>
    </row>
    <row r="2616">
      <c r="A2616" s="21"/>
    </row>
    <row r="2617">
      <c r="A2617" s="21"/>
    </row>
    <row r="2618">
      <c r="A2618" s="21"/>
    </row>
    <row r="2619">
      <c r="A2619" s="21"/>
    </row>
    <row r="2620">
      <c r="A2620" s="21"/>
    </row>
    <row r="2621">
      <c r="A2621" s="21"/>
    </row>
    <row r="2622">
      <c r="A2622" s="21"/>
    </row>
    <row r="2623">
      <c r="A2623" s="21"/>
    </row>
    <row r="2624">
      <c r="A2624" s="21"/>
    </row>
    <row r="2625">
      <c r="A2625" s="21"/>
    </row>
    <row r="2626">
      <c r="A2626" s="21"/>
    </row>
    <row r="2627">
      <c r="A2627" s="21"/>
    </row>
    <row r="2628">
      <c r="A2628" s="21"/>
    </row>
    <row r="2629">
      <c r="A2629" s="21"/>
    </row>
    <row r="2630">
      <c r="A2630" s="21"/>
    </row>
    <row r="2631">
      <c r="A2631" s="21"/>
    </row>
    <row r="2632">
      <c r="A2632" s="21"/>
    </row>
    <row r="2633">
      <c r="A2633" s="21"/>
    </row>
    <row r="2634">
      <c r="A2634" s="21"/>
    </row>
    <row r="2635">
      <c r="A2635" s="21"/>
    </row>
    <row r="2636">
      <c r="A2636" s="21"/>
    </row>
    <row r="2637">
      <c r="A2637" s="21"/>
    </row>
    <row r="2638">
      <c r="A2638" s="21"/>
    </row>
    <row r="2639">
      <c r="A2639" s="21"/>
    </row>
    <row r="2640">
      <c r="A2640" s="21"/>
    </row>
    <row r="2641">
      <c r="A2641" s="21"/>
    </row>
    <row r="2642">
      <c r="A2642" s="21"/>
    </row>
    <row r="2643">
      <c r="A2643" s="21"/>
    </row>
    <row r="2644">
      <c r="A2644" s="21"/>
    </row>
    <row r="2645">
      <c r="A2645" s="21"/>
    </row>
    <row r="2646">
      <c r="A2646" s="21"/>
    </row>
    <row r="2647">
      <c r="A2647" s="21"/>
    </row>
    <row r="2648">
      <c r="A2648" s="21"/>
    </row>
    <row r="2649">
      <c r="A2649" s="21"/>
    </row>
    <row r="2650">
      <c r="A2650" s="21"/>
    </row>
    <row r="2651">
      <c r="A2651" s="21"/>
    </row>
    <row r="2652">
      <c r="A2652" s="21"/>
    </row>
    <row r="2653">
      <c r="A2653" s="21"/>
    </row>
    <row r="2654">
      <c r="A2654" s="21"/>
    </row>
    <row r="2655">
      <c r="A2655" s="21"/>
    </row>
    <row r="2656">
      <c r="A2656" s="21"/>
    </row>
    <row r="2657">
      <c r="A2657" s="21"/>
    </row>
    <row r="2658">
      <c r="A2658" s="21"/>
    </row>
    <row r="2659">
      <c r="A2659" s="21"/>
    </row>
    <row r="2660">
      <c r="A2660" s="21"/>
    </row>
    <row r="2661">
      <c r="A2661" s="21"/>
    </row>
    <row r="2662">
      <c r="A2662" s="21"/>
    </row>
    <row r="2663">
      <c r="A2663" s="21"/>
    </row>
    <row r="2664">
      <c r="A2664" s="21"/>
    </row>
    <row r="2665">
      <c r="A2665" s="21"/>
    </row>
    <row r="2666">
      <c r="A2666" s="21"/>
    </row>
    <row r="2667">
      <c r="A2667" s="21"/>
    </row>
    <row r="2668">
      <c r="A2668" s="21"/>
    </row>
    <row r="2669">
      <c r="A2669" s="21"/>
    </row>
    <row r="2670">
      <c r="A2670" s="21"/>
    </row>
    <row r="2671">
      <c r="A2671" s="21"/>
    </row>
    <row r="2672">
      <c r="A2672" s="21"/>
    </row>
    <row r="2673">
      <c r="A2673" s="21"/>
    </row>
    <row r="2674">
      <c r="A2674" s="21"/>
    </row>
    <row r="2675">
      <c r="A2675" s="21"/>
    </row>
    <row r="2676">
      <c r="A2676" s="21"/>
    </row>
    <row r="2677">
      <c r="A2677" s="21"/>
    </row>
    <row r="2678">
      <c r="A2678" s="21"/>
    </row>
    <row r="2679">
      <c r="A2679" s="21"/>
    </row>
    <row r="2680">
      <c r="A2680" s="21"/>
    </row>
    <row r="2681">
      <c r="A2681" s="21"/>
    </row>
    <row r="2682">
      <c r="A2682" s="21"/>
    </row>
    <row r="2683">
      <c r="A2683" s="21"/>
    </row>
    <row r="2684">
      <c r="A2684" s="21"/>
    </row>
    <row r="2685">
      <c r="A2685" s="21"/>
    </row>
    <row r="2686">
      <c r="A2686" s="21"/>
    </row>
    <row r="2687">
      <c r="A2687" s="21"/>
    </row>
    <row r="2688">
      <c r="A2688" s="21"/>
    </row>
    <row r="2689">
      <c r="A2689" s="21"/>
    </row>
    <row r="2690">
      <c r="A2690" s="21"/>
    </row>
    <row r="2691">
      <c r="A2691" s="21"/>
    </row>
    <row r="2692">
      <c r="A2692" s="21"/>
    </row>
    <row r="2693">
      <c r="A2693" s="21"/>
    </row>
    <row r="2694">
      <c r="A2694" s="21"/>
    </row>
    <row r="2695">
      <c r="A2695" s="21"/>
    </row>
    <row r="2696">
      <c r="A2696" s="21"/>
    </row>
    <row r="2697">
      <c r="A2697" s="21"/>
    </row>
    <row r="2698">
      <c r="A2698" s="21"/>
    </row>
    <row r="2699">
      <c r="A2699" s="21"/>
    </row>
    <row r="2700">
      <c r="A2700" s="21"/>
    </row>
    <row r="2701">
      <c r="A2701" s="21"/>
    </row>
    <row r="2702">
      <c r="A2702" s="21"/>
    </row>
    <row r="2703">
      <c r="A2703" s="21"/>
    </row>
    <row r="2704">
      <c r="A2704" s="21"/>
    </row>
    <row r="2705">
      <c r="A2705" s="21"/>
    </row>
    <row r="2706">
      <c r="A2706" s="21"/>
    </row>
    <row r="2707">
      <c r="A2707" s="21"/>
    </row>
    <row r="2708">
      <c r="A2708" s="21"/>
    </row>
    <row r="2709">
      <c r="A2709" s="21"/>
    </row>
    <row r="2710">
      <c r="A2710" s="21"/>
    </row>
    <row r="2711">
      <c r="A2711" s="21"/>
    </row>
    <row r="2712">
      <c r="A2712" s="21"/>
    </row>
    <row r="2713">
      <c r="A2713" s="21"/>
    </row>
    <row r="2714">
      <c r="A2714" s="21"/>
    </row>
    <row r="2715">
      <c r="A2715" s="21"/>
    </row>
    <row r="2716">
      <c r="A2716" s="21"/>
    </row>
    <row r="2717">
      <c r="A2717" s="21"/>
    </row>
    <row r="2718">
      <c r="A2718" s="21"/>
    </row>
    <row r="2719">
      <c r="A2719" s="21"/>
    </row>
    <row r="2720">
      <c r="A2720" s="21"/>
    </row>
    <row r="2721">
      <c r="A2721" s="21"/>
    </row>
    <row r="2722">
      <c r="A2722" s="21"/>
    </row>
    <row r="2723">
      <c r="A2723" s="21"/>
    </row>
    <row r="2724">
      <c r="A2724" s="21"/>
    </row>
    <row r="2725">
      <c r="A2725" s="21"/>
    </row>
    <row r="2726">
      <c r="A2726" s="21"/>
    </row>
    <row r="2727">
      <c r="A2727" s="21"/>
    </row>
    <row r="2728">
      <c r="A2728" s="21"/>
    </row>
    <row r="2729">
      <c r="A2729" s="21"/>
    </row>
    <row r="2730">
      <c r="A2730" s="21"/>
    </row>
    <row r="2731">
      <c r="A2731" s="21"/>
    </row>
    <row r="2732">
      <c r="A2732" s="21"/>
    </row>
    <row r="2733">
      <c r="A2733" s="21"/>
    </row>
    <row r="2734">
      <c r="A2734" s="21"/>
    </row>
    <row r="2735">
      <c r="A2735" s="21"/>
    </row>
    <row r="2736">
      <c r="A2736" s="21"/>
    </row>
    <row r="2737">
      <c r="A2737" s="21"/>
    </row>
    <row r="2738">
      <c r="A2738" s="21"/>
    </row>
    <row r="2739">
      <c r="A2739" s="21"/>
    </row>
    <row r="2740">
      <c r="A2740" s="21"/>
    </row>
    <row r="2741">
      <c r="A2741" s="21"/>
    </row>
    <row r="2742">
      <c r="A2742" s="21"/>
    </row>
    <row r="2743">
      <c r="A2743" s="21"/>
    </row>
    <row r="2744">
      <c r="A2744" s="21"/>
    </row>
    <row r="2745">
      <c r="A2745" s="21"/>
    </row>
    <row r="2746">
      <c r="A2746" s="21"/>
    </row>
    <row r="2747">
      <c r="A2747" s="21"/>
    </row>
    <row r="2748">
      <c r="A2748" s="21"/>
    </row>
    <row r="2749">
      <c r="A2749" s="21"/>
    </row>
    <row r="2750">
      <c r="A2750" s="21"/>
    </row>
    <row r="2751">
      <c r="A2751" s="21"/>
    </row>
    <row r="2752">
      <c r="A2752" s="21"/>
    </row>
    <row r="2753">
      <c r="A2753" s="21"/>
    </row>
    <row r="2754">
      <c r="A2754" s="21"/>
    </row>
    <row r="2755">
      <c r="A2755" s="21"/>
    </row>
    <row r="2756">
      <c r="A2756" s="21"/>
    </row>
    <row r="2757">
      <c r="A2757" s="21"/>
    </row>
    <row r="2758">
      <c r="A2758" s="21"/>
    </row>
    <row r="2759">
      <c r="A2759" s="21"/>
    </row>
    <row r="2760">
      <c r="A2760" s="21"/>
    </row>
    <row r="2761">
      <c r="A2761" s="21"/>
    </row>
    <row r="2762">
      <c r="A2762" s="21"/>
    </row>
    <row r="2763">
      <c r="A2763" s="21"/>
    </row>
    <row r="2764">
      <c r="A2764" s="21"/>
    </row>
    <row r="2765">
      <c r="A2765" s="21"/>
    </row>
    <row r="2766">
      <c r="A2766" s="21"/>
    </row>
    <row r="2767">
      <c r="A2767" s="21"/>
    </row>
    <row r="2768">
      <c r="A2768" s="21"/>
    </row>
    <row r="2769">
      <c r="A2769" s="21"/>
    </row>
    <row r="2770">
      <c r="A2770" s="21"/>
    </row>
    <row r="2771">
      <c r="A2771" s="21"/>
    </row>
    <row r="2772">
      <c r="A2772" s="21"/>
    </row>
    <row r="2773">
      <c r="A2773" s="21"/>
    </row>
    <row r="2774">
      <c r="A2774" s="21"/>
    </row>
    <row r="2775">
      <c r="A2775" s="21"/>
    </row>
    <row r="2776">
      <c r="A2776" s="21"/>
    </row>
    <row r="2777">
      <c r="A2777" s="21"/>
    </row>
    <row r="2778">
      <c r="A2778" s="21"/>
    </row>
    <row r="2779">
      <c r="A2779" s="21"/>
    </row>
    <row r="2780">
      <c r="A2780" s="21"/>
    </row>
    <row r="2781">
      <c r="A2781" s="21"/>
    </row>
    <row r="2782">
      <c r="A2782" s="21"/>
    </row>
    <row r="2783">
      <c r="A2783" s="21"/>
    </row>
    <row r="2784">
      <c r="A2784" s="21"/>
    </row>
    <row r="2785">
      <c r="A2785" s="21"/>
    </row>
    <row r="2786">
      <c r="A2786" s="21"/>
    </row>
    <row r="2787">
      <c r="A2787" s="21"/>
    </row>
    <row r="2788">
      <c r="A2788" s="21"/>
    </row>
    <row r="2789">
      <c r="A2789" s="21"/>
    </row>
    <row r="2790">
      <c r="A2790" s="21"/>
    </row>
    <row r="2791">
      <c r="A2791" s="21"/>
    </row>
    <row r="2792">
      <c r="A2792" s="21"/>
    </row>
    <row r="2793">
      <c r="A2793" s="21"/>
    </row>
    <row r="2794">
      <c r="A2794" s="21"/>
    </row>
    <row r="2795">
      <c r="A2795" s="21"/>
    </row>
    <row r="2796">
      <c r="A2796" s="21"/>
    </row>
    <row r="2797">
      <c r="A2797" s="21"/>
    </row>
    <row r="2798">
      <c r="A2798" s="21"/>
    </row>
    <row r="2799">
      <c r="A2799" s="21"/>
    </row>
    <row r="2800">
      <c r="A2800" s="21"/>
    </row>
    <row r="2801">
      <c r="A2801" s="21"/>
    </row>
    <row r="2802">
      <c r="A2802" s="21"/>
    </row>
    <row r="2803">
      <c r="A2803" s="21"/>
    </row>
    <row r="2804">
      <c r="A2804" s="21"/>
    </row>
    <row r="2805">
      <c r="A2805" s="21"/>
    </row>
    <row r="2806">
      <c r="A2806" s="21"/>
    </row>
    <row r="2807">
      <c r="A2807" s="21"/>
    </row>
    <row r="2808">
      <c r="A2808" s="21"/>
    </row>
    <row r="2809">
      <c r="A2809" s="21"/>
    </row>
    <row r="2810">
      <c r="A2810" s="21"/>
    </row>
    <row r="2811">
      <c r="A2811" s="21"/>
    </row>
    <row r="2812">
      <c r="A2812" s="21"/>
    </row>
    <row r="2813">
      <c r="A2813" s="21"/>
    </row>
    <row r="2814">
      <c r="A2814" s="21"/>
    </row>
    <row r="2815">
      <c r="A2815" s="21"/>
    </row>
    <row r="2816">
      <c r="A2816" s="21"/>
    </row>
    <row r="2817">
      <c r="A2817" s="21"/>
    </row>
    <row r="2818">
      <c r="A2818" s="21"/>
    </row>
    <row r="2819">
      <c r="A2819" s="21"/>
    </row>
    <row r="2820">
      <c r="A2820" s="21"/>
    </row>
    <row r="2821">
      <c r="A2821" s="21"/>
    </row>
    <row r="2822">
      <c r="A2822" s="21"/>
    </row>
    <row r="2823">
      <c r="A2823" s="21"/>
    </row>
    <row r="2824">
      <c r="A2824" s="21"/>
    </row>
    <row r="2825">
      <c r="A2825" s="21"/>
    </row>
    <row r="2826">
      <c r="A2826" s="21"/>
    </row>
    <row r="2827">
      <c r="A2827" s="21"/>
    </row>
    <row r="2828">
      <c r="A2828" s="21"/>
    </row>
    <row r="2829">
      <c r="A2829" s="21"/>
    </row>
    <row r="2830">
      <c r="A2830" s="21"/>
    </row>
    <row r="2831">
      <c r="A2831" s="21"/>
    </row>
    <row r="2832">
      <c r="A2832" s="21"/>
    </row>
    <row r="2833">
      <c r="A2833" s="21"/>
    </row>
    <row r="2834">
      <c r="A2834" s="21"/>
    </row>
    <row r="2835">
      <c r="A2835" s="21"/>
    </row>
    <row r="2836">
      <c r="A2836" s="21"/>
    </row>
    <row r="2837">
      <c r="A2837" s="21"/>
    </row>
    <row r="2838">
      <c r="A2838" s="21"/>
    </row>
    <row r="2839">
      <c r="A2839" s="21"/>
    </row>
    <row r="2840">
      <c r="A2840" s="21"/>
    </row>
    <row r="2841">
      <c r="A2841" s="21"/>
    </row>
    <row r="2842">
      <c r="A2842" s="21"/>
    </row>
    <row r="2843">
      <c r="A2843" s="21"/>
    </row>
    <row r="2844">
      <c r="A2844" s="21"/>
    </row>
    <row r="2845">
      <c r="A2845" s="21"/>
    </row>
    <row r="2846">
      <c r="A2846" s="21"/>
    </row>
    <row r="2847">
      <c r="A2847" s="21"/>
    </row>
    <row r="2848">
      <c r="A2848" s="21"/>
    </row>
    <row r="2849">
      <c r="A2849" s="21"/>
    </row>
    <row r="2850">
      <c r="A2850" s="21"/>
    </row>
    <row r="2851">
      <c r="A2851" s="21"/>
    </row>
    <row r="2852">
      <c r="A2852" s="21"/>
    </row>
    <row r="2853">
      <c r="A2853" s="21"/>
    </row>
    <row r="2854">
      <c r="A2854" s="21"/>
    </row>
    <row r="2855">
      <c r="A2855" s="21"/>
    </row>
    <row r="2856">
      <c r="A2856" s="21"/>
    </row>
    <row r="2857">
      <c r="A2857" s="21"/>
    </row>
    <row r="2858">
      <c r="A2858" s="21"/>
    </row>
    <row r="2859">
      <c r="A2859" s="21"/>
    </row>
    <row r="2860">
      <c r="A2860" s="21"/>
    </row>
    <row r="2861">
      <c r="A2861" s="21"/>
    </row>
    <row r="2862">
      <c r="A2862" s="21"/>
    </row>
    <row r="2863">
      <c r="A2863" s="21"/>
    </row>
    <row r="2864">
      <c r="A2864" s="21"/>
    </row>
    <row r="2865">
      <c r="A2865" s="21"/>
    </row>
    <row r="2866">
      <c r="A2866" s="21"/>
    </row>
    <row r="2867">
      <c r="A2867" s="21"/>
    </row>
    <row r="2868">
      <c r="A2868" s="21"/>
    </row>
    <row r="2869">
      <c r="A2869" s="21"/>
    </row>
    <row r="2870">
      <c r="A2870" s="21"/>
    </row>
    <row r="2871">
      <c r="A2871" s="21"/>
    </row>
    <row r="2872">
      <c r="A2872" s="21"/>
    </row>
    <row r="2873">
      <c r="A2873" s="21"/>
    </row>
    <row r="2874">
      <c r="A2874" s="21"/>
    </row>
    <row r="2875">
      <c r="A2875" s="21"/>
    </row>
    <row r="2876">
      <c r="A2876" s="21"/>
    </row>
    <row r="2877">
      <c r="A2877" s="21"/>
    </row>
    <row r="2878">
      <c r="A2878" s="21"/>
    </row>
    <row r="2879">
      <c r="A2879" s="21"/>
    </row>
    <row r="2880">
      <c r="A2880" s="21"/>
    </row>
    <row r="2881">
      <c r="A2881" s="21"/>
    </row>
    <row r="2882">
      <c r="A2882" s="21"/>
    </row>
    <row r="2883">
      <c r="A2883" s="21"/>
    </row>
    <row r="2884">
      <c r="A2884" s="21"/>
    </row>
    <row r="2885">
      <c r="A2885" s="21"/>
    </row>
    <row r="2886">
      <c r="A2886" s="21"/>
    </row>
    <row r="2887">
      <c r="A2887" s="21"/>
    </row>
    <row r="2888">
      <c r="A2888" s="21"/>
    </row>
    <row r="2889">
      <c r="A2889" s="21"/>
    </row>
    <row r="2890">
      <c r="A2890" s="21"/>
    </row>
    <row r="2891">
      <c r="A2891" s="21"/>
    </row>
    <row r="2892">
      <c r="A2892" s="21"/>
    </row>
    <row r="2893">
      <c r="A2893" s="21"/>
    </row>
    <row r="2894">
      <c r="A2894" s="21"/>
    </row>
    <row r="2895">
      <c r="A2895" s="21"/>
    </row>
    <row r="2896">
      <c r="A2896" s="21"/>
    </row>
    <row r="2897">
      <c r="A2897" s="21"/>
    </row>
    <row r="2898">
      <c r="A2898" s="21"/>
    </row>
    <row r="2899">
      <c r="A2899" s="21"/>
    </row>
    <row r="2900">
      <c r="A2900" s="21"/>
    </row>
    <row r="2901">
      <c r="A2901" s="21"/>
    </row>
    <row r="2902">
      <c r="A2902" s="21"/>
    </row>
    <row r="2903">
      <c r="A2903" s="21"/>
    </row>
    <row r="2904">
      <c r="A2904" s="21"/>
    </row>
    <row r="2905">
      <c r="A2905" s="21"/>
    </row>
    <row r="2906">
      <c r="A2906" s="21"/>
    </row>
    <row r="2907">
      <c r="A2907" s="21"/>
    </row>
    <row r="2908">
      <c r="A2908" s="21"/>
    </row>
    <row r="2909">
      <c r="A2909" s="21"/>
    </row>
    <row r="2910">
      <c r="A2910" s="21"/>
    </row>
    <row r="2911">
      <c r="A2911" s="21"/>
    </row>
    <row r="2912">
      <c r="A2912" s="21"/>
    </row>
    <row r="2913">
      <c r="A2913" s="21"/>
    </row>
    <row r="2914">
      <c r="A2914" s="21"/>
    </row>
    <row r="2915">
      <c r="A2915" s="21"/>
    </row>
    <row r="2916">
      <c r="A2916" s="21"/>
    </row>
    <row r="2917">
      <c r="A2917" s="21"/>
    </row>
    <row r="2918">
      <c r="A2918" s="21"/>
    </row>
    <row r="2919">
      <c r="A2919" s="21"/>
    </row>
    <row r="2920">
      <c r="A2920" s="21"/>
    </row>
    <row r="2921">
      <c r="A2921" s="21"/>
    </row>
    <row r="2922">
      <c r="A2922" s="21"/>
    </row>
    <row r="2923">
      <c r="A2923" s="21"/>
    </row>
    <row r="2924">
      <c r="A2924" s="21"/>
    </row>
    <row r="2925">
      <c r="A2925" s="21"/>
    </row>
    <row r="2926">
      <c r="A2926" s="21"/>
    </row>
    <row r="2927">
      <c r="A2927" s="21"/>
    </row>
    <row r="2928">
      <c r="A2928" s="21"/>
    </row>
    <row r="2929">
      <c r="A2929" s="21"/>
    </row>
    <row r="2930">
      <c r="A2930" s="21"/>
    </row>
    <row r="2931">
      <c r="A2931" s="21"/>
    </row>
    <row r="2932">
      <c r="A2932" s="21"/>
    </row>
    <row r="2933">
      <c r="A2933" s="21"/>
    </row>
    <row r="2934">
      <c r="A2934" s="21"/>
    </row>
    <row r="2935">
      <c r="A2935" s="21"/>
    </row>
    <row r="2936">
      <c r="A2936" s="21"/>
    </row>
    <row r="2937">
      <c r="A2937" s="21"/>
    </row>
    <row r="2938">
      <c r="A2938" s="21"/>
    </row>
    <row r="2939">
      <c r="A2939" s="21"/>
    </row>
    <row r="2940">
      <c r="A2940" s="21"/>
    </row>
    <row r="2941">
      <c r="A2941" s="21"/>
    </row>
    <row r="2942">
      <c r="A2942" s="21"/>
    </row>
    <row r="2943">
      <c r="A2943" s="21"/>
    </row>
    <row r="2944">
      <c r="A2944" s="21"/>
    </row>
    <row r="2945">
      <c r="A2945" s="21"/>
    </row>
    <row r="2946">
      <c r="A2946" s="21"/>
    </row>
    <row r="2947">
      <c r="A2947" s="21"/>
    </row>
    <row r="2948">
      <c r="A2948" s="21"/>
    </row>
    <row r="2949">
      <c r="A2949" s="21"/>
    </row>
    <row r="2950">
      <c r="A2950" s="21"/>
    </row>
    <row r="2951">
      <c r="A2951" s="21"/>
    </row>
    <row r="2952">
      <c r="A2952" s="21"/>
    </row>
    <row r="2953">
      <c r="A2953" s="21"/>
    </row>
    <row r="2954">
      <c r="A2954" s="21"/>
    </row>
    <row r="2955">
      <c r="A2955" s="21"/>
    </row>
    <row r="2956">
      <c r="A2956" s="21"/>
    </row>
    <row r="2957">
      <c r="A2957" s="21"/>
    </row>
    <row r="2958">
      <c r="A2958" s="21"/>
    </row>
    <row r="2959">
      <c r="A2959" s="21"/>
    </row>
    <row r="2960">
      <c r="A2960" s="21"/>
    </row>
    <row r="2961">
      <c r="A2961" s="21"/>
    </row>
    <row r="2962">
      <c r="A2962" s="21"/>
    </row>
    <row r="2963">
      <c r="A2963" s="21"/>
    </row>
    <row r="2964">
      <c r="A2964" s="21"/>
    </row>
    <row r="2965">
      <c r="A2965" s="21"/>
    </row>
    <row r="2966">
      <c r="A2966" s="21"/>
    </row>
    <row r="2967">
      <c r="A2967" s="21"/>
    </row>
    <row r="2968">
      <c r="A2968" s="21"/>
    </row>
    <row r="2969">
      <c r="A2969" s="21"/>
    </row>
    <row r="2970">
      <c r="A2970" s="21"/>
    </row>
    <row r="2971">
      <c r="A2971" s="21"/>
    </row>
    <row r="2972">
      <c r="A2972" s="21"/>
    </row>
    <row r="2973">
      <c r="A2973" s="21"/>
    </row>
    <row r="2974">
      <c r="A2974" s="21"/>
    </row>
    <row r="2975">
      <c r="A2975" s="21"/>
    </row>
    <row r="2976">
      <c r="A2976" s="21"/>
    </row>
    <row r="2977">
      <c r="A2977" s="21"/>
    </row>
    <row r="2978">
      <c r="A2978" s="21"/>
    </row>
    <row r="2979">
      <c r="A2979" s="21"/>
    </row>
    <row r="2980">
      <c r="A2980" s="21"/>
    </row>
    <row r="2981">
      <c r="A2981" s="21"/>
    </row>
    <row r="2982">
      <c r="A2982" s="21"/>
    </row>
    <row r="2983">
      <c r="A2983" s="21"/>
    </row>
    <row r="2984">
      <c r="A2984" s="21"/>
    </row>
    <row r="2985">
      <c r="A2985" s="21"/>
    </row>
    <row r="2986">
      <c r="A2986" s="21"/>
    </row>
    <row r="2987">
      <c r="A2987" s="21"/>
    </row>
    <row r="2988">
      <c r="A2988" s="21"/>
    </row>
    <row r="2989">
      <c r="A2989" s="21"/>
    </row>
    <row r="2990">
      <c r="A2990" s="21"/>
    </row>
    <row r="2991">
      <c r="A2991" s="21"/>
    </row>
    <row r="2992">
      <c r="A2992" s="21"/>
    </row>
    <row r="2993">
      <c r="A2993" s="21"/>
    </row>
    <row r="2994">
      <c r="A2994" s="21"/>
    </row>
    <row r="2995">
      <c r="A2995" s="21"/>
    </row>
    <row r="2996">
      <c r="A2996" s="21"/>
    </row>
    <row r="2997">
      <c r="A2997" s="21"/>
    </row>
    <row r="2998">
      <c r="A2998" s="21"/>
    </row>
    <row r="2999">
      <c r="A2999" s="21"/>
    </row>
    <row r="3000">
      <c r="A3000" s="21"/>
    </row>
    <row r="3001">
      <c r="A3001" s="21"/>
    </row>
    <row r="3002">
      <c r="A3002" s="21"/>
    </row>
    <row r="3003">
      <c r="A3003" s="21"/>
    </row>
    <row r="3004">
      <c r="A3004" s="21"/>
    </row>
    <row r="3005">
      <c r="A3005" s="21"/>
    </row>
    <row r="3006">
      <c r="A3006" s="21"/>
    </row>
    <row r="3007">
      <c r="A3007" s="21"/>
    </row>
    <row r="3008">
      <c r="A3008" s="21"/>
    </row>
    <row r="3009">
      <c r="A3009" s="21"/>
    </row>
    <row r="3010">
      <c r="A3010" s="21"/>
    </row>
    <row r="3011">
      <c r="A3011" s="21"/>
    </row>
    <row r="3012">
      <c r="A3012" s="21"/>
    </row>
    <row r="3013">
      <c r="A3013" s="21"/>
    </row>
    <row r="3014">
      <c r="A3014" s="21"/>
    </row>
    <row r="3015">
      <c r="A3015" s="21"/>
    </row>
    <row r="3016">
      <c r="A3016" s="21"/>
    </row>
    <row r="3017">
      <c r="A3017" s="21"/>
    </row>
    <row r="3018">
      <c r="A3018" s="21"/>
    </row>
    <row r="3019">
      <c r="A3019" s="21"/>
    </row>
    <row r="3020">
      <c r="A3020" s="21"/>
    </row>
    <row r="3021">
      <c r="A3021" s="21"/>
    </row>
    <row r="3022">
      <c r="A3022" s="21"/>
    </row>
    <row r="3023">
      <c r="A3023" s="21"/>
    </row>
    <row r="3024">
      <c r="A3024" s="21"/>
    </row>
    <row r="3025">
      <c r="A3025" s="21"/>
    </row>
    <row r="3026">
      <c r="A3026" s="21"/>
    </row>
    <row r="3027">
      <c r="A3027" s="21"/>
    </row>
    <row r="3028">
      <c r="A3028" s="21"/>
    </row>
    <row r="3029">
      <c r="A3029" s="21"/>
    </row>
    <row r="3030">
      <c r="A3030" s="21"/>
    </row>
    <row r="3031">
      <c r="A3031" s="21"/>
    </row>
    <row r="3032">
      <c r="A3032" s="21"/>
    </row>
    <row r="3033">
      <c r="A3033" s="21"/>
    </row>
    <row r="3034">
      <c r="A3034" s="21"/>
    </row>
    <row r="3035">
      <c r="A3035" s="21"/>
    </row>
    <row r="3036">
      <c r="A3036" s="21"/>
    </row>
    <row r="3037">
      <c r="A3037" s="21"/>
    </row>
    <row r="3038">
      <c r="A3038" s="21"/>
    </row>
    <row r="3039">
      <c r="A3039" s="21"/>
    </row>
    <row r="3040">
      <c r="A3040" s="21"/>
    </row>
    <row r="3041">
      <c r="A3041" s="21"/>
    </row>
    <row r="3042">
      <c r="A3042" s="21"/>
    </row>
    <row r="3043">
      <c r="A3043" s="21"/>
    </row>
    <row r="3044">
      <c r="A3044" s="21"/>
    </row>
    <row r="3045">
      <c r="A3045" s="21"/>
    </row>
    <row r="3046">
      <c r="A3046" s="21"/>
    </row>
    <row r="3047">
      <c r="A3047" s="21"/>
    </row>
    <row r="3048">
      <c r="A3048" s="21"/>
    </row>
    <row r="3049">
      <c r="A3049" s="21"/>
    </row>
    <row r="3050">
      <c r="A3050" s="21"/>
    </row>
    <row r="3051">
      <c r="A3051" s="21"/>
    </row>
    <row r="3052">
      <c r="A3052" s="21"/>
    </row>
    <row r="3053">
      <c r="A3053" s="21"/>
    </row>
    <row r="3054">
      <c r="A3054" s="21"/>
    </row>
    <row r="3055">
      <c r="A3055" s="21"/>
    </row>
    <row r="3056">
      <c r="A3056" s="21"/>
    </row>
    <row r="3057">
      <c r="A3057" s="21"/>
    </row>
    <row r="3058">
      <c r="A3058" s="21"/>
    </row>
    <row r="3059">
      <c r="A3059" s="21"/>
    </row>
    <row r="3060">
      <c r="A3060" s="21"/>
    </row>
    <row r="3061">
      <c r="A3061" s="21"/>
    </row>
    <row r="3062">
      <c r="A3062" s="21"/>
    </row>
    <row r="3063">
      <c r="A3063" s="21"/>
    </row>
    <row r="3064">
      <c r="A3064" s="21"/>
    </row>
    <row r="3065">
      <c r="A3065" s="21"/>
    </row>
    <row r="3066">
      <c r="A3066" s="21"/>
    </row>
    <row r="3067">
      <c r="A3067" s="21"/>
    </row>
    <row r="3068">
      <c r="A3068" s="21"/>
    </row>
    <row r="3069">
      <c r="A3069" s="21"/>
    </row>
    <row r="3070">
      <c r="A3070" s="21"/>
    </row>
    <row r="3071">
      <c r="A3071" s="21"/>
    </row>
    <row r="3072">
      <c r="A3072" s="21"/>
    </row>
    <row r="3073">
      <c r="A3073" s="21"/>
    </row>
    <row r="3074">
      <c r="A3074" s="21"/>
    </row>
    <row r="3075">
      <c r="A3075" s="21"/>
    </row>
    <row r="3076">
      <c r="A3076" s="21"/>
    </row>
    <row r="3077">
      <c r="A3077" s="21"/>
    </row>
    <row r="3078">
      <c r="A3078" s="21"/>
    </row>
    <row r="3079">
      <c r="A3079" s="21"/>
    </row>
    <row r="3080">
      <c r="A3080" s="21"/>
    </row>
    <row r="3081">
      <c r="A3081" s="21"/>
    </row>
    <row r="3082">
      <c r="A3082" s="21"/>
    </row>
    <row r="3083">
      <c r="A3083" s="21"/>
    </row>
    <row r="3084">
      <c r="A3084" s="21"/>
    </row>
    <row r="3085">
      <c r="A3085" s="21"/>
    </row>
    <row r="3086">
      <c r="A3086" s="21"/>
    </row>
    <row r="3087">
      <c r="A3087" s="21"/>
    </row>
    <row r="3088">
      <c r="A3088" s="21"/>
    </row>
    <row r="3089">
      <c r="A3089" s="21"/>
    </row>
    <row r="3090">
      <c r="A3090" s="21"/>
    </row>
    <row r="3091">
      <c r="A3091" s="21"/>
    </row>
    <row r="3092">
      <c r="A3092" s="21"/>
    </row>
    <row r="3093">
      <c r="A3093" s="21"/>
    </row>
    <row r="3094">
      <c r="A3094" s="21"/>
    </row>
    <row r="3095">
      <c r="A3095" s="21"/>
    </row>
    <row r="3096">
      <c r="A3096" s="21"/>
    </row>
    <row r="3097">
      <c r="A3097" s="21"/>
    </row>
    <row r="3098">
      <c r="A3098" s="21"/>
    </row>
    <row r="3099">
      <c r="A3099" s="21"/>
    </row>
    <row r="3100">
      <c r="A3100" s="21"/>
    </row>
    <row r="3101">
      <c r="A3101" s="21"/>
    </row>
    <row r="3102">
      <c r="A3102" s="21"/>
    </row>
    <row r="3103">
      <c r="A3103" s="21"/>
    </row>
    <row r="3104">
      <c r="A3104" s="21"/>
    </row>
    <row r="3105">
      <c r="A3105" s="21"/>
    </row>
    <row r="3106">
      <c r="A3106" s="21"/>
    </row>
    <row r="3107">
      <c r="A3107" s="21"/>
    </row>
    <row r="3108">
      <c r="A3108" s="21"/>
    </row>
    <row r="3109">
      <c r="A3109" s="21"/>
    </row>
    <row r="3110">
      <c r="A3110" s="21"/>
    </row>
    <row r="3111">
      <c r="A3111" s="21"/>
    </row>
    <row r="3112">
      <c r="A3112" s="21"/>
    </row>
    <row r="3113">
      <c r="A3113" s="21"/>
    </row>
    <row r="3114">
      <c r="A3114" s="21"/>
    </row>
    <row r="3115">
      <c r="A3115" s="21"/>
    </row>
    <row r="3116">
      <c r="A3116" s="21"/>
    </row>
    <row r="3117">
      <c r="A3117" s="21"/>
    </row>
    <row r="3118">
      <c r="A3118" s="21"/>
    </row>
    <row r="3119">
      <c r="A3119" s="21"/>
    </row>
    <row r="3120">
      <c r="A3120" s="21"/>
    </row>
    <row r="3121">
      <c r="A3121" s="21"/>
    </row>
    <row r="3122">
      <c r="A3122" s="21"/>
    </row>
    <row r="3123">
      <c r="A3123" s="21"/>
    </row>
    <row r="3124">
      <c r="A3124" s="21"/>
    </row>
    <row r="3125">
      <c r="A3125" s="21"/>
    </row>
    <row r="3126">
      <c r="A3126" s="21"/>
    </row>
    <row r="3127">
      <c r="A3127" s="21"/>
    </row>
    <row r="3128">
      <c r="A3128" s="21"/>
    </row>
    <row r="3129">
      <c r="A3129" s="21"/>
    </row>
    <row r="3130">
      <c r="A3130" s="21"/>
    </row>
    <row r="3131">
      <c r="A3131" s="21"/>
    </row>
    <row r="3132">
      <c r="A3132" s="21"/>
    </row>
    <row r="3133">
      <c r="A3133" s="21"/>
    </row>
    <row r="3134">
      <c r="A3134" s="21"/>
    </row>
    <row r="3135">
      <c r="A3135" s="21"/>
    </row>
    <row r="3136">
      <c r="A3136" s="21"/>
    </row>
    <row r="3137">
      <c r="A3137" s="21"/>
    </row>
    <row r="3138">
      <c r="A3138" s="21"/>
    </row>
    <row r="3139">
      <c r="A3139" s="21"/>
    </row>
    <row r="3140">
      <c r="A3140" s="21"/>
    </row>
    <row r="3141">
      <c r="A3141" s="21"/>
    </row>
    <row r="3142">
      <c r="A3142" s="21"/>
    </row>
    <row r="3143">
      <c r="A3143" s="21"/>
    </row>
    <row r="3144">
      <c r="A3144" s="21"/>
    </row>
    <row r="3145">
      <c r="A3145" s="21"/>
    </row>
    <row r="3146">
      <c r="A3146" s="21"/>
    </row>
    <row r="3147">
      <c r="A3147" s="21"/>
    </row>
    <row r="3148">
      <c r="A3148" s="21"/>
    </row>
    <row r="3149">
      <c r="A3149" s="21"/>
    </row>
    <row r="3150">
      <c r="A3150" s="21"/>
    </row>
    <row r="3151">
      <c r="A3151" s="21"/>
    </row>
    <row r="3152">
      <c r="A3152" s="21"/>
    </row>
    <row r="3153">
      <c r="A3153" s="21"/>
    </row>
    <row r="3154">
      <c r="A3154" s="21"/>
    </row>
    <row r="3155">
      <c r="A3155" s="21"/>
    </row>
    <row r="3156">
      <c r="A3156" s="21"/>
    </row>
    <row r="3157">
      <c r="A3157" s="21"/>
    </row>
    <row r="3158">
      <c r="A3158" s="21"/>
    </row>
    <row r="3159">
      <c r="A3159" s="21"/>
    </row>
    <row r="3160">
      <c r="A3160" s="21"/>
    </row>
    <row r="3161">
      <c r="A3161" s="21"/>
    </row>
    <row r="3162">
      <c r="A3162" s="21"/>
    </row>
    <row r="3163">
      <c r="A3163" s="21"/>
    </row>
    <row r="3164">
      <c r="A3164" s="21"/>
    </row>
    <row r="3165">
      <c r="A3165" s="21"/>
    </row>
    <row r="3166">
      <c r="A3166" s="21"/>
    </row>
    <row r="3167">
      <c r="A3167" s="21"/>
    </row>
    <row r="3168">
      <c r="A3168" s="21"/>
    </row>
    <row r="3169">
      <c r="A3169" s="21"/>
    </row>
    <row r="3170">
      <c r="A3170" s="21"/>
    </row>
    <row r="3171">
      <c r="A3171" s="21"/>
    </row>
    <row r="3172">
      <c r="A3172" s="21"/>
    </row>
    <row r="3173">
      <c r="A3173" s="21"/>
    </row>
    <row r="3174">
      <c r="A3174" s="21"/>
    </row>
    <row r="3175">
      <c r="A3175" s="21"/>
    </row>
    <row r="3176">
      <c r="A3176" s="21"/>
    </row>
    <row r="3177">
      <c r="A3177" s="21"/>
    </row>
    <row r="3178">
      <c r="A3178" s="21"/>
    </row>
    <row r="3179">
      <c r="A3179" s="21"/>
    </row>
    <row r="3180">
      <c r="A3180" s="21"/>
    </row>
    <row r="3181">
      <c r="A3181" s="21"/>
    </row>
    <row r="3182">
      <c r="A3182" s="21"/>
    </row>
    <row r="3183">
      <c r="A3183" s="21"/>
    </row>
    <row r="3184">
      <c r="A3184" s="21"/>
    </row>
    <row r="3185">
      <c r="A3185" s="21"/>
    </row>
    <row r="3186">
      <c r="A3186" s="21"/>
    </row>
    <row r="3187">
      <c r="A3187" s="21"/>
    </row>
    <row r="3188">
      <c r="A3188" s="21"/>
    </row>
    <row r="3189">
      <c r="A3189" s="21"/>
    </row>
    <row r="3190">
      <c r="A3190" s="21"/>
    </row>
    <row r="3191">
      <c r="A3191" s="21"/>
    </row>
    <row r="3192">
      <c r="A3192" s="21"/>
    </row>
    <row r="3193">
      <c r="A3193" s="21"/>
    </row>
    <row r="3194">
      <c r="A3194" s="21"/>
    </row>
    <row r="3195">
      <c r="A3195" s="21"/>
    </row>
    <row r="3196">
      <c r="A3196" s="21"/>
    </row>
    <row r="3197">
      <c r="A3197" s="21"/>
    </row>
    <row r="3198">
      <c r="A3198" s="21"/>
    </row>
    <row r="3199">
      <c r="A3199" s="21"/>
    </row>
    <row r="3200">
      <c r="A3200" s="21"/>
    </row>
    <row r="3201">
      <c r="A3201" s="21"/>
    </row>
    <row r="3202">
      <c r="A3202" s="21"/>
    </row>
    <row r="3203">
      <c r="A3203" s="21"/>
    </row>
    <row r="3204">
      <c r="A3204" s="21"/>
    </row>
    <row r="3205">
      <c r="A3205" s="21"/>
    </row>
    <row r="3206">
      <c r="A3206" s="21"/>
    </row>
    <row r="3207">
      <c r="A3207" s="21"/>
    </row>
    <row r="3208">
      <c r="A3208" s="21"/>
    </row>
    <row r="3209">
      <c r="A3209" s="21"/>
    </row>
    <row r="3210">
      <c r="A3210" s="21"/>
    </row>
    <row r="3211">
      <c r="A3211" s="21"/>
    </row>
    <row r="3212">
      <c r="A3212" s="21"/>
    </row>
    <row r="3213">
      <c r="A3213" s="21"/>
    </row>
    <row r="3214">
      <c r="A3214" s="21"/>
    </row>
    <row r="3215">
      <c r="A3215" s="21"/>
    </row>
    <row r="3216">
      <c r="A3216" s="21"/>
    </row>
    <row r="3217">
      <c r="A3217" s="21"/>
    </row>
    <row r="3218">
      <c r="A3218" s="21"/>
    </row>
    <row r="3219">
      <c r="A3219" s="21"/>
    </row>
    <row r="3220">
      <c r="A3220" s="21"/>
    </row>
    <row r="3221">
      <c r="A3221" s="21"/>
    </row>
    <row r="3222">
      <c r="A3222" s="21"/>
    </row>
    <row r="3223">
      <c r="A3223" s="21"/>
    </row>
    <row r="3224">
      <c r="A3224" s="21"/>
    </row>
    <row r="3225">
      <c r="A3225" s="21"/>
    </row>
    <row r="3226">
      <c r="A3226" s="21"/>
    </row>
    <row r="3227">
      <c r="A3227" s="21"/>
    </row>
    <row r="3228">
      <c r="A3228" s="21"/>
    </row>
    <row r="3229">
      <c r="A3229" s="21"/>
    </row>
    <row r="3230">
      <c r="A3230" s="21"/>
    </row>
    <row r="3231">
      <c r="A3231" s="21"/>
    </row>
    <row r="3232">
      <c r="A3232" s="21"/>
    </row>
    <row r="3233">
      <c r="A3233" s="21"/>
    </row>
    <row r="3234">
      <c r="A3234" s="21"/>
    </row>
    <row r="3235">
      <c r="A3235" s="21"/>
    </row>
    <row r="3236">
      <c r="A3236" s="21"/>
    </row>
    <row r="3237">
      <c r="A3237" s="21"/>
    </row>
    <row r="3238">
      <c r="A3238" s="21"/>
    </row>
    <row r="3239">
      <c r="A3239" s="21"/>
    </row>
    <row r="3240">
      <c r="A3240" s="21"/>
    </row>
    <row r="3241">
      <c r="A3241" s="21"/>
    </row>
    <row r="3242">
      <c r="A3242" s="21"/>
    </row>
    <row r="3243">
      <c r="A3243" s="21"/>
    </row>
    <row r="3244">
      <c r="A3244" s="21"/>
    </row>
    <row r="3245">
      <c r="A3245" s="21"/>
    </row>
    <row r="3246">
      <c r="A3246" s="21"/>
    </row>
    <row r="3247">
      <c r="A3247" s="21"/>
    </row>
    <row r="3248">
      <c r="A3248" s="21"/>
    </row>
    <row r="3249">
      <c r="A3249" s="21"/>
    </row>
    <row r="3250">
      <c r="A3250" s="21"/>
    </row>
    <row r="3251">
      <c r="A3251" s="21"/>
    </row>
    <row r="3252">
      <c r="A3252" s="21"/>
    </row>
    <row r="3253">
      <c r="A3253" s="21"/>
    </row>
    <row r="3254">
      <c r="A3254" s="21"/>
    </row>
    <row r="3255">
      <c r="A3255" s="21"/>
    </row>
    <row r="3256">
      <c r="A3256" s="21"/>
    </row>
    <row r="3257">
      <c r="A3257" s="21"/>
    </row>
    <row r="3258">
      <c r="A3258" s="21"/>
    </row>
    <row r="3259">
      <c r="A3259" s="21"/>
    </row>
    <row r="3260">
      <c r="A3260" s="21"/>
    </row>
    <row r="3261">
      <c r="A3261" s="21"/>
    </row>
    <row r="3262">
      <c r="A3262" s="21"/>
    </row>
    <row r="3263">
      <c r="A3263" s="21"/>
    </row>
    <row r="3264">
      <c r="A3264" s="21"/>
    </row>
    <row r="3265">
      <c r="A3265" s="21"/>
    </row>
    <row r="3266">
      <c r="A3266" s="21"/>
    </row>
    <row r="3267">
      <c r="A3267" s="21"/>
    </row>
    <row r="3268">
      <c r="A3268" s="21"/>
    </row>
    <row r="3269">
      <c r="A3269" s="21"/>
    </row>
    <row r="3270">
      <c r="A3270" s="21"/>
    </row>
    <row r="3271">
      <c r="A3271" s="21"/>
    </row>
    <row r="3272">
      <c r="A3272" s="21"/>
    </row>
    <row r="3273">
      <c r="A3273" s="21"/>
    </row>
    <row r="3274">
      <c r="A3274" s="21"/>
    </row>
    <row r="3275">
      <c r="A3275" s="21"/>
    </row>
    <row r="3276">
      <c r="A3276" s="21"/>
    </row>
    <row r="3277">
      <c r="A3277" s="21"/>
    </row>
    <row r="3278">
      <c r="A3278" s="21"/>
    </row>
    <row r="3279">
      <c r="A3279" s="21"/>
    </row>
    <row r="3280">
      <c r="A3280" s="21"/>
    </row>
    <row r="3281">
      <c r="A3281" s="21"/>
    </row>
    <row r="3282">
      <c r="A3282" s="21"/>
    </row>
    <row r="3283">
      <c r="A3283" s="21"/>
    </row>
    <row r="3284">
      <c r="A3284" s="21"/>
    </row>
    <row r="3285">
      <c r="A3285" s="21"/>
    </row>
    <row r="3286">
      <c r="A3286" s="21"/>
    </row>
    <row r="3287">
      <c r="A3287" s="21"/>
    </row>
    <row r="3288">
      <c r="A3288" s="21"/>
    </row>
    <row r="3289">
      <c r="A3289" s="21"/>
    </row>
    <row r="3290">
      <c r="A3290" s="21"/>
    </row>
    <row r="3291">
      <c r="A3291" s="21"/>
    </row>
    <row r="3292">
      <c r="A3292" s="21"/>
    </row>
    <row r="3293">
      <c r="A3293" s="21"/>
    </row>
    <row r="3294">
      <c r="A3294" s="21"/>
    </row>
    <row r="3295">
      <c r="A3295" s="21"/>
    </row>
    <row r="3296">
      <c r="A3296" s="21"/>
    </row>
    <row r="3297">
      <c r="A3297" s="21"/>
    </row>
    <row r="3298">
      <c r="A3298" s="21"/>
    </row>
    <row r="3299">
      <c r="A3299" s="21"/>
    </row>
    <row r="3300">
      <c r="A3300" s="21"/>
    </row>
    <row r="3301">
      <c r="A3301" s="21"/>
    </row>
    <row r="3302">
      <c r="A3302" s="21"/>
    </row>
    <row r="3303">
      <c r="A3303" s="21"/>
    </row>
    <row r="3304">
      <c r="A3304" s="21"/>
    </row>
    <row r="3305">
      <c r="A3305" s="21"/>
    </row>
    <row r="3306">
      <c r="A3306" s="21"/>
    </row>
    <row r="3307">
      <c r="A3307" s="21"/>
    </row>
    <row r="3308">
      <c r="A3308" s="21"/>
    </row>
    <row r="3309">
      <c r="A3309" s="21"/>
    </row>
    <row r="3310">
      <c r="A3310" s="21"/>
    </row>
    <row r="3311">
      <c r="A3311" s="21"/>
    </row>
    <row r="3312">
      <c r="A3312" s="21"/>
    </row>
    <row r="3313">
      <c r="A3313" s="21"/>
    </row>
    <row r="3314">
      <c r="A3314" s="21"/>
    </row>
    <row r="3315">
      <c r="A3315" s="21"/>
    </row>
    <row r="3316">
      <c r="A3316" s="21"/>
    </row>
    <row r="3317">
      <c r="A3317" s="21"/>
    </row>
    <row r="3318">
      <c r="A3318" s="21"/>
    </row>
    <row r="3319">
      <c r="A3319" s="21"/>
    </row>
    <row r="3320">
      <c r="A3320" s="21"/>
    </row>
    <row r="3321">
      <c r="A3321" s="21"/>
    </row>
    <row r="3322">
      <c r="A3322" s="21"/>
    </row>
    <row r="3323">
      <c r="A3323" s="21"/>
    </row>
    <row r="3324">
      <c r="A3324" s="21"/>
    </row>
    <row r="3325">
      <c r="A3325" s="21"/>
    </row>
    <row r="3326">
      <c r="A3326" s="21"/>
    </row>
    <row r="3327">
      <c r="A3327" s="21"/>
    </row>
    <row r="3328">
      <c r="A3328" s="21"/>
    </row>
    <row r="3329">
      <c r="A3329" s="21"/>
    </row>
    <row r="3330">
      <c r="A3330" s="21"/>
    </row>
    <row r="3331">
      <c r="A3331" s="21"/>
    </row>
    <row r="3332">
      <c r="A3332" s="21"/>
    </row>
    <row r="3333">
      <c r="A3333" s="21"/>
    </row>
    <row r="3334">
      <c r="A3334" s="21"/>
    </row>
    <row r="3335">
      <c r="A3335" s="21"/>
    </row>
    <row r="3336">
      <c r="A3336" s="21"/>
    </row>
    <row r="3337">
      <c r="A3337" s="21"/>
    </row>
    <row r="3338">
      <c r="A3338" s="21"/>
    </row>
    <row r="3339">
      <c r="A3339" s="21"/>
    </row>
    <row r="3340">
      <c r="A3340" s="21"/>
    </row>
    <row r="3341">
      <c r="A3341" s="21"/>
    </row>
    <row r="3342">
      <c r="A3342" s="21"/>
    </row>
    <row r="3343">
      <c r="A3343" s="21"/>
    </row>
    <row r="3344">
      <c r="A3344" s="21"/>
    </row>
    <row r="3345">
      <c r="A3345" s="21"/>
    </row>
    <row r="3346">
      <c r="A3346" s="21"/>
    </row>
    <row r="3347">
      <c r="A3347" s="21"/>
    </row>
    <row r="3348">
      <c r="A3348" s="21"/>
    </row>
    <row r="3349">
      <c r="A3349" s="21"/>
    </row>
    <row r="3350">
      <c r="A3350" s="21"/>
    </row>
    <row r="3351">
      <c r="A3351" s="21"/>
    </row>
    <row r="3352">
      <c r="A3352" s="21"/>
    </row>
    <row r="3353">
      <c r="A3353" s="21"/>
    </row>
    <row r="3354">
      <c r="A3354" s="21"/>
    </row>
    <row r="3355">
      <c r="A3355" s="21"/>
    </row>
    <row r="3356">
      <c r="A3356" s="21"/>
    </row>
    <row r="3357">
      <c r="A3357" s="21"/>
    </row>
    <row r="3358">
      <c r="A3358" s="21"/>
    </row>
    <row r="3359">
      <c r="A3359" s="21"/>
    </row>
    <row r="3360">
      <c r="A3360" s="21"/>
    </row>
    <row r="3361">
      <c r="A3361" s="21"/>
    </row>
    <row r="3362">
      <c r="A3362" s="21"/>
    </row>
    <row r="3363">
      <c r="A3363" s="21"/>
    </row>
    <row r="3364">
      <c r="A3364" s="21"/>
    </row>
    <row r="3365">
      <c r="A3365" s="21"/>
    </row>
    <row r="3366">
      <c r="A3366" s="21"/>
    </row>
    <row r="3367">
      <c r="A3367" s="21"/>
    </row>
    <row r="3368">
      <c r="A3368" s="21"/>
    </row>
    <row r="3369">
      <c r="A3369" s="21"/>
    </row>
    <row r="3370">
      <c r="A3370" s="21"/>
    </row>
    <row r="3371">
      <c r="A3371" s="21"/>
    </row>
    <row r="3372">
      <c r="A3372" s="21"/>
    </row>
    <row r="3373">
      <c r="A3373" s="21"/>
    </row>
    <row r="3374">
      <c r="A3374" s="21"/>
    </row>
    <row r="3375">
      <c r="A3375" s="21"/>
    </row>
    <row r="3376">
      <c r="A3376" s="21"/>
    </row>
    <row r="3377">
      <c r="A3377" s="21"/>
    </row>
    <row r="3378">
      <c r="A3378" s="21"/>
    </row>
    <row r="3379">
      <c r="A3379" s="21"/>
    </row>
    <row r="3380">
      <c r="A3380" s="21"/>
    </row>
    <row r="3381">
      <c r="A3381" s="21"/>
    </row>
    <row r="3382">
      <c r="A3382" s="21"/>
    </row>
    <row r="3383">
      <c r="A3383" s="21"/>
    </row>
    <row r="3384">
      <c r="A3384" s="21"/>
    </row>
    <row r="3385">
      <c r="A3385" s="21"/>
    </row>
    <row r="3386">
      <c r="A3386" s="21"/>
    </row>
    <row r="3387">
      <c r="A3387" s="21"/>
    </row>
    <row r="3388">
      <c r="A3388" s="21"/>
    </row>
    <row r="3389">
      <c r="A3389" s="21"/>
    </row>
    <row r="3390">
      <c r="A3390" s="21"/>
    </row>
    <row r="3391">
      <c r="A3391" s="21"/>
    </row>
    <row r="3392">
      <c r="A3392" s="21"/>
    </row>
    <row r="3393">
      <c r="A3393" s="21"/>
    </row>
    <row r="3394">
      <c r="A3394" s="21"/>
    </row>
    <row r="3395">
      <c r="A3395" s="21"/>
    </row>
    <row r="3396">
      <c r="A3396" s="21"/>
    </row>
    <row r="3397">
      <c r="A3397" s="21"/>
    </row>
    <row r="3398">
      <c r="A3398" s="21"/>
    </row>
    <row r="3399">
      <c r="A3399" s="21"/>
    </row>
    <row r="3400">
      <c r="A3400" s="21"/>
    </row>
    <row r="3401">
      <c r="A3401" s="21"/>
    </row>
    <row r="3402">
      <c r="A3402" s="21"/>
    </row>
    <row r="3403">
      <c r="A3403" s="21"/>
    </row>
    <row r="3404">
      <c r="A3404" s="21"/>
    </row>
    <row r="3405">
      <c r="A3405" s="21"/>
    </row>
    <row r="3406">
      <c r="A3406" s="21"/>
    </row>
    <row r="3407">
      <c r="A3407" s="21"/>
    </row>
    <row r="3408">
      <c r="A3408" s="21"/>
    </row>
    <row r="3409">
      <c r="A3409" s="21"/>
    </row>
    <row r="3410">
      <c r="A3410" s="21"/>
    </row>
    <row r="3411">
      <c r="A3411" s="21"/>
    </row>
    <row r="3412">
      <c r="A3412" s="21"/>
    </row>
    <row r="3413">
      <c r="A3413" s="21"/>
    </row>
    <row r="3414">
      <c r="A3414" s="21"/>
    </row>
    <row r="3415">
      <c r="A3415" s="21"/>
    </row>
    <row r="3416">
      <c r="A3416" s="21"/>
    </row>
    <row r="3417">
      <c r="A3417" s="21"/>
    </row>
    <row r="3418">
      <c r="A3418" s="21"/>
    </row>
    <row r="3419">
      <c r="A3419" s="21"/>
    </row>
    <row r="3420">
      <c r="A3420" s="21"/>
    </row>
    <row r="3421">
      <c r="A3421" s="21"/>
    </row>
    <row r="3422">
      <c r="A3422" s="21"/>
    </row>
    <row r="3423">
      <c r="A3423" s="21"/>
    </row>
    <row r="3424">
      <c r="A3424" s="21"/>
    </row>
    <row r="3425">
      <c r="A3425" s="21"/>
    </row>
    <row r="3426">
      <c r="A3426" s="21"/>
    </row>
    <row r="3427">
      <c r="A3427" s="21"/>
    </row>
    <row r="3428">
      <c r="A3428" s="21"/>
    </row>
    <row r="3429">
      <c r="A3429" s="21"/>
    </row>
    <row r="3430">
      <c r="A3430" s="21"/>
    </row>
    <row r="3431">
      <c r="A3431" s="21"/>
    </row>
    <row r="3432">
      <c r="A3432" s="21"/>
    </row>
    <row r="3433">
      <c r="A3433" s="21"/>
    </row>
    <row r="3434">
      <c r="A3434" s="21"/>
    </row>
    <row r="3435">
      <c r="A3435" s="21"/>
    </row>
    <row r="3436">
      <c r="A3436" s="21"/>
    </row>
    <row r="3437">
      <c r="A3437" s="21"/>
    </row>
    <row r="3438">
      <c r="A3438" s="21"/>
    </row>
    <row r="3439">
      <c r="A3439" s="21"/>
    </row>
    <row r="3440">
      <c r="A3440" s="21"/>
    </row>
    <row r="3441">
      <c r="A3441" s="21"/>
    </row>
    <row r="3442">
      <c r="A3442" s="21"/>
    </row>
    <row r="3443">
      <c r="A3443" s="21"/>
    </row>
    <row r="3444">
      <c r="A3444" s="21"/>
    </row>
    <row r="3445">
      <c r="A3445" s="21"/>
    </row>
    <row r="3446">
      <c r="A3446" s="21"/>
    </row>
    <row r="3447">
      <c r="A3447" s="21"/>
    </row>
    <row r="3448">
      <c r="A3448" s="21"/>
    </row>
    <row r="3449">
      <c r="A3449" s="21"/>
    </row>
    <row r="3450">
      <c r="A3450" s="21"/>
    </row>
    <row r="3451">
      <c r="A3451" s="21"/>
    </row>
    <row r="3452">
      <c r="A3452" s="21"/>
    </row>
    <row r="3453">
      <c r="A3453" s="21"/>
    </row>
    <row r="3454">
      <c r="A3454" s="21"/>
    </row>
    <row r="3455">
      <c r="A3455" s="21"/>
    </row>
    <row r="3456">
      <c r="A3456" s="21"/>
    </row>
    <row r="3457">
      <c r="A3457" s="21"/>
    </row>
    <row r="3458">
      <c r="A3458" s="21"/>
    </row>
    <row r="3459">
      <c r="A3459" s="21"/>
    </row>
    <row r="3460">
      <c r="A3460" s="21"/>
    </row>
    <row r="3461">
      <c r="A3461" s="21"/>
    </row>
    <row r="3462">
      <c r="A3462" s="21"/>
    </row>
    <row r="3463">
      <c r="A3463" s="21"/>
    </row>
    <row r="3464">
      <c r="A3464" s="21"/>
    </row>
    <row r="3465">
      <c r="A3465" s="21"/>
    </row>
    <row r="3466">
      <c r="A3466" s="21"/>
    </row>
    <row r="3467">
      <c r="A3467" s="21"/>
    </row>
    <row r="3468">
      <c r="A3468" s="21"/>
    </row>
    <row r="3469">
      <c r="A3469" s="21"/>
    </row>
    <row r="3470">
      <c r="A3470" s="21"/>
    </row>
    <row r="3471">
      <c r="A3471" s="21"/>
    </row>
    <row r="3472">
      <c r="A3472" s="21"/>
    </row>
    <row r="3473">
      <c r="A3473" s="21"/>
    </row>
    <row r="3474">
      <c r="A3474" s="21"/>
    </row>
    <row r="3475">
      <c r="A3475" s="21"/>
    </row>
    <row r="3476">
      <c r="A3476" s="21"/>
    </row>
    <row r="3477">
      <c r="A3477" s="21"/>
    </row>
    <row r="3478">
      <c r="A3478" s="21"/>
    </row>
    <row r="3479">
      <c r="A3479" s="21"/>
    </row>
    <row r="3480">
      <c r="A3480" s="21"/>
    </row>
    <row r="3481">
      <c r="A3481" s="21"/>
    </row>
    <row r="3482">
      <c r="A3482" s="21"/>
    </row>
    <row r="3483">
      <c r="A3483" s="21"/>
    </row>
    <row r="3484">
      <c r="A3484" s="21"/>
    </row>
    <row r="3485">
      <c r="A3485" s="21"/>
    </row>
    <row r="3486">
      <c r="A3486" s="21"/>
    </row>
    <row r="3487">
      <c r="A3487" s="21"/>
    </row>
    <row r="3488">
      <c r="A3488" s="21"/>
    </row>
    <row r="3489">
      <c r="A3489" s="21"/>
    </row>
    <row r="3490">
      <c r="A3490" s="21"/>
    </row>
    <row r="3491">
      <c r="A3491" s="21"/>
    </row>
    <row r="3492">
      <c r="A3492" s="21"/>
    </row>
    <row r="3493">
      <c r="A3493" s="21"/>
    </row>
    <row r="3494">
      <c r="A3494" s="21"/>
    </row>
    <row r="3495">
      <c r="A3495" s="21"/>
    </row>
    <row r="3496">
      <c r="A3496" s="21"/>
    </row>
    <row r="3497">
      <c r="A3497" s="21"/>
    </row>
    <row r="3498">
      <c r="A3498" s="21"/>
    </row>
    <row r="3499">
      <c r="A3499" s="21"/>
    </row>
    <row r="3500">
      <c r="A3500" s="21"/>
    </row>
    <row r="3501">
      <c r="A3501" s="21"/>
    </row>
    <row r="3502">
      <c r="A3502" s="21"/>
    </row>
    <row r="3503">
      <c r="A3503" s="21"/>
    </row>
    <row r="3504">
      <c r="A3504" s="21"/>
    </row>
    <row r="3505">
      <c r="A3505" s="21"/>
    </row>
    <row r="3506">
      <c r="A3506" s="21"/>
    </row>
    <row r="3507">
      <c r="A3507" s="21"/>
    </row>
    <row r="3508">
      <c r="A3508" s="21"/>
    </row>
    <row r="3509">
      <c r="A3509" s="21"/>
    </row>
    <row r="3510">
      <c r="A3510" s="21"/>
    </row>
    <row r="3511">
      <c r="A3511" s="21"/>
    </row>
    <row r="3512">
      <c r="A3512" s="21"/>
    </row>
    <row r="3513">
      <c r="A3513" s="21"/>
    </row>
    <row r="3514">
      <c r="A3514" s="21"/>
    </row>
    <row r="3515">
      <c r="A3515" s="21"/>
    </row>
    <row r="3516">
      <c r="A3516" s="21"/>
    </row>
    <row r="3517">
      <c r="A3517" s="21"/>
    </row>
    <row r="3518">
      <c r="A3518" s="21"/>
    </row>
    <row r="3519">
      <c r="A3519" s="21"/>
    </row>
    <row r="3520">
      <c r="A3520" s="21"/>
    </row>
    <row r="3521">
      <c r="A3521" s="21"/>
    </row>
    <row r="3522">
      <c r="A3522" s="21"/>
    </row>
    <row r="3523">
      <c r="A3523" s="21"/>
    </row>
    <row r="3524">
      <c r="A3524" s="21"/>
    </row>
    <row r="3525">
      <c r="A3525" s="21"/>
    </row>
    <row r="3526">
      <c r="A3526" s="21"/>
    </row>
    <row r="3527">
      <c r="A3527" s="21"/>
    </row>
    <row r="3528">
      <c r="A3528" s="21"/>
    </row>
    <row r="3529">
      <c r="A3529" s="21"/>
    </row>
    <row r="3530">
      <c r="A3530" s="21"/>
    </row>
    <row r="3531">
      <c r="A3531" s="21"/>
    </row>
    <row r="3532">
      <c r="A3532" s="21"/>
    </row>
    <row r="3533">
      <c r="A3533" s="21"/>
    </row>
    <row r="3534">
      <c r="A3534" s="21"/>
    </row>
    <row r="3535">
      <c r="A3535" s="21"/>
    </row>
    <row r="3536">
      <c r="A3536" s="21"/>
    </row>
    <row r="3537">
      <c r="A3537" s="21"/>
    </row>
    <row r="3538">
      <c r="A3538" s="21"/>
    </row>
    <row r="3539">
      <c r="A3539" s="21"/>
    </row>
    <row r="3540">
      <c r="A3540" s="21"/>
    </row>
    <row r="3541">
      <c r="A3541" s="21"/>
    </row>
    <row r="3542">
      <c r="A3542" s="21"/>
    </row>
    <row r="3543">
      <c r="A3543" s="21"/>
    </row>
    <row r="3544">
      <c r="A3544" s="21"/>
    </row>
    <row r="3545">
      <c r="A3545" s="21"/>
    </row>
    <row r="3546">
      <c r="A3546" s="21"/>
    </row>
    <row r="3547">
      <c r="A3547" s="21"/>
    </row>
    <row r="3548">
      <c r="A3548" s="21"/>
    </row>
    <row r="3549">
      <c r="A3549" s="21"/>
    </row>
    <row r="3550">
      <c r="A3550" s="21"/>
    </row>
    <row r="3551">
      <c r="A3551" s="21"/>
    </row>
    <row r="3552">
      <c r="A3552" s="21"/>
    </row>
    <row r="3553">
      <c r="A3553" s="21"/>
    </row>
    <row r="3554">
      <c r="A3554" s="21"/>
    </row>
    <row r="3555">
      <c r="A3555" s="21"/>
    </row>
    <row r="3556">
      <c r="A3556" s="21"/>
    </row>
    <row r="3557">
      <c r="A3557" s="21"/>
    </row>
    <row r="3558">
      <c r="A3558" s="21"/>
    </row>
    <row r="3559">
      <c r="A3559" s="21"/>
    </row>
    <row r="3560">
      <c r="A3560" s="21"/>
    </row>
    <row r="3561">
      <c r="A3561" s="21"/>
    </row>
    <row r="3562">
      <c r="A3562" s="21"/>
    </row>
    <row r="3563">
      <c r="A3563" s="21"/>
    </row>
    <row r="3564">
      <c r="A3564" s="21"/>
    </row>
    <row r="3565">
      <c r="A3565" s="21"/>
    </row>
    <row r="3566">
      <c r="A3566" s="21"/>
    </row>
    <row r="3567">
      <c r="A3567" s="21"/>
    </row>
    <row r="3568">
      <c r="A3568" s="21"/>
    </row>
    <row r="3569">
      <c r="A3569" s="21"/>
    </row>
    <row r="3570">
      <c r="A3570" s="21"/>
    </row>
    <row r="3571">
      <c r="A3571" s="21"/>
    </row>
    <row r="3572">
      <c r="A3572" s="21"/>
    </row>
    <row r="3573">
      <c r="A3573" s="21"/>
    </row>
    <row r="3574">
      <c r="A3574" s="21"/>
    </row>
    <row r="3575">
      <c r="A3575" s="21"/>
    </row>
    <row r="3576">
      <c r="A3576" s="21"/>
    </row>
    <row r="3577">
      <c r="A3577" s="21"/>
    </row>
    <row r="3578">
      <c r="A3578" s="21"/>
    </row>
    <row r="3579">
      <c r="A3579" s="21"/>
    </row>
    <row r="3580">
      <c r="A3580" s="21"/>
    </row>
    <row r="3581">
      <c r="A3581" s="21"/>
    </row>
    <row r="3582">
      <c r="A3582" s="21"/>
    </row>
    <row r="3583">
      <c r="A3583" s="21"/>
    </row>
    <row r="3584">
      <c r="A3584" s="21"/>
    </row>
    <row r="3585">
      <c r="A3585" s="21"/>
    </row>
    <row r="3586">
      <c r="A3586" s="21"/>
    </row>
    <row r="3587">
      <c r="A3587" s="21"/>
    </row>
    <row r="3588">
      <c r="A3588" s="21"/>
    </row>
    <row r="3589">
      <c r="A3589" s="21"/>
    </row>
    <row r="3590">
      <c r="A3590" s="21"/>
    </row>
    <row r="3591">
      <c r="A3591" s="21"/>
    </row>
    <row r="3592">
      <c r="A3592" s="21"/>
    </row>
    <row r="3593">
      <c r="A3593" s="21"/>
    </row>
    <row r="3594">
      <c r="A3594" s="21"/>
    </row>
    <row r="3595">
      <c r="A3595" s="21"/>
    </row>
    <row r="3596">
      <c r="A3596" s="21"/>
    </row>
    <row r="3597">
      <c r="A3597" s="21"/>
    </row>
    <row r="3598">
      <c r="A3598" s="21"/>
    </row>
    <row r="3599">
      <c r="A3599" s="21"/>
    </row>
    <row r="3600">
      <c r="A3600" s="21"/>
    </row>
    <row r="3601">
      <c r="A3601" s="21"/>
    </row>
    <row r="3602">
      <c r="A3602" s="21"/>
    </row>
    <row r="3603">
      <c r="A3603" s="21"/>
    </row>
    <row r="3604">
      <c r="A3604" s="21"/>
    </row>
    <row r="3605">
      <c r="A3605" s="21"/>
    </row>
    <row r="3606">
      <c r="A3606" s="21"/>
    </row>
    <row r="3607">
      <c r="A3607" s="21"/>
    </row>
    <row r="3608">
      <c r="A3608" s="21"/>
    </row>
    <row r="3609">
      <c r="A3609" s="21"/>
    </row>
    <row r="3610">
      <c r="A3610" s="21"/>
    </row>
    <row r="3611">
      <c r="A3611" s="21"/>
    </row>
    <row r="3612">
      <c r="A3612" s="21"/>
    </row>
    <row r="3613">
      <c r="A3613" s="21"/>
    </row>
    <row r="3614">
      <c r="A3614" s="21"/>
    </row>
    <row r="3615">
      <c r="A3615" s="21"/>
    </row>
    <row r="3616">
      <c r="A3616" s="21"/>
    </row>
    <row r="3617">
      <c r="A3617" s="21"/>
    </row>
    <row r="3618">
      <c r="A3618" s="21"/>
    </row>
    <row r="3619">
      <c r="A3619" s="21"/>
    </row>
    <row r="3620">
      <c r="A3620" s="21"/>
    </row>
    <row r="3621">
      <c r="A3621" s="21"/>
    </row>
    <row r="3622">
      <c r="A3622" s="21"/>
    </row>
    <row r="3623">
      <c r="A3623" s="21"/>
    </row>
    <row r="3624">
      <c r="A3624" s="21"/>
    </row>
    <row r="3625">
      <c r="A3625" s="21"/>
    </row>
    <row r="3626">
      <c r="A3626" s="21"/>
    </row>
    <row r="3627">
      <c r="A3627" s="21"/>
    </row>
    <row r="3628">
      <c r="A3628" s="21"/>
    </row>
    <row r="3629">
      <c r="A3629" s="21"/>
    </row>
    <row r="3630">
      <c r="A3630" s="21"/>
    </row>
    <row r="3631">
      <c r="A3631" s="21"/>
    </row>
    <row r="3632">
      <c r="A3632" s="21"/>
    </row>
    <row r="3633">
      <c r="A3633" s="21"/>
    </row>
    <row r="3634">
      <c r="A3634" s="21"/>
    </row>
    <row r="3635">
      <c r="A3635" s="21"/>
    </row>
    <row r="3636">
      <c r="A3636" s="21"/>
    </row>
    <row r="3637">
      <c r="A3637" s="21"/>
    </row>
    <row r="3638">
      <c r="A3638" s="21"/>
    </row>
    <row r="3639">
      <c r="A3639" s="21"/>
    </row>
    <row r="3640">
      <c r="A3640" s="21"/>
    </row>
    <row r="3641">
      <c r="A3641" s="21"/>
    </row>
    <row r="3642">
      <c r="A3642" s="21"/>
    </row>
    <row r="3643">
      <c r="A3643" s="21"/>
    </row>
    <row r="3644">
      <c r="A3644" s="21"/>
    </row>
    <row r="3645">
      <c r="A3645" s="21"/>
    </row>
    <row r="3646">
      <c r="A3646" s="21"/>
    </row>
    <row r="3647">
      <c r="A3647" s="21"/>
    </row>
    <row r="3648">
      <c r="A3648" s="21"/>
    </row>
    <row r="3649">
      <c r="A3649" s="21"/>
    </row>
    <row r="3650">
      <c r="A3650" s="21"/>
    </row>
    <row r="3651">
      <c r="A3651" s="21"/>
    </row>
    <row r="3652">
      <c r="A3652" s="21"/>
    </row>
    <row r="3653">
      <c r="A3653" s="21"/>
    </row>
    <row r="3654">
      <c r="A3654" s="21"/>
    </row>
    <row r="3655">
      <c r="A3655" s="21"/>
    </row>
    <row r="3656">
      <c r="A3656" s="21"/>
    </row>
    <row r="3657">
      <c r="A3657" s="21"/>
    </row>
    <row r="3658">
      <c r="A3658" s="21"/>
    </row>
    <row r="3659">
      <c r="A3659" s="21"/>
    </row>
    <row r="3660">
      <c r="A3660" s="21"/>
    </row>
    <row r="3661">
      <c r="A3661" s="21"/>
    </row>
    <row r="3662">
      <c r="A3662" s="21"/>
    </row>
    <row r="3663">
      <c r="A3663" s="21"/>
    </row>
    <row r="3664">
      <c r="A3664" s="21"/>
    </row>
    <row r="3665">
      <c r="A3665" s="21"/>
    </row>
    <row r="3666">
      <c r="A3666" s="21"/>
    </row>
    <row r="3667">
      <c r="A3667" s="21"/>
    </row>
    <row r="3668">
      <c r="A3668" s="21"/>
    </row>
    <row r="3669">
      <c r="A3669" s="21"/>
    </row>
    <row r="3670">
      <c r="A3670" s="21"/>
    </row>
    <row r="3671">
      <c r="A3671" s="21"/>
    </row>
    <row r="3672">
      <c r="A3672" s="21"/>
    </row>
    <row r="3673">
      <c r="A3673" s="21"/>
    </row>
    <row r="3674">
      <c r="A3674" s="21"/>
    </row>
    <row r="3675">
      <c r="A3675" s="21"/>
    </row>
    <row r="3676">
      <c r="A3676" s="21"/>
    </row>
    <row r="3677">
      <c r="A3677" s="21"/>
    </row>
    <row r="3678">
      <c r="A3678" s="21"/>
    </row>
    <row r="3679">
      <c r="A3679" s="21"/>
    </row>
    <row r="3680">
      <c r="A3680" s="21"/>
    </row>
    <row r="3681">
      <c r="A3681" s="21"/>
    </row>
    <row r="3682">
      <c r="A3682" s="21"/>
    </row>
    <row r="3683">
      <c r="A3683" s="21"/>
    </row>
    <row r="3684">
      <c r="A3684" s="21"/>
    </row>
    <row r="3685">
      <c r="A3685" s="21"/>
    </row>
    <row r="3686">
      <c r="A3686" s="21"/>
    </row>
    <row r="3687">
      <c r="A3687" s="21"/>
    </row>
    <row r="3688">
      <c r="A3688" s="21"/>
    </row>
    <row r="3689">
      <c r="A3689" s="21"/>
    </row>
    <row r="3690">
      <c r="A3690" s="21"/>
    </row>
    <row r="3691">
      <c r="A3691" s="21"/>
    </row>
    <row r="3692">
      <c r="A3692" s="21"/>
    </row>
    <row r="3693">
      <c r="A3693" s="21"/>
    </row>
    <row r="3694">
      <c r="A3694" s="21"/>
    </row>
    <row r="3695">
      <c r="A3695" s="21"/>
    </row>
    <row r="3696">
      <c r="A3696" s="21"/>
    </row>
    <row r="3697">
      <c r="A3697" s="21"/>
    </row>
    <row r="3698">
      <c r="A3698" s="21"/>
    </row>
    <row r="3699">
      <c r="A3699" s="21"/>
    </row>
    <row r="3700">
      <c r="A3700" s="21"/>
    </row>
    <row r="3701">
      <c r="A3701" s="21"/>
    </row>
    <row r="3702">
      <c r="A3702" s="21"/>
    </row>
    <row r="3703">
      <c r="A3703" s="21"/>
    </row>
    <row r="3704">
      <c r="A3704" s="21"/>
    </row>
    <row r="3705">
      <c r="A3705" s="21"/>
    </row>
    <row r="3706">
      <c r="A3706" s="21"/>
    </row>
    <row r="3707">
      <c r="A3707" s="21"/>
    </row>
    <row r="3708">
      <c r="A3708" s="21"/>
    </row>
    <row r="3709">
      <c r="A3709" s="21"/>
    </row>
    <row r="3710">
      <c r="A3710" s="21"/>
    </row>
    <row r="3711">
      <c r="A3711" s="21"/>
    </row>
    <row r="3712">
      <c r="A3712" s="21"/>
    </row>
    <row r="3713">
      <c r="A3713" s="21"/>
    </row>
    <row r="3714">
      <c r="A3714" s="21"/>
    </row>
    <row r="3715">
      <c r="A3715" s="21"/>
    </row>
    <row r="3716">
      <c r="A3716" s="21"/>
    </row>
    <row r="3717">
      <c r="A3717" s="21"/>
    </row>
    <row r="3718">
      <c r="A3718" s="21"/>
    </row>
    <row r="3719">
      <c r="A3719" s="21"/>
    </row>
    <row r="3720">
      <c r="A3720" s="21"/>
    </row>
    <row r="3721">
      <c r="A3721" s="21"/>
    </row>
    <row r="3722">
      <c r="A3722" s="21"/>
    </row>
    <row r="3723">
      <c r="A3723" s="21"/>
    </row>
    <row r="3724">
      <c r="A3724" s="21"/>
    </row>
    <row r="3725">
      <c r="A3725" s="21"/>
    </row>
    <row r="3726">
      <c r="A3726" s="21"/>
    </row>
    <row r="3727">
      <c r="A3727" s="21"/>
    </row>
    <row r="3728">
      <c r="A3728" s="21"/>
    </row>
    <row r="3729">
      <c r="A3729" s="21"/>
    </row>
    <row r="3730">
      <c r="A3730" s="21"/>
    </row>
    <row r="3731">
      <c r="A3731" s="21"/>
    </row>
    <row r="3732">
      <c r="A3732" s="21"/>
    </row>
    <row r="3733">
      <c r="A3733" s="21"/>
    </row>
    <row r="3734">
      <c r="A3734" s="21"/>
    </row>
    <row r="3735">
      <c r="A3735" s="21"/>
    </row>
    <row r="3736">
      <c r="A3736" s="21"/>
    </row>
    <row r="3737">
      <c r="A3737" s="21"/>
    </row>
    <row r="3738">
      <c r="A3738" s="21"/>
    </row>
    <row r="3739">
      <c r="A3739" s="21"/>
    </row>
    <row r="3740">
      <c r="A3740" s="21"/>
    </row>
    <row r="3741">
      <c r="A3741" s="21"/>
    </row>
    <row r="3742">
      <c r="A3742" s="21"/>
    </row>
    <row r="3743">
      <c r="A3743" s="21"/>
    </row>
    <row r="3744">
      <c r="A3744" s="21"/>
    </row>
    <row r="3745">
      <c r="A3745" s="21"/>
    </row>
    <row r="3746">
      <c r="A3746" s="21"/>
    </row>
    <row r="3747">
      <c r="A3747" s="21"/>
    </row>
    <row r="3748">
      <c r="A3748" s="21"/>
    </row>
    <row r="3749">
      <c r="A3749" s="21"/>
    </row>
    <row r="3750">
      <c r="A3750" s="21"/>
    </row>
    <row r="3751">
      <c r="A3751" s="21"/>
    </row>
    <row r="3752">
      <c r="A3752" s="21"/>
    </row>
    <row r="3753">
      <c r="A3753" s="21"/>
    </row>
    <row r="3754">
      <c r="A3754" s="21"/>
    </row>
    <row r="3755">
      <c r="A3755" s="21"/>
    </row>
    <row r="3756">
      <c r="A3756" s="21"/>
    </row>
    <row r="3757">
      <c r="A3757" s="21"/>
    </row>
    <row r="3758">
      <c r="A3758" s="21"/>
    </row>
    <row r="3759">
      <c r="A3759" s="21"/>
    </row>
    <row r="3760">
      <c r="A3760" s="21"/>
    </row>
    <row r="3761">
      <c r="A3761" s="21"/>
    </row>
    <row r="3762">
      <c r="A3762" s="21"/>
    </row>
    <row r="3763">
      <c r="A3763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7.13"/>
    <col customWidth="1" min="8" max="8" width="20.63"/>
    <col customWidth="1" min="9" max="9" width="13.75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10</v>
      </c>
      <c r="B2" s="25">
        <v>1.37198142829E11</v>
      </c>
      <c r="C2" s="24" t="s">
        <v>11</v>
      </c>
      <c r="D2" s="24" t="s">
        <v>12</v>
      </c>
      <c r="E2" s="24" t="s">
        <v>13</v>
      </c>
      <c r="F2" s="26">
        <v>1840.0</v>
      </c>
      <c r="G2" s="26" t="s">
        <v>759</v>
      </c>
      <c r="H2" s="26" t="s">
        <v>882</v>
      </c>
      <c r="I2" s="26" t="s">
        <v>883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4" t="s">
        <v>14</v>
      </c>
      <c r="B3" s="25">
        <v>1.93156013197E11</v>
      </c>
      <c r="C3" s="24" t="s">
        <v>11</v>
      </c>
      <c r="D3" s="24" t="s">
        <v>12</v>
      </c>
      <c r="E3" s="24" t="s">
        <v>9</v>
      </c>
      <c r="F3" s="27" t="s">
        <v>884</v>
      </c>
      <c r="G3" s="26" t="s">
        <v>74</v>
      </c>
      <c r="H3" s="26" t="s">
        <v>885</v>
      </c>
      <c r="I3" s="26" t="s">
        <v>886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4" t="s">
        <v>15</v>
      </c>
      <c r="B4" s="25">
        <v>8.38198456425E11</v>
      </c>
      <c r="C4" s="24" t="s">
        <v>11</v>
      </c>
      <c r="D4" s="24" t="s">
        <v>12</v>
      </c>
      <c r="E4" s="24" t="s">
        <v>9</v>
      </c>
      <c r="F4" s="27" t="s">
        <v>887</v>
      </c>
      <c r="G4" s="26" t="s">
        <v>74</v>
      </c>
      <c r="H4" s="26" t="s">
        <v>888</v>
      </c>
      <c r="I4" s="26" t="s">
        <v>889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 t="s">
        <v>16</v>
      </c>
      <c r="B5" s="25">
        <v>2.09148542918E11</v>
      </c>
      <c r="C5" s="24" t="s">
        <v>11</v>
      </c>
      <c r="D5" s="24" t="s">
        <v>12</v>
      </c>
      <c r="E5" s="24" t="s">
        <v>9</v>
      </c>
      <c r="F5" s="27" t="s">
        <v>890</v>
      </c>
      <c r="G5" s="26" t="s">
        <v>891</v>
      </c>
      <c r="H5" s="26" t="s">
        <v>892</v>
      </c>
      <c r="I5" s="26" t="s">
        <v>893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4" t="s">
        <v>17</v>
      </c>
      <c r="B6" s="25">
        <v>1.0515013496E11</v>
      </c>
      <c r="C6" s="24" t="s">
        <v>11</v>
      </c>
      <c r="D6" s="24" t="s">
        <v>12</v>
      </c>
      <c r="E6" s="24" t="s">
        <v>9</v>
      </c>
      <c r="F6" s="27">
        <v>2212.0</v>
      </c>
      <c r="G6" s="26" t="s">
        <v>74</v>
      </c>
      <c r="H6" s="26" t="s">
        <v>894</v>
      </c>
      <c r="I6" s="26" t="s">
        <v>895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4" t="s">
        <v>18</v>
      </c>
      <c r="B7" s="25">
        <v>1.89108478931E11</v>
      </c>
      <c r="C7" s="24" t="s">
        <v>11</v>
      </c>
      <c r="D7" s="24" t="s">
        <v>12</v>
      </c>
      <c r="E7" s="24" t="s">
        <v>9</v>
      </c>
      <c r="F7" s="26">
        <v>2443.0</v>
      </c>
      <c r="G7" s="26" t="s">
        <v>74</v>
      </c>
      <c r="H7" s="26" t="s">
        <v>896</v>
      </c>
      <c r="I7" s="26" t="s">
        <v>897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4" t="s">
        <v>19</v>
      </c>
      <c r="B8" s="25">
        <v>9.19170561064E11</v>
      </c>
      <c r="C8" s="24" t="s">
        <v>11</v>
      </c>
      <c r="D8" s="24" t="s">
        <v>12</v>
      </c>
      <c r="E8" s="24" t="s">
        <v>9</v>
      </c>
      <c r="F8" s="26">
        <v>2561.0</v>
      </c>
      <c r="G8" s="26" t="s">
        <v>74</v>
      </c>
      <c r="H8" s="26" t="s">
        <v>898</v>
      </c>
      <c r="I8" s="26" t="s">
        <v>899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4" t="s">
        <v>20</v>
      </c>
      <c r="B9" s="25">
        <v>6.23157516497E11</v>
      </c>
      <c r="C9" s="24" t="s">
        <v>11</v>
      </c>
      <c r="D9" s="24" t="s">
        <v>12</v>
      </c>
      <c r="E9" s="24" t="s">
        <v>9</v>
      </c>
      <c r="F9" s="26">
        <v>2580.0</v>
      </c>
      <c r="G9" s="26" t="s">
        <v>74</v>
      </c>
      <c r="H9" s="26" t="s">
        <v>900</v>
      </c>
      <c r="I9" s="26" t="s">
        <v>901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4" t="s">
        <v>21</v>
      </c>
      <c r="B10" s="25">
        <v>6.34163474745E11</v>
      </c>
      <c r="C10" s="24" t="s">
        <v>11</v>
      </c>
      <c r="D10" s="24" t="s">
        <v>12</v>
      </c>
      <c r="E10" s="24" t="s">
        <v>9</v>
      </c>
      <c r="F10" s="26">
        <v>2722.0</v>
      </c>
      <c r="G10" s="26" t="s">
        <v>902</v>
      </c>
      <c r="H10" s="26" t="s">
        <v>903</v>
      </c>
      <c r="I10" s="26" t="s">
        <v>904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4" t="s">
        <v>22</v>
      </c>
      <c r="B11" s="25">
        <v>1.94190610534E11</v>
      </c>
      <c r="C11" s="24" t="s">
        <v>11</v>
      </c>
      <c r="D11" s="24" t="s">
        <v>12</v>
      </c>
      <c r="E11" s="24" t="s">
        <v>13</v>
      </c>
      <c r="F11" s="26">
        <v>2757.0</v>
      </c>
      <c r="G11" s="26" t="s">
        <v>905</v>
      </c>
      <c r="H11" s="26" t="s">
        <v>906</v>
      </c>
      <c r="I11" s="26" t="s">
        <v>907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4" t="s">
        <v>23</v>
      </c>
      <c r="B12" s="25">
        <v>1.48126371346E11</v>
      </c>
      <c r="C12" s="24" t="s">
        <v>11</v>
      </c>
      <c r="D12" s="24" t="s">
        <v>12</v>
      </c>
      <c r="E12" s="24" t="s">
        <v>13</v>
      </c>
      <c r="F12" s="26">
        <v>2745.0</v>
      </c>
      <c r="G12" s="26" t="s">
        <v>74</v>
      </c>
      <c r="H12" s="26" t="s">
        <v>908</v>
      </c>
      <c r="I12" s="26" t="s">
        <v>909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4" t="s">
        <v>24</v>
      </c>
      <c r="B13" s="25">
        <v>5.3018978463E11</v>
      </c>
      <c r="C13" s="24" t="s">
        <v>11</v>
      </c>
      <c r="D13" s="24" t="s">
        <v>25</v>
      </c>
      <c r="E13" s="24" t="s">
        <v>9</v>
      </c>
      <c r="F13" s="27" t="s">
        <v>910</v>
      </c>
      <c r="G13" s="26" t="s">
        <v>891</v>
      </c>
      <c r="H13" s="26" t="s">
        <v>911</v>
      </c>
      <c r="I13" s="26" t="s">
        <v>912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4" t="s">
        <v>26</v>
      </c>
      <c r="B14" s="25">
        <v>6.03187625747E11</v>
      </c>
      <c r="C14" s="24" t="s">
        <v>11</v>
      </c>
      <c r="D14" s="24" t="s">
        <v>25</v>
      </c>
      <c r="E14" s="24" t="s">
        <v>9</v>
      </c>
      <c r="F14" s="27" t="s">
        <v>913</v>
      </c>
      <c r="G14" s="26"/>
      <c r="H14" s="26" t="s">
        <v>914</v>
      </c>
      <c r="I14" s="26" t="s">
        <v>915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4" t="s">
        <v>27</v>
      </c>
      <c r="B15" s="25">
        <v>8.65121843486E11</v>
      </c>
      <c r="C15" s="24" t="s">
        <v>11</v>
      </c>
      <c r="D15" s="24" t="s">
        <v>25</v>
      </c>
      <c r="E15" s="24" t="s">
        <v>9</v>
      </c>
      <c r="F15" s="25">
        <v>2244.0</v>
      </c>
      <c r="G15" s="26"/>
      <c r="H15" s="26" t="s">
        <v>916</v>
      </c>
      <c r="I15" s="26" t="s">
        <v>917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4" t="s">
        <v>28</v>
      </c>
      <c r="B16" s="25">
        <v>7.58108752769E11</v>
      </c>
      <c r="C16" s="24" t="s">
        <v>11</v>
      </c>
      <c r="D16" s="24" t="s">
        <v>25</v>
      </c>
      <c r="E16" s="24" t="s">
        <v>9</v>
      </c>
      <c r="F16" s="26">
        <v>2337.0</v>
      </c>
      <c r="G16" s="26"/>
      <c r="H16" s="26" t="s">
        <v>918</v>
      </c>
      <c r="I16" s="26" t="s">
        <v>919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4" t="s">
        <v>29</v>
      </c>
      <c r="B17" s="25">
        <v>4.26167021594E11</v>
      </c>
      <c r="C17" s="24" t="s">
        <v>11</v>
      </c>
      <c r="D17" s="24" t="s">
        <v>25</v>
      </c>
      <c r="E17" s="24" t="s">
        <v>9</v>
      </c>
      <c r="F17" s="26">
        <v>2519.0</v>
      </c>
      <c r="G17" s="26" t="s">
        <v>920</v>
      </c>
      <c r="H17" s="26" t="s">
        <v>921</v>
      </c>
      <c r="I17" s="26" t="s">
        <v>922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4" t="s">
        <v>30</v>
      </c>
      <c r="B18" s="25">
        <v>9.15139613231E11</v>
      </c>
      <c r="C18" s="24" t="s">
        <v>11</v>
      </c>
      <c r="D18" s="24" t="s">
        <v>25</v>
      </c>
      <c r="E18" s="24" t="s">
        <v>13</v>
      </c>
      <c r="F18" s="26">
        <v>2422.0</v>
      </c>
      <c r="G18" s="26" t="s">
        <v>923</v>
      </c>
      <c r="H18" s="26" t="s">
        <v>924</v>
      </c>
      <c r="I18" s="26" t="s">
        <v>925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4" t="s">
        <v>31</v>
      </c>
      <c r="B19" s="25">
        <v>5.98135839671E11</v>
      </c>
      <c r="C19" s="24" t="s">
        <v>11</v>
      </c>
      <c r="D19" s="24" t="s">
        <v>25</v>
      </c>
      <c r="E19" s="24" t="s">
        <v>9</v>
      </c>
      <c r="F19" s="26">
        <v>2493.0</v>
      </c>
      <c r="G19" s="26" t="s">
        <v>891</v>
      </c>
      <c r="H19" s="26" t="s">
        <v>926</v>
      </c>
      <c r="I19" s="26" t="s">
        <v>927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 t="s">
        <v>32</v>
      </c>
      <c r="B20" s="25">
        <v>6.9513970838E11</v>
      </c>
      <c r="C20" s="24" t="s">
        <v>11</v>
      </c>
      <c r="D20" s="24" t="s">
        <v>25</v>
      </c>
      <c r="E20" s="24" t="s">
        <v>9</v>
      </c>
      <c r="F20" s="26">
        <v>2614.0</v>
      </c>
      <c r="G20" s="26" t="s">
        <v>891</v>
      </c>
      <c r="H20" s="26" t="s">
        <v>928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4" t="s">
        <v>33</v>
      </c>
      <c r="B21" s="25">
        <v>9.67160462696E11</v>
      </c>
      <c r="C21" s="24" t="s">
        <v>11</v>
      </c>
      <c r="D21" s="24" t="s">
        <v>25</v>
      </c>
      <c r="E21" s="24" t="s">
        <v>9</v>
      </c>
      <c r="F21" s="26">
        <v>2643.0</v>
      </c>
      <c r="G21" s="26" t="s">
        <v>929</v>
      </c>
      <c r="H21" s="26" t="s">
        <v>930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4" t="s">
        <v>34</v>
      </c>
      <c r="B22" s="25">
        <v>1.3517896535E11</v>
      </c>
      <c r="C22" s="24" t="s">
        <v>11</v>
      </c>
      <c r="D22" s="24" t="s">
        <v>25</v>
      </c>
      <c r="E22" s="24" t="s">
        <v>35</v>
      </c>
      <c r="F22" s="26">
        <v>2642.0</v>
      </c>
      <c r="G22" s="26" t="s">
        <v>929</v>
      </c>
      <c r="H22" s="26" t="s">
        <v>931</v>
      </c>
      <c r="I22" s="26" t="s">
        <v>932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4" t="s">
        <v>36</v>
      </c>
      <c r="B23" s="25">
        <v>9.30131871381E11</v>
      </c>
      <c r="C23" s="24" t="s">
        <v>11</v>
      </c>
      <c r="D23" s="24" t="s">
        <v>25</v>
      </c>
      <c r="E23" s="24" t="s">
        <v>9</v>
      </c>
      <c r="F23" s="26">
        <v>2715.0</v>
      </c>
      <c r="G23" s="26" t="s">
        <v>933</v>
      </c>
      <c r="H23" s="26" t="s">
        <v>934</v>
      </c>
      <c r="I23" s="26">
        <v>1.013586544E9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4" t="s">
        <v>37</v>
      </c>
      <c r="B24" s="25">
        <v>2.08148393089E11</v>
      </c>
      <c r="C24" s="24" t="s">
        <v>11</v>
      </c>
      <c r="D24" s="24" t="s">
        <v>25</v>
      </c>
      <c r="E24" s="24" t="s">
        <v>9</v>
      </c>
      <c r="F24" s="26">
        <v>2695.0</v>
      </c>
      <c r="G24" s="26" t="s">
        <v>929</v>
      </c>
      <c r="H24" s="26" t="s">
        <v>935</v>
      </c>
      <c r="I24" s="26" t="s">
        <v>936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4" t="s">
        <v>38</v>
      </c>
      <c r="B25" s="25">
        <v>4.06159296081E11</v>
      </c>
      <c r="C25" s="24" t="s">
        <v>11</v>
      </c>
      <c r="D25" s="24" t="s">
        <v>25</v>
      </c>
      <c r="E25" s="24" t="s">
        <v>9</v>
      </c>
      <c r="F25" s="26">
        <v>2730.0</v>
      </c>
      <c r="G25" s="26" t="s">
        <v>905</v>
      </c>
      <c r="H25" s="26" t="s">
        <v>937</v>
      </c>
      <c r="I25" s="26" t="s">
        <v>938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4" t="s">
        <v>39</v>
      </c>
      <c r="B26" s="25">
        <v>5.8617056415E11</v>
      </c>
      <c r="C26" s="24" t="s">
        <v>11</v>
      </c>
      <c r="D26" s="24" t="s">
        <v>25</v>
      </c>
      <c r="E26" s="24" t="s">
        <v>9</v>
      </c>
      <c r="F26" s="26">
        <v>2629.0</v>
      </c>
      <c r="G26" s="26" t="s">
        <v>905</v>
      </c>
      <c r="H26" s="26" t="s">
        <v>939</v>
      </c>
      <c r="I26" s="26" t="s">
        <v>940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4" t="s">
        <v>40</v>
      </c>
      <c r="B27" s="25">
        <v>4.50190591429E11</v>
      </c>
      <c r="C27" s="24" t="s">
        <v>11</v>
      </c>
      <c r="D27" s="24" t="s">
        <v>25</v>
      </c>
      <c r="E27" s="24" t="s">
        <v>9</v>
      </c>
      <c r="F27" s="26">
        <v>2781.0</v>
      </c>
      <c r="G27" s="26" t="s">
        <v>905</v>
      </c>
      <c r="H27" s="26" t="s">
        <v>941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4" t="s">
        <v>41</v>
      </c>
      <c r="B28" s="25">
        <v>6.18168909236E11</v>
      </c>
      <c r="C28" s="24" t="s">
        <v>11</v>
      </c>
      <c r="D28" s="24" t="s">
        <v>25</v>
      </c>
      <c r="E28" s="24" t="s">
        <v>9</v>
      </c>
      <c r="F28" s="26">
        <v>2784.0</v>
      </c>
      <c r="G28" s="26" t="s">
        <v>902</v>
      </c>
      <c r="H28" s="26" t="s">
        <v>942</v>
      </c>
      <c r="I28" s="26" t="s">
        <v>943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4" t="s">
        <v>42</v>
      </c>
      <c r="B29" s="25">
        <v>7.29171317072E11</v>
      </c>
      <c r="C29" s="24" t="s">
        <v>11</v>
      </c>
      <c r="D29" s="24" t="s">
        <v>25</v>
      </c>
      <c r="E29" s="24" t="s">
        <v>9</v>
      </c>
      <c r="F29" s="26">
        <v>2771.0</v>
      </c>
      <c r="G29" s="26" t="s">
        <v>902</v>
      </c>
      <c r="H29" s="26" t="s">
        <v>944</v>
      </c>
      <c r="I29" s="26" t="s">
        <v>945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4" t="s">
        <v>43</v>
      </c>
      <c r="B30" s="25">
        <v>8.98178084762E11</v>
      </c>
      <c r="C30" s="24" t="s">
        <v>11</v>
      </c>
      <c r="D30" s="24" t="s">
        <v>25</v>
      </c>
      <c r="E30" s="25" t="s">
        <v>9</v>
      </c>
      <c r="F30" s="26">
        <v>2783.0</v>
      </c>
      <c r="G30" s="26" t="s">
        <v>902</v>
      </c>
      <c r="H30" s="26" t="s">
        <v>946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4" t="s">
        <v>44</v>
      </c>
      <c r="B31" s="25">
        <v>1.93161234392E11</v>
      </c>
      <c r="C31" s="24" t="s">
        <v>11</v>
      </c>
      <c r="D31" s="24" t="s">
        <v>25</v>
      </c>
      <c r="E31" s="24" t="s">
        <v>35</v>
      </c>
      <c r="F31" s="26">
        <v>2779.0</v>
      </c>
      <c r="G31" s="26" t="s">
        <v>74</v>
      </c>
      <c r="H31" s="26" t="s">
        <v>947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4" t="s">
        <v>45</v>
      </c>
      <c r="B32" s="25">
        <v>4.39182479634E11</v>
      </c>
      <c r="C32" s="24" t="s">
        <v>11</v>
      </c>
      <c r="D32" s="24" t="s">
        <v>25</v>
      </c>
      <c r="E32" s="24" t="s">
        <v>9</v>
      </c>
      <c r="F32" s="26">
        <v>2807.0</v>
      </c>
      <c r="G32" s="26" t="s">
        <v>905</v>
      </c>
      <c r="H32" s="26" t="s">
        <v>948</v>
      </c>
      <c r="I32" s="26" t="s">
        <v>949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4" t="s">
        <v>46</v>
      </c>
      <c r="B33" s="25">
        <v>3.63152838573E11</v>
      </c>
      <c r="C33" s="24" t="s">
        <v>11</v>
      </c>
      <c r="D33" s="24" t="s">
        <v>47</v>
      </c>
      <c r="E33" s="24" t="s">
        <v>9</v>
      </c>
      <c r="F33" s="27" t="s">
        <v>950</v>
      </c>
      <c r="G33" s="26"/>
      <c r="H33" s="26" t="s">
        <v>951</v>
      </c>
      <c r="I33" s="26" t="s">
        <v>952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4" t="s">
        <v>48</v>
      </c>
      <c r="B34" s="25">
        <v>6.28128564178E11</v>
      </c>
      <c r="C34" s="24" t="s">
        <v>11</v>
      </c>
      <c r="D34" s="24" t="s">
        <v>47</v>
      </c>
      <c r="E34" s="24" t="s">
        <v>9</v>
      </c>
      <c r="F34" s="27" t="s">
        <v>953</v>
      </c>
      <c r="G34" s="26"/>
      <c r="H34" s="26" t="s">
        <v>954</v>
      </c>
      <c r="I34" s="26" t="s">
        <v>955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4" t="s">
        <v>49</v>
      </c>
      <c r="B35" s="25">
        <v>8.32181306187E11</v>
      </c>
      <c r="C35" s="24" t="s">
        <v>11</v>
      </c>
      <c r="D35" s="24" t="s">
        <v>47</v>
      </c>
      <c r="E35" s="25" t="s">
        <v>9</v>
      </c>
      <c r="F35" s="26">
        <v>2436.0</v>
      </c>
      <c r="G35" s="26" t="s">
        <v>902</v>
      </c>
      <c r="H35" s="26" t="s">
        <v>956</v>
      </c>
      <c r="I35" s="26" t="s">
        <v>957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4" t="s">
        <v>50</v>
      </c>
      <c r="B36" s="25">
        <v>6.17181867475E11</v>
      </c>
      <c r="C36" s="24" t="s">
        <v>11</v>
      </c>
      <c r="D36" s="24" t="s">
        <v>47</v>
      </c>
      <c r="E36" s="24" t="s">
        <v>9</v>
      </c>
      <c r="F36" s="26">
        <v>2428.0</v>
      </c>
      <c r="G36" s="26" t="s">
        <v>902</v>
      </c>
      <c r="H36" s="26" t="s">
        <v>958</v>
      </c>
      <c r="I36" s="26" t="s">
        <v>959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4" t="s">
        <v>51</v>
      </c>
      <c r="B37" s="25">
        <v>9.57197456092E11</v>
      </c>
      <c r="C37" s="24" t="s">
        <v>11</v>
      </c>
      <c r="D37" s="24" t="s">
        <v>47</v>
      </c>
      <c r="E37" s="24" t="s">
        <v>9</v>
      </c>
      <c r="F37" s="26">
        <v>2427.0</v>
      </c>
      <c r="G37" s="26" t="s">
        <v>74</v>
      </c>
      <c r="H37" s="26" t="s">
        <v>960</v>
      </c>
      <c r="I37" s="26" t="s">
        <v>961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4" t="s">
        <v>52</v>
      </c>
      <c r="B38" s="25">
        <v>8.96191427156E11</v>
      </c>
      <c r="C38" s="24" t="s">
        <v>11</v>
      </c>
      <c r="D38" s="24" t="s">
        <v>47</v>
      </c>
      <c r="E38" s="24" t="s">
        <v>9</v>
      </c>
      <c r="F38" s="26">
        <v>2440.0</v>
      </c>
      <c r="G38" s="26" t="s">
        <v>74</v>
      </c>
      <c r="H38" s="26" t="s">
        <v>962</v>
      </c>
      <c r="I38" s="26" t="s">
        <v>963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4" t="s">
        <v>53</v>
      </c>
      <c r="B39" s="25">
        <v>3.0414968757E11</v>
      </c>
      <c r="C39" s="24" t="s">
        <v>11</v>
      </c>
      <c r="D39" s="24" t="s">
        <v>47</v>
      </c>
      <c r="E39" s="24" t="s">
        <v>9</v>
      </c>
      <c r="F39" s="26">
        <v>2454.0</v>
      </c>
      <c r="G39" s="26" t="s">
        <v>74</v>
      </c>
      <c r="H39" s="26" t="s">
        <v>964</v>
      </c>
      <c r="I39" s="26" t="s">
        <v>965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4" t="s">
        <v>54</v>
      </c>
      <c r="B40" s="25">
        <v>5.90135797239E11</v>
      </c>
      <c r="C40" s="24" t="s">
        <v>11</v>
      </c>
      <c r="D40" s="24" t="s">
        <v>47</v>
      </c>
      <c r="E40" s="24" t="s">
        <v>9</v>
      </c>
      <c r="F40" s="26">
        <v>2447.0</v>
      </c>
      <c r="G40" s="26" t="s">
        <v>891</v>
      </c>
      <c r="H40" s="26" t="s">
        <v>966</v>
      </c>
      <c r="I40" s="26" t="s">
        <v>967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4" t="s">
        <v>55</v>
      </c>
      <c r="B41" s="25">
        <v>1.42195036319E11</v>
      </c>
      <c r="C41" s="24" t="s">
        <v>11</v>
      </c>
      <c r="D41" s="24" t="s">
        <v>47</v>
      </c>
      <c r="E41" s="24" t="s">
        <v>9</v>
      </c>
      <c r="F41" s="26">
        <v>2445.0</v>
      </c>
      <c r="G41" s="26" t="s">
        <v>902</v>
      </c>
      <c r="H41" s="26" t="s">
        <v>968</v>
      </c>
      <c r="I41" s="26" t="s">
        <v>969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4" t="s">
        <v>56</v>
      </c>
      <c r="B42" s="25">
        <v>9.27186502806E11</v>
      </c>
      <c r="C42" s="24" t="s">
        <v>11</v>
      </c>
      <c r="D42" s="24" t="s">
        <v>47</v>
      </c>
      <c r="E42" s="24" t="s">
        <v>9</v>
      </c>
      <c r="F42" s="26">
        <v>2596.0</v>
      </c>
      <c r="G42" s="26" t="s">
        <v>891</v>
      </c>
      <c r="H42" s="26" t="s">
        <v>970</v>
      </c>
      <c r="I42" s="26" t="s">
        <v>971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4" t="s">
        <v>57</v>
      </c>
      <c r="B43" s="25">
        <v>4.98123203923E11</v>
      </c>
      <c r="C43" s="24" t="s">
        <v>11</v>
      </c>
      <c r="D43" s="24" t="s">
        <v>47</v>
      </c>
      <c r="E43" s="24" t="s">
        <v>9</v>
      </c>
      <c r="F43" s="26">
        <v>2055.0</v>
      </c>
      <c r="G43" s="26" t="s">
        <v>74</v>
      </c>
      <c r="H43" s="26" t="s">
        <v>972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4" t="s">
        <v>58</v>
      </c>
      <c r="B44" s="25">
        <v>2.0616464079E11</v>
      </c>
      <c r="C44" s="24" t="s">
        <v>11</v>
      </c>
      <c r="D44" s="24" t="s">
        <v>47</v>
      </c>
      <c r="E44" s="24" t="s">
        <v>9</v>
      </c>
      <c r="F44" s="26">
        <v>2623.0</v>
      </c>
      <c r="G44" s="26" t="s">
        <v>902</v>
      </c>
      <c r="H44" s="26" t="s">
        <v>973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4" t="s">
        <v>59</v>
      </c>
      <c r="B45" s="25">
        <v>8.52141603272E11</v>
      </c>
      <c r="C45" s="24" t="s">
        <v>11</v>
      </c>
      <c r="D45" s="24" t="s">
        <v>60</v>
      </c>
      <c r="E45" s="24" t="s">
        <v>9</v>
      </c>
      <c r="F45" s="27" t="s">
        <v>974</v>
      </c>
      <c r="G45" s="26" t="s">
        <v>929</v>
      </c>
      <c r="H45" s="26" t="s">
        <v>975</v>
      </c>
      <c r="I45" s="26" t="s">
        <v>976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4" t="s">
        <v>61</v>
      </c>
      <c r="B46" s="25">
        <v>3.87193739376E11</v>
      </c>
      <c r="C46" s="24" t="s">
        <v>11</v>
      </c>
      <c r="D46" s="24" t="s">
        <v>60</v>
      </c>
      <c r="E46" s="24" t="s">
        <v>9</v>
      </c>
      <c r="F46" s="27" t="s">
        <v>977</v>
      </c>
      <c r="G46" s="26" t="s">
        <v>978</v>
      </c>
      <c r="H46" s="26" t="s">
        <v>979</v>
      </c>
      <c r="I46" s="26" t="s">
        <v>980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4" t="s">
        <v>62</v>
      </c>
      <c r="B47" s="25">
        <v>1.6217057696E11</v>
      </c>
      <c r="C47" s="24" t="s">
        <v>11</v>
      </c>
      <c r="D47" s="24" t="s">
        <v>63</v>
      </c>
      <c r="E47" s="24" t="s">
        <v>9</v>
      </c>
      <c r="F47" s="27" t="s">
        <v>981</v>
      </c>
      <c r="G47" s="26"/>
      <c r="H47" s="26" t="s">
        <v>982</v>
      </c>
      <c r="I47" s="26" t="s">
        <v>983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4" t="s">
        <v>64</v>
      </c>
      <c r="B48" s="25">
        <v>7.97175802139E11</v>
      </c>
      <c r="C48" s="24" t="s">
        <v>11</v>
      </c>
      <c r="D48" s="24" t="s">
        <v>63</v>
      </c>
      <c r="E48" s="24" t="s">
        <v>9</v>
      </c>
      <c r="F48" s="27" t="s">
        <v>984</v>
      </c>
      <c r="G48" s="26"/>
      <c r="H48" s="26" t="s">
        <v>985</v>
      </c>
      <c r="I48" s="26" t="s">
        <v>986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4" t="s">
        <v>65</v>
      </c>
      <c r="B49" s="25">
        <v>3.74143640395E11</v>
      </c>
      <c r="C49" s="24" t="s">
        <v>11</v>
      </c>
      <c r="D49" s="24" t="s">
        <v>63</v>
      </c>
      <c r="E49" s="24" t="s">
        <v>9</v>
      </c>
      <c r="F49" s="26">
        <v>2473.0</v>
      </c>
      <c r="G49" s="26" t="s">
        <v>902</v>
      </c>
      <c r="H49" s="26" t="s">
        <v>987</v>
      </c>
      <c r="I49" s="26" t="s">
        <v>988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4" t="s">
        <v>66</v>
      </c>
      <c r="B50" s="25">
        <v>3.18195473726E11</v>
      </c>
      <c r="C50" s="24" t="s">
        <v>11</v>
      </c>
      <c r="D50" s="24" t="s">
        <v>63</v>
      </c>
      <c r="E50" s="25" t="s">
        <v>9</v>
      </c>
      <c r="F50" s="26">
        <v>2072.0</v>
      </c>
      <c r="G50" s="26" t="s">
        <v>74</v>
      </c>
      <c r="H50" s="26" t="s">
        <v>989</v>
      </c>
      <c r="I50" s="26" t="s">
        <v>990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4" t="s">
        <v>67</v>
      </c>
      <c r="B51" s="25">
        <v>3.10146136271E11</v>
      </c>
      <c r="C51" s="24" t="s">
        <v>11</v>
      </c>
      <c r="D51" s="24" t="s">
        <v>63</v>
      </c>
      <c r="E51" s="24" t="s">
        <v>13</v>
      </c>
      <c r="F51" s="26">
        <v>2702.0</v>
      </c>
      <c r="G51" s="26" t="s">
        <v>902</v>
      </c>
      <c r="H51" s="26" t="s">
        <v>991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4" t="s">
        <v>68</v>
      </c>
      <c r="B52" s="25">
        <v>3.76107598539E11</v>
      </c>
      <c r="C52" s="24" t="s">
        <v>11</v>
      </c>
      <c r="D52" s="24" t="s">
        <v>69</v>
      </c>
      <c r="E52" s="24" t="s">
        <v>9</v>
      </c>
      <c r="F52" s="27" t="s">
        <v>992</v>
      </c>
      <c r="G52" s="26" t="s">
        <v>902</v>
      </c>
      <c r="H52" s="26" t="s">
        <v>993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4" t="s">
        <v>70</v>
      </c>
      <c r="B53" s="25">
        <v>5.3816086131E11</v>
      </c>
      <c r="C53" s="24" t="s">
        <v>11</v>
      </c>
      <c r="D53" s="24" t="s">
        <v>69</v>
      </c>
      <c r="E53" s="24" t="s">
        <v>9</v>
      </c>
      <c r="F53" s="27" t="s">
        <v>994</v>
      </c>
      <c r="G53" s="26" t="s">
        <v>74</v>
      </c>
      <c r="H53" s="26" t="s">
        <v>995</v>
      </c>
      <c r="I53" s="26" t="s">
        <v>996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4" t="s">
        <v>71</v>
      </c>
      <c r="B54" s="25">
        <v>4.86125208283E11</v>
      </c>
      <c r="C54" s="24" t="s">
        <v>11</v>
      </c>
      <c r="D54" s="24" t="s">
        <v>69</v>
      </c>
      <c r="E54" s="24" t="s">
        <v>9</v>
      </c>
      <c r="F54" s="27" t="s">
        <v>997</v>
      </c>
      <c r="G54" s="26" t="s">
        <v>902</v>
      </c>
      <c r="H54" s="26" t="s">
        <v>998</v>
      </c>
      <c r="I54" s="26" t="s">
        <v>999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4" t="s">
        <v>72</v>
      </c>
      <c r="B55" s="25">
        <v>6.89140818514E11</v>
      </c>
      <c r="C55" s="24" t="s">
        <v>11</v>
      </c>
      <c r="D55" s="24" t="s">
        <v>69</v>
      </c>
      <c r="E55" s="24" t="s">
        <v>9</v>
      </c>
      <c r="F55" s="27" t="s">
        <v>1000</v>
      </c>
      <c r="G55" s="26" t="s">
        <v>902</v>
      </c>
      <c r="H55" s="26" t="s">
        <v>1001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4" t="s">
        <v>73</v>
      </c>
      <c r="B56" s="25">
        <v>9.48108182631E11</v>
      </c>
      <c r="C56" s="24" t="s">
        <v>11</v>
      </c>
      <c r="D56" s="24" t="s">
        <v>69</v>
      </c>
      <c r="E56" s="24" t="s">
        <v>9</v>
      </c>
      <c r="F56" s="27" t="s">
        <v>1002</v>
      </c>
      <c r="G56" s="25" t="s">
        <v>74</v>
      </c>
      <c r="H56" s="26" t="s">
        <v>1003</v>
      </c>
      <c r="I56" s="26" t="s">
        <v>1004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4" t="s">
        <v>75</v>
      </c>
      <c r="B57" s="25">
        <v>2.15195154738E11</v>
      </c>
      <c r="C57" s="24" t="s">
        <v>11</v>
      </c>
      <c r="D57" s="24" t="s">
        <v>69</v>
      </c>
      <c r="E57" s="24" t="s">
        <v>9</v>
      </c>
      <c r="F57" s="26">
        <v>2441.0</v>
      </c>
      <c r="G57" s="26" t="s">
        <v>74</v>
      </c>
      <c r="H57" s="26" t="s">
        <v>1005</v>
      </c>
      <c r="I57" s="26" t="s">
        <v>1006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4" t="s">
        <v>76</v>
      </c>
      <c r="B58" s="25">
        <v>2.5717687148E11</v>
      </c>
      <c r="C58" s="24" t="s">
        <v>11</v>
      </c>
      <c r="D58" s="24" t="s">
        <v>69</v>
      </c>
      <c r="E58" s="24" t="s">
        <v>9</v>
      </c>
      <c r="F58" s="26">
        <v>2461.0</v>
      </c>
      <c r="G58" s="26" t="s">
        <v>74</v>
      </c>
      <c r="H58" s="26" t="s">
        <v>1007</v>
      </c>
      <c r="I58" s="26" t="s">
        <v>1008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4" t="s">
        <v>77</v>
      </c>
      <c r="B59" s="25">
        <v>1.83129070275E11</v>
      </c>
      <c r="C59" s="24" t="s">
        <v>11</v>
      </c>
      <c r="D59" s="24" t="s">
        <v>69</v>
      </c>
      <c r="E59" s="24" t="s">
        <v>9</v>
      </c>
      <c r="F59" s="26">
        <v>2458.0</v>
      </c>
      <c r="G59" s="26" t="s">
        <v>74</v>
      </c>
      <c r="H59" s="26" t="s">
        <v>1009</v>
      </c>
      <c r="I59" s="26" t="s">
        <v>1010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4" t="s">
        <v>78</v>
      </c>
      <c r="B60" s="25">
        <v>5.73149872824E11</v>
      </c>
      <c r="C60" s="24" t="s">
        <v>11</v>
      </c>
      <c r="D60" s="24" t="s">
        <v>69</v>
      </c>
      <c r="E60" s="24" t="s">
        <v>9</v>
      </c>
      <c r="F60" s="26">
        <v>2491.0</v>
      </c>
      <c r="G60" s="26" t="s">
        <v>74</v>
      </c>
      <c r="H60" s="26" t="s">
        <v>1011</v>
      </c>
      <c r="I60" s="26" t="s">
        <v>1012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4" t="s">
        <v>79</v>
      </c>
      <c r="B61" s="25">
        <v>9.74169434219E11</v>
      </c>
      <c r="C61" s="24" t="s">
        <v>11</v>
      </c>
      <c r="D61" s="24" t="s">
        <v>69</v>
      </c>
      <c r="E61" s="25" t="s">
        <v>9</v>
      </c>
      <c r="F61" s="26">
        <v>2448.0</v>
      </c>
      <c r="G61" s="26" t="s">
        <v>74</v>
      </c>
      <c r="H61" s="26" t="s">
        <v>1013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4" t="s">
        <v>80</v>
      </c>
      <c r="B62" s="25">
        <v>5.74161321575E11</v>
      </c>
      <c r="C62" s="24" t="s">
        <v>11</v>
      </c>
      <c r="D62" s="24" t="s">
        <v>69</v>
      </c>
      <c r="E62" s="24" t="s">
        <v>9</v>
      </c>
      <c r="F62" s="26">
        <v>2581.0</v>
      </c>
      <c r="G62" s="26" t="s">
        <v>74</v>
      </c>
      <c r="H62" s="26" t="s">
        <v>1014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4" t="s">
        <v>81</v>
      </c>
      <c r="B63" s="25">
        <v>8.79135754897E11</v>
      </c>
      <c r="C63" s="24" t="s">
        <v>11</v>
      </c>
      <c r="D63" s="24" t="s">
        <v>69</v>
      </c>
      <c r="E63" s="24" t="s">
        <v>9</v>
      </c>
      <c r="F63" s="26">
        <v>2619.0</v>
      </c>
      <c r="G63" s="26" t="s">
        <v>74</v>
      </c>
      <c r="H63" s="26" t="s">
        <v>1015</v>
      </c>
      <c r="I63" s="26" t="s">
        <v>1016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4" t="s">
        <v>82</v>
      </c>
      <c r="B64" s="25">
        <v>8.6516379352E11</v>
      </c>
      <c r="C64" s="24" t="s">
        <v>11</v>
      </c>
      <c r="D64" s="24" t="s">
        <v>69</v>
      </c>
      <c r="E64" s="24" t="s">
        <v>9</v>
      </c>
      <c r="F64" s="26">
        <v>2703.0</v>
      </c>
      <c r="G64" s="26" t="s">
        <v>905</v>
      </c>
      <c r="H64" s="26" t="s">
        <v>1017</v>
      </c>
      <c r="I64" s="26">
        <v>1.006108593E9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4" t="s">
        <v>83</v>
      </c>
      <c r="B65" s="25">
        <v>9.23168406232E11</v>
      </c>
      <c r="C65" s="24" t="s">
        <v>11</v>
      </c>
      <c r="D65" s="24" t="s">
        <v>69</v>
      </c>
      <c r="E65" s="24" t="s">
        <v>9</v>
      </c>
      <c r="F65" s="26">
        <v>2735.0</v>
      </c>
      <c r="G65" s="26" t="s">
        <v>902</v>
      </c>
      <c r="H65" s="26" t="s">
        <v>1018</v>
      </c>
      <c r="I65" s="26" t="s">
        <v>1019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4" t="s">
        <v>84</v>
      </c>
      <c r="B66" s="25">
        <v>7.62178172726E11</v>
      </c>
      <c r="C66" s="24" t="s">
        <v>11</v>
      </c>
      <c r="D66" s="24" t="s">
        <v>69</v>
      </c>
      <c r="E66" s="24" t="s">
        <v>9</v>
      </c>
      <c r="F66" s="26">
        <v>2720.0</v>
      </c>
      <c r="G66" s="26" t="s">
        <v>902</v>
      </c>
      <c r="H66" s="26" t="s">
        <v>1020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4" t="s">
        <v>85</v>
      </c>
      <c r="B67" s="25">
        <v>9.62134062378E11</v>
      </c>
      <c r="C67" s="24" t="s">
        <v>86</v>
      </c>
      <c r="D67" s="24" t="s">
        <v>25</v>
      </c>
      <c r="E67" s="24" t="s">
        <v>9</v>
      </c>
      <c r="F67" s="27" t="s">
        <v>1021</v>
      </c>
      <c r="G67" s="26"/>
      <c r="H67" s="26" t="s">
        <v>1022</v>
      </c>
      <c r="I67" s="26" t="s">
        <v>1023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4" t="s">
        <v>87</v>
      </c>
      <c r="B68" s="25">
        <v>4.03165323978E11</v>
      </c>
      <c r="C68" s="24" t="s">
        <v>86</v>
      </c>
      <c r="D68" s="24" t="s">
        <v>25</v>
      </c>
      <c r="E68" s="24" t="s">
        <v>9</v>
      </c>
      <c r="F68" s="27" t="s">
        <v>1024</v>
      </c>
      <c r="G68" s="26"/>
      <c r="H68" s="26" t="s">
        <v>1025</v>
      </c>
      <c r="I68" s="26" t="s">
        <v>1026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4" t="s">
        <v>88</v>
      </c>
      <c r="B69" s="25">
        <v>1.62140810204E11</v>
      </c>
      <c r="C69" s="24" t="s">
        <v>86</v>
      </c>
      <c r="D69" s="24" t="s">
        <v>25</v>
      </c>
      <c r="E69" s="24" t="s">
        <v>9</v>
      </c>
      <c r="F69" s="27" t="s">
        <v>1027</v>
      </c>
      <c r="G69" s="26"/>
      <c r="H69" s="26" t="s">
        <v>1028</v>
      </c>
      <c r="I69" s="26" t="s">
        <v>1029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4" t="s">
        <v>89</v>
      </c>
      <c r="B70" s="25">
        <v>4.57195859749E11</v>
      </c>
      <c r="C70" s="24" t="s">
        <v>86</v>
      </c>
      <c r="D70" s="24" t="s">
        <v>25</v>
      </c>
      <c r="E70" s="24" t="s">
        <v>13</v>
      </c>
      <c r="F70" s="27">
        <v>2311.0</v>
      </c>
      <c r="G70" s="26"/>
      <c r="H70" s="26" t="s">
        <v>1030</v>
      </c>
      <c r="I70" s="26" t="s">
        <v>1031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4" t="s">
        <v>90</v>
      </c>
      <c r="B71" s="25">
        <v>2.85101463697E11</v>
      </c>
      <c r="C71" s="24" t="s">
        <v>86</v>
      </c>
      <c r="D71" s="24" t="s">
        <v>25</v>
      </c>
      <c r="E71" s="24" t="s">
        <v>9</v>
      </c>
      <c r="F71" s="26">
        <v>2357.0</v>
      </c>
      <c r="G71" s="26" t="s">
        <v>1032</v>
      </c>
      <c r="H71" s="26" t="s">
        <v>1033</v>
      </c>
      <c r="I71" s="26" t="s">
        <v>1034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4" t="s">
        <v>91</v>
      </c>
      <c r="B72" s="25">
        <v>9.58105146807E11</v>
      </c>
      <c r="C72" s="24" t="s">
        <v>86</v>
      </c>
      <c r="D72" s="24" t="s">
        <v>25</v>
      </c>
      <c r="E72" s="24" t="s">
        <v>9</v>
      </c>
      <c r="F72" s="26">
        <v>2401.0</v>
      </c>
      <c r="G72" s="26" t="s">
        <v>1032</v>
      </c>
      <c r="H72" s="26" t="s">
        <v>1035</v>
      </c>
      <c r="I72" s="26" t="s">
        <v>1036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4" t="s">
        <v>92</v>
      </c>
      <c r="B73" s="25">
        <v>3.15145768378E11</v>
      </c>
      <c r="C73" s="24" t="s">
        <v>86</v>
      </c>
      <c r="D73" s="24" t="s">
        <v>25</v>
      </c>
      <c r="E73" s="24" t="s">
        <v>9</v>
      </c>
      <c r="F73" s="26">
        <v>2421.0</v>
      </c>
      <c r="G73" s="26" t="s">
        <v>1032</v>
      </c>
      <c r="H73" s="26" t="s">
        <v>1037</v>
      </c>
      <c r="I73" s="26" t="s">
        <v>1038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4" t="s">
        <v>93</v>
      </c>
      <c r="B74" s="25">
        <v>2.34189763426E11</v>
      </c>
      <c r="C74" s="24" t="s">
        <v>86</v>
      </c>
      <c r="D74" s="24" t="s">
        <v>25</v>
      </c>
      <c r="E74" s="24" t="s">
        <v>9</v>
      </c>
      <c r="F74" s="26">
        <v>2426.0</v>
      </c>
      <c r="G74" s="26" t="s">
        <v>1032</v>
      </c>
      <c r="H74" s="26" t="s">
        <v>1039</v>
      </c>
      <c r="I74" s="26" t="s">
        <v>1040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4" t="s">
        <v>94</v>
      </c>
      <c r="B75" s="25">
        <v>2.84156708018E11</v>
      </c>
      <c r="C75" s="24" t="s">
        <v>86</v>
      </c>
      <c r="D75" s="24" t="s">
        <v>25</v>
      </c>
      <c r="E75" s="24" t="s">
        <v>9</v>
      </c>
      <c r="F75" s="26">
        <v>2439.0</v>
      </c>
      <c r="G75" s="26" t="s">
        <v>1041</v>
      </c>
      <c r="H75" s="26" t="s">
        <v>1042</v>
      </c>
      <c r="I75" s="26" t="s">
        <v>1043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4" t="s">
        <v>95</v>
      </c>
      <c r="B76" s="25">
        <v>5.7410952596E11</v>
      </c>
      <c r="C76" s="24" t="s">
        <v>86</v>
      </c>
      <c r="D76" s="24" t="s">
        <v>25</v>
      </c>
      <c r="E76" s="24" t="s">
        <v>13</v>
      </c>
      <c r="F76" s="26">
        <v>2471.0</v>
      </c>
      <c r="G76" s="26" t="s">
        <v>1032</v>
      </c>
      <c r="H76" s="26" t="s">
        <v>1044</v>
      </c>
      <c r="I76" s="26" t="s">
        <v>1045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4" t="s">
        <v>96</v>
      </c>
      <c r="B77" s="25">
        <v>2.04103586289E11</v>
      </c>
      <c r="C77" s="24" t="s">
        <v>86</v>
      </c>
      <c r="D77" s="24" t="s">
        <v>25</v>
      </c>
      <c r="E77" s="24" t="s">
        <v>9</v>
      </c>
      <c r="F77" s="26">
        <v>2550.0</v>
      </c>
      <c r="G77" s="26" t="s">
        <v>1046</v>
      </c>
      <c r="H77" s="26" t="s">
        <v>1047</v>
      </c>
      <c r="I77" s="26" t="s">
        <v>1048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4" t="s">
        <v>97</v>
      </c>
      <c r="B78" s="25">
        <v>2.03175727593E11</v>
      </c>
      <c r="C78" s="24" t="s">
        <v>86</v>
      </c>
      <c r="D78" s="24" t="s">
        <v>25</v>
      </c>
      <c r="E78" s="24" t="s">
        <v>9</v>
      </c>
      <c r="F78" s="26">
        <v>2626.0</v>
      </c>
      <c r="G78" s="26" t="s">
        <v>759</v>
      </c>
      <c r="H78" s="26" t="s">
        <v>1049</v>
      </c>
      <c r="I78" s="26" t="s">
        <v>1050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4" t="s">
        <v>98</v>
      </c>
      <c r="B79" s="25">
        <v>2.76184302392E11</v>
      </c>
      <c r="C79" s="24" t="s">
        <v>86</v>
      </c>
      <c r="D79" s="24" t="s">
        <v>25</v>
      </c>
      <c r="E79" s="24" t="s">
        <v>9</v>
      </c>
      <c r="F79" s="26">
        <v>2557.0</v>
      </c>
      <c r="G79" s="26" t="s">
        <v>759</v>
      </c>
      <c r="H79" s="26" t="s">
        <v>1051</v>
      </c>
      <c r="I79" s="26" t="s">
        <v>1052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4" t="s">
        <v>99</v>
      </c>
      <c r="B80" s="25">
        <v>1.6518527362E11</v>
      </c>
      <c r="C80" s="24" t="s">
        <v>86</v>
      </c>
      <c r="D80" s="24" t="s">
        <v>25</v>
      </c>
      <c r="E80" s="24" t="s">
        <v>9</v>
      </c>
      <c r="F80" s="26">
        <v>2617.0</v>
      </c>
      <c r="G80" s="26" t="s">
        <v>1032</v>
      </c>
      <c r="H80" s="26" t="s">
        <v>1053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4" t="s">
        <v>100</v>
      </c>
      <c r="B81" s="25">
        <v>4.94132147854E11</v>
      </c>
      <c r="C81" s="24" t="s">
        <v>86</v>
      </c>
      <c r="D81" s="24" t="s">
        <v>25</v>
      </c>
      <c r="E81" s="24" t="s">
        <v>9</v>
      </c>
      <c r="F81" s="26">
        <v>2644.0</v>
      </c>
      <c r="G81" s="26" t="s">
        <v>1032</v>
      </c>
      <c r="H81" s="26" t="s">
        <v>1054</v>
      </c>
      <c r="I81" s="26" t="s">
        <v>1055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4" t="s">
        <v>101</v>
      </c>
      <c r="B82" s="25">
        <v>1.79182107469E11</v>
      </c>
      <c r="C82" s="24" t="s">
        <v>86</v>
      </c>
      <c r="D82" s="24" t="s">
        <v>25</v>
      </c>
      <c r="E82" s="24" t="s">
        <v>9</v>
      </c>
      <c r="F82" s="26">
        <v>2676.0</v>
      </c>
      <c r="G82" s="26" t="s">
        <v>759</v>
      </c>
      <c r="H82" s="26" t="s">
        <v>1056</v>
      </c>
      <c r="I82" s="26" t="s">
        <v>1057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4" t="s">
        <v>102</v>
      </c>
      <c r="B83" s="25">
        <v>3.90140483239E11</v>
      </c>
      <c r="C83" s="24" t="s">
        <v>86</v>
      </c>
      <c r="D83" s="24" t="s">
        <v>25</v>
      </c>
      <c r="E83" s="24" t="s">
        <v>9</v>
      </c>
      <c r="F83" s="26">
        <v>2671.0</v>
      </c>
      <c r="G83" s="26" t="s">
        <v>759</v>
      </c>
      <c r="H83" s="26" t="s">
        <v>1058</v>
      </c>
      <c r="I83" s="26" t="s">
        <v>1059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4" t="s">
        <v>103</v>
      </c>
      <c r="B84" s="25">
        <v>3.02164164286E11</v>
      </c>
      <c r="C84" s="24" t="s">
        <v>86</v>
      </c>
      <c r="D84" s="24" t="s">
        <v>25</v>
      </c>
      <c r="E84" s="25" t="s">
        <v>9</v>
      </c>
      <c r="F84" s="26">
        <v>2685.0</v>
      </c>
      <c r="G84" s="26" t="s">
        <v>1060</v>
      </c>
      <c r="H84" s="26" t="s">
        <v>1061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4" t="s">
        <v>104</v>
      </c>
      <c r="B85" s="25">
        <v>1.02186959703E11</v>
      </c>
      <c r="C85" s="24" t="s">
        <v>86</v>
      </c>
      <c r="D85" s="24" t="s">
        <v>25</v>
      </c>
      <c r="E85" s="25" t="s">
        <v>9</v>
      </c>
      <c r="F85" s="26">
        <v>2684.0</v>
      </c>
      <c r="G85" s="26" t="s">
        <v>1062</v>
      </c>
      <c r="H85" s="26" t="s">
        <v>1063</v>
      </c>
      <c r="I85" s="26" t="s">
        <v>1064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4" t="s">
        <v>105</v>
      </c>
      <c r="B86" s="25">
        <v>4.35167307015E11</v>
      </c>
      <c r="C86" s="24" t="s">
        <v>86</v>
      </c>
      <c r="D86" s="24" t="s">
        <v>25</v>
      </c>
      <c r="E86" s="24" t="s">
        <v>35</v>
      </c>
      <c r="F86" s="26">
        <v>2723.0</v>
      </c>
      <c r="G86" s="26" t="s">
        <v>759</v>
      </c>
      <c r="H86" s="26" t="s">
        <v>1065</v>
      </c>
      <c r="I86" s="26" t="s">
        <v>1066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4" t="s">
        <v>106</v>
      </c>
      <c r="B87" s="25">
        <v>2.1917804163E11</v>
      </c>
      <c r="C87" s="24" t="s">
        <v>86</v>
      </c>
      <c r="D87" s="24" t="s">
        <v>25</v>
      </c>
      <c r="E87" s="25" t="s">
        <v>9</v>
      </c>
      <c r="F87" s="26">
        <v>2686.0</v>
      </c>
      <c r="G87" s="26" t="s">
        <v>1067</v>
      </c>
      <c r="H87" s="26" t="s">
        <v>1068</v>
      </c>
      <c r="I87" s="26" t="s">
        <v>1069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4" t="s">
        <v>107</v>
      </c>
      <c r="B88" s="25">
        <v>6.43120708265E11</v>
      </c>
      <c r="C88" s="24" t="s">
        <v>86</v>
      </c>
      <c r="D88" s="24" t="s">
        <v>25</v>
      </c>
      <c r="E88" s="24" t="s">
        <v>9</v>
      </c>
      <c r="F88" s="26">
        <v>2698.0</v>
      </c>
      <c r="G88" s="26" t="s">
        <v>1032</v>
      </c>
      <c r="H88" s="26" t="s">
        <v>1070</v>
      </c>
      <c r="I88" s="26" t="s">
        <v>1071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4" t="s">
        <v>108</v>
      </c>
      <c r="B89" s="25">
        <v>4.24185416756E11</v>
      </c>
      <c r="C89" s="24" t="s">
        <v>86</v>
      </c>
      <c r="D89" s="24" t="s">
        <v>25</v>
      </c>
      <c r="E89" s="24" t="s">
        <v>13</v>
      </c>
      <c r="F89" s="26">
        <v>2693.0</v>
      </c>
      <c r="G89" s="26" t="s">
        <v>759</v>
      </c>
      <c r="H89" s="26" t="s">
        <v>1072</v>
      </c>
      <c r="I89" s="26" t="s">
        <v>1073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4" t="s">
        <v>109</v>
      </c>
      <c r="B90" s="25">
        <v>9.53168381683E11</v>
      </c>
      <c r="C90" s="24" t="s">
        <v>86</v>
      </c>
      <c r="D90" s="24" t="s">
        <v>25</v>
      </c>
      <c r="E90" s="24" t="s">
        <v>9</v>
      </c>
      <c r="F90" s="26">
        <v>2667.0</v>
      </c>
      <c r="G90" s="26" t="s">
        <v>759</v>
      </c>
      <c r="H90" s="26" t="s">
        <v>1074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4" t="s">
        <v>110</v>
      </c>
      <c r="B91" s="25">
        <v>5.48159074528E11</v>
      </c>
      <c r="C91" s="24" t="s">
        <v>86</v>
      </c>
      <c r="D91" s="24" t="s">
        <v>25</v>
      </c>
      <c r="E91" s="24" t="s">
        <v>9</v>
      </c>
      <c r="F91" s="26">
        <v>2725.0</v>
      </c>
      <c r="G91" s="26" t="s">
        <v>1075</v>
      </c>
      <c r="H91" s="26" t="s">
        <v>1076</v>
      </c>
      <c r="I91" s="26" t="s">
        <v>1077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4" t="s">
        <v>111</v>
      </c>
      <c r="B92" s="25">
        <v>7.59196045212E11</v>
      </c>
      <c r="C92" s="24" t="s">
        <v>86</v>
      </c>
      <c r="D92" s="24" t="s">
        <v>25</v>
      </c>
      <c r="E92" s="24" t="s">
        <v>9</v>
      </c>
      <c r="F92" s="26">
        <v>2751.0</v>
      </c>
      <c r="G92" s="26" t="s">
        <v>759</v>
      </c>
      <c r="H92" s="26" t="s">
        <v>1078</v>
      </c>
      <c r="I92" s="26" t="s">
        <v>1079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4" t="s">
        <v>112</v>
      </c>
      <c r="B93" s="25">
        <v>6.80125089292E11</v>
      </c>
      <c r="C93" s="24" t="s">
        <v>86</v>
      </c>
      <c r="D93" s="24" t="s">
        <v>25</v>
      </c>
      <c r="E93" s="24" t="s">
        <v>9</v>
      </c>
      <c r="F93" s="26">
        <v>2597.0</v>
      </c>
      <c r="G93" s="26" t="s">
        <v>1032</v>
      </c>
      <c r="H93" s="26" t="s">
        <v>1080</v>
      </c>
      <c r="I93" s="26" t="s">
        <v>1081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4" t="s">
        <v>113</v>
      </c>
      <c r="B94" s="25">
        <v>7.13154590107E11</v>
      </c>
      <c r="C94" s="24" t="s">
        <v>86</v>
      </c>
      <c r="D94" s="24" t="s">
        <v>25</v>
      </c>
      <c r="E94" s="24" t="s">
        <v>9</v>
      </c>
      <c r="F94" s="26">
        <v>2691.0</v>
      </c>
      <c r="G94" s="26" t="s">
        <v>759</v>
      </c>
      <c r="H94" s="26" t="s">
        <v>1082</v>
      </c>
      <c r="I94" s="26">
        <v>1.01352225E9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4" t="s">
        <v>114</v>
      </c>
      <c r="B95" s="25">
        <v>3.64193795818E11</v>
      </c>
      <c r="C95" s="24" t="s">
        <v>86</v>
      </c>
      <c r="D95" s="24" t="s">
        <v>25</v>
      </c>
      <c r="E95" s="25" t="s">
        <v>9</v>
      </c>
      <c r="F95" s="26">
        <v>2717.0</v>
      </c>
      <c r="G95" s="26" t="s">
        <v>759</v>
      </c>
      <c r="H95" s="26" t="s">
        <v>1083</v>
      </c>
      <c r="I95" s="26" t="s">
        <v>1084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4" t="s">
        <v>115</v>
      </c>
      <c r="B96" s="25">
        <v>1.08171586739E11</v>
      </c>
      <c r="C96" s="24" t="s">
        <v>86</v>
      </c>
      <c r="D96" s="24" t="s">
        <v>25</v>
      </c>
      <c r="E96" s="24" t="s">
        <v>9</v>
      </c>
      <c r="F96" s="26">
        <v>2707.0</v>
      </c>
      <c r="G96" s="26" t="s">
        <v>759</v>
      </c>
      <c r="H96" s="26" t="s">
        <v>1085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4" t="s">
        <v>116</v>
      </c>
      <c r="B97" s="25">
        <v>6.25187252525E11</v>
      </c>
      <c r="C97" s="24" t="s">
        <v>86</v>
      </c>
      <c r="D97" s="24" t="s">
        <v>25</v>
      </c>
      <c r="E97" s="25" t="s">
        <v>9</v>
      </c>
      <c r="F97" s="26">
        <v>2670.0</v>
      </c>
      <c r="G97" s="26" t="s">
        <v>1086</v>
      </c>
      <c r="H97" s="26" t="s">
        <v>1087</v>
      </c>
      <c r="I97" s="26" t="s">
        <v>1088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4" t="s">
        <v>117</v>
      </c>
      <c r="B98" s="25">
        <v>4.09109172938E11</v>
      </c>
      <c r="C98" s="24" t="s">
        <v>86</v>
      </c>
      <c r="D98" s="24" t="s">
        <v>25</v>
      </c>
      <c r="E98" s="24" t="s">
        <v>13</v>
      </c>
      <c r="F98" s="26">
        <v>2765.0</v>
      </c>
      <c r="G98" s="26" t="s">
        <v>1032</v>
      </c>
      <c r="H98" s="26" t="s">
        <v>1089</v>
      </c>
      <c r="I98" s="26" t="s">
        <v>1090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4" t="s">
        <v>118</v>
      </c>
      <c r="B99" s="25">
        <v>3.5613216753E11</v>
      </c>
      <c r="C99" s="24" t="s">
        <v>86</v>
      </c>
      <c r="D99" s="24" t="s">
        <v>25</v>
      </c>
      <c r="E99" s="24" t="s">
        <v>13</v>
      </c>
      <c r="F99" s="26">
        <v>2767.0</v>
      </c>
      <c r="G99" s="26" t="s">
        <v>1032</v>
      </c>
      <c r="H99" s="26" t="s">
        <v>1091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4" t="s">
        <v>119</v>
      </c>
      <c r="B100" s="25">
        <v>1.86143210451E11</v>
      </c>
      <c r="C100" s="24" t="s">
        <v>86</v>
      </c>
      <c r="D100" s="24" t="s">
        <v>25</v>
      </c>
      <c r="E100" s="24" t="s">
        <v>9</v>
      </c>
      <c r="F100" s="26">
        <v>2632.0</v>
      </c>
      <c r="G100" s="26" t="s">
        <v>1041</v>
      </c>
      <c r="H100" s="26" t="s">
        <v>1092</v>
      </c>
      <c r="I100" s="26" t="s">
        <v>1093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4" t="s">
        <v>120</v>
      </c>
      <c r="B101" s="25">
        <v>2.86134930682E11</v>
      </c>
      <c r="C101" s="24" t="s">
        <v>86</v>
      </c>
      <c r="D101" s="24" t="s">
        <v>25</v>
      </c>
      <c r="E101" s="24" t="s">
        <v>13</v>
      </c>
      <c r="F101" s="26">
        <v>2637.0</v>
      </c>
      <c r="G101" s="26" t="s">
        <v>1094</v>
      </c>
      <c r="H101" s="26" t="s">
        <v>1095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4" t="s">
        <v>121</v>
      </c>
      <c r="B102" s="25">
        <v>2.74128962341E11</v>
      </c>
      <c r="C102" s="24" t="s">
        <v>86</v>
      </c>
      <c r="D102" s="24" t="s">
        <v>25</v>
      </c>
      <c r="E102" s="24" t="s">
        <v>13</v>
      </c>
      <c r="F102" s="26">
        <v>2633.0</v>
      </c>
      <c r="G102" s="26" t="s">
        <v>1032</v>
      </c>
      <c r="H102" s="26" t="s">
        <v>1096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4" t="s">
        <v>122</v>
      </c>
      <c r="B103" s="25">
        <v>8.72109756075E11</v>
      </c>
      <c r="C103" s="24" t="s">
        <v>86</v>
      </c>
      <c r="D103" s="24" t="s">
        <v>25</v>
      </c>
      <c r="E103" s="25" t="s">
        <v>9</v>
      </c>
      <c r="F103" s="26">
        <v>2772.0</v>
      </c>
      <c r="G103" s="26" t="s">
        <v>759</v>
      </c>
      <c r="H103" s="26" t="s">
        <v>1097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4" t="s">
        <v>123</v>
      </c>
      <c r="B104" s="25">
        <v>1.05126902692E11</v>
      </c>
      <c r="C104" s="24" t="s">
        <v>86</v>
      </c>
      <c r="D104" s="24" t="s">
        <v>25</v>
      </c>
      <c r="E104" s="24" t="s">
        <v>13</v>
      </c>
      <c r="F104" s="26">
        <v>2794.0</v>
      </c>
      <c r="G104" s="26" t="s">
        <v>759</v>
      </c>
      <c r="H104" s="26" t="s">
        <v>1098</v>
      </c>
      <c r="I104" s="26" t="s">
        <v>1099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4" t="s">
        <v>124</v>
      </c>
      <c r="B105" s="25">
        <v>3.50132398282E11</v>
      </c>
      <c r="C105" s="24" t="s">
        <v>86</v>
      </c>
      <c r="D105" s="24" t="s">
        <v>25</v>
      </c>
      <c r="E105" s="24" t="s">
        <v>9</v>
      </c>
      <c r="F105" s="26">
        <v>2778.0</v>
      </c>
      <c r="G105" s="26" t="s">
        <v>1032</v>
      </c>
      <c r="H105" s="26" t="s">
        <v>1100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4" t="s">
        <v>125</v>
      </c>
      <c r="B106" s="25">
        <v>8.09176040437E11</v>
      </c>
      <c r="C106" s="24" t="s">
        <v>86</v>
      </c>
      <c r="D106" s="24" t="s">
        <v>126</v>
      </c>
      <c r="E106" s="24" t="s">
        <v>13</v>
      </c>
      <c r="F106" s="27" t="s">
        <v>1101</v>
      </c>
      <c r="G106" s="25" t="s">
        <v>127</v>
      </c>
      <c r="H106" s="26" t="s">
        <v>1102</v>
      </c>
      <c r="I106" s="26" t="s">
        <v>1103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4" t="s">
        <v>128</v>
      </c>
      <c r="B107" s="25">
        <v>9.30159109291E11</v>
      </c>
      <c r="C107" s="24" t="s">
        <v>86</v>
      </c>
      <c r="D107" s="24" t="s">
        <v>126</v>
      </c>
      <c r="E107" s="24" t="s">
        <v>9</v>
      </c>
      <c r="F107" s="27" t="s">
        <v>1104</v>
      </c>
      <c r="G107" s="25" t="s">
        <v>127</v>
      </c>
      <c r="H107" s="26" t="s">
        <v>1105</v>
      </c>
      <c r="I107" s="26" t="s">
        <v>1106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4" t="s">
        <v>129</v>
      </c>
      <c r="B108" s="25">
        <v>7.82180626727E11</v>
      </c>
      <c r="C108" s="24" t="s">
        <v>86</v>
      </c>
      <c r="D108" s="24" t="s">
        <v>126</v>
      </c>
      <c r="E108" s="24" t="s">
        <v>9</v>
      </c>
      <c r="F108" s="26">
        <v>2404.0</v>
      </c>
      <c r="G108" s="26" t="s">
        <v>759</v>
      </c>
      <c r="H108" s="26" t="s">
        <v>1107</v>
      </c>
      <c r="I108" s="26" t="s">
        <v>1108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4" t="s">
        <v>130</v>
      </c>
      <c r="B109" s="25">
        <v>7.42181710304E11</v>
      </c>
      <c r="C109" s="24" t="s">
        <v>86</v>
      </c>
      <c r="D109" s="24" t="s">
        <v>126</v>
      </c>
      <c r="E109" s="24" t="s">
        <v>9</v>
      </c>
      <c r="F109" s="26">
        <v>2403.0</v>
      </c>
      <c r="G109" s="26" t="s">
        <v>759</v>
      </c>
      <c r="H109" s="26" t="s">
        <v>1109</v>
      </c>
      <c r="I109" s="26" t="s">
        <v>1110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4" t="s">
        <v>131</v>
      </c>
      <c r="B110" s="25">
        <v>6.43134674754E11</v>
      </c>
      <c r="C110" s="24" t="s">
        <v>86</v>
      </c>
      <c r="D110" s="24" t="s">
        <v>126</v>
      </c>
      <c r="E110" s="24" t="s">
        <v>9</v>
      </c>
      <c r="F110" s="26">
        <v>2475.0</v>
      </c>
      <c r="G110" s="26" t="s">
        <v>759</v>
      </c>
      <c r="H110" s="26" t="s">
        <v>1111</v>
      </c>
      <c r="I110" s="26" t="s">
        <v>1112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4" t="s">
        <v>132</v>
      </c>
      <c r="B111" s="25">
        <v>5.14130261047E11</v>
      </c>
      <c r="C111" s="24" t="s">
        <v>86</v>
      </c>
      <c r="D111" s="24" t="s">
        <v>126</v>
      </c>
      <c r="E111" s="24" t="s">
        <v>13</v>
      </c>
      <c r="F111" s="26">
        <v>2509.0</v>
      </c>
      <c r="G111" s="26" t="s">
        <v>759</v>
      </c>
      <c r="H111" s="26" t="s">
        <v>1113</v>
      </c>
      <c r="I111" s="26">
        <v>1.097953066E9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4" t="s">
        <v>133</v>
      </c>
      <c r="B112" s="25">
        <v>8.94178098602E11</v>
      </c>
      <c r="C112" s="24" t="s">
        <v>86</v>
      </c>
      <c r="D112" s="24" t="s">
        <v>126</v>
      </c>
      <c r="E112" s="24" t="s">
        <v>9</v>
      </c>
      <c r="F112" s="26">
        <v>2529.0</v>
      </c>
      <c r="G112" s="26" t="s">
        <v>759</v>
      </c>
      <c r="H112" s="26" t="s">
        <v>1114</v>
      </c>
      <c r="I112" s="26" t="s">
        <v>1115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4" t="s">
        <v>134</v>
      </c>
      <c r="B113" s="25">
        <v>7.03149308423E11</v>
      </c>
      <c r="C113" s="24" t="s">
        <v>86</v>
      </c>
      <c r="D113" s="24" t="s">
        <v>126</v>
      </c>
      <c r="E113" s="24" t="s">
        <v>9</v>
      </c>
      <c r="F113" s="26">
        <v>2535.0</v>
      </c>
      <c r="G113" s="26" t="s">
        <v>759</v>
      </c>
      <c r="H113" s="26" t="s">
        <v>1116</v>
      </c>
      <c r="I113" s="26" t="s">
        <v>1117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4" t="s">
        <v>135</v>
      </c>
      <c r="B114" s="25">
        <v>1.57194097243E11</v>
      </c>
      <c r="C114" s="24" t="s">
        <v>86</v>
      </c>
      <c r="D114" s="24" t="s">
        <v>126</v>
      </c>
      <c r="E114" s="25" t="s">
        <v>9</v>
      </c>
      <c r="F114" s="26">
        <v>2556.0</v>
      </c>
      <c r="G114" s="26" t="s">
        <v>759</v>
      </c>
      <c r="H114" s="26" t="s">
        <v>1118</v>
      </c>
      <c r="I114" s="26" t="s">
        <v>1119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4" t="s">
        <v>136</v>
      </c>
      <c r="B115" s="25">
        <v>8.15141510923E11</v>
      </c>
      <c r="C115" s="24" t="s">
        <v>86</v>
      </c>
      <c r="D115" s="24" t="s">
        <v>126</v>
      </c>
      <c r="E115" s="25" t="s">
        <v>9</v>
      </c>
      <c r="F115" s="26">
        <v>2558.0</v>
      </c>
      <c r="G115" s="26" t="s">
        <v>759</v>
      </c>
      <c r="H115" s="26" t="s">
        <v>1120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4" t="s">
        <v>137</v>
      </c>
      <c r="B116" s="25">
        <v>9.16186078296E11</v>
      </c>
      <c r="C116" s="24" t="s">
        <v>86</v>
      </c>
      <c r="D116" s="24" t="s">
        <v>126</v>
      </c>
      <c r="E116" s="24" t="s">
        <v>13</v>
      </c>
      <c r="F116" s="26">
        <v>2709.0</v>
      </c>
      <c r="G116" s="26" t="s">
        <v>759</v>
      </c>
      <c r="H116" s="26" t="s">
        <v>1121</v>
      </c>
      <c r="I116" s="26" t="s">
        <v>1122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4" t="s">
        <v>138</v>
      </c>
      <c r="B117" s="25">
        <v>7.62193489569E11</v>
      </c>
      <c r="C117" s="24" t="s">
        <v>86</v>
      </c>
      <c r="D117" s="24" t="s">
        <v>126</v>
      </c>
      <c r="E117" s="24" t="s">
        <v>13</v>
      </c>
      <c r="F117" s="26">
        <v>2740.0</v>
      </c>
      <c r="G117" s="26" t="s">
        <v>759</v>
      </c>
      <c r="H117" s="26" t="s">
        <v>1123</v>
      </c>
      <c r="I117" s="26" t="s">
        <v>1124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4" t="s">
        <v>139</v>
      </c>
      <c r="B118" s="25">
        <v>9.53162327564E11</v>
      </c>
      <c r="C118" s="24" t="s">
        <v>86</v>
      </c>
      <c r="D118" s="24" t="s">
        <v>126</v>
      </c>
      <c r="E118" s="25" t="s">
        <v>9</v>
      </c>
      <c r="F118" s="26">
        <v>2741.0</v>
      </c>
      <c r="G118" s="26" t="s">
        <v>759</v>
      </c>
      <c r="H118" s="26" t="s">
        <v>1125</v>
      </c>
      <c r="I118" s="26" t="s">
        <v>1126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4" t="s">
        <v>140</v>
      </c>
      <c r="B119" s="25">
        <v>7.20159631723E11</v>
      </c>
      <c r="C119" s="24" t="s">
        <v>86</v>
      </c>
      <c r="D119" s="24" t="s">
        <v>126</v>
      </c>
      <c r="E119" s="24" t="s">
        <v>13</v>
      </c>
      <c r="F119" s="26">
        <v>2780.0</v>
      </c>
      <c r="G119" s="26" t="s">
        <v>759</v>
      </c>
      <c r="H119" s="26" t="s">
        <v>1127</v>
      </c>
      <c r="I119" s="26" t="s">
        <v>1128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4" t="s">
        <v>141</v>
      </c>
      <c r="B120" s="25">
        <v>6.79131265016E11</v>
      </c>
      <c r="C120" s="24" t="s">
        <v>86</v>
      </c>
      <c r="D120" s="24" t="s">
        <v>126</v>
      </c>
      <c r="E120" s="24" t="s">
        <v>13</v>
      </c>
      <c r="F120" s="26">
        <v>2716.0</v>
      </c>
      <c r="G120" s="26" t="s">
        <v>759</v>
      </c>
      <c r="H120" s="26" t="s">
        <v>1129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4" t="s">
        <v>142</v>
      </c>
      <c r="B121" s="25">
        <v>3.06185372078E11</v>
      </c>
      <c r="C121" s="24" t="s">
        <v>86</v>
      </c>
      <c r="D121" s="24" t="s">
        <v>47</v>
      </c>
      <c r="E121" s="24" t="s">
        <v>9</v>
      </c>
      <c r="F121" s="27" t="s">
        <v>1130</v>
      </c>
      <c r="G121" s="26"/>
      <c r="H121" s="26" t="s">
        <v>1131</v>
      </c>
      <c r="I121" s="26" t="s">
        <v>1132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4" t="s">
        <v>143</v>
      </c>
      <c r="B122" s="25">
        <v>2.43147538572E11</v>
      </c>
      <c r="C122" s="24" t="s">
        <v>86</v>
      </c>
      <c r="D122" s="24" t="s">
        <v>47</v>
      </c>
      <c r="E122" s="24" t="s">
        <v>9</v>
      </c>
      <c r="F122" s="27" t="s">
        <v>1133</v>
      </c>
      <c r="G122" s="26"/>
      <c r="H122" s="26" t="s">
        <v>1134</v>
      </c>
      <c r="I122" s="26" t="s">
        <v>1135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4" t="s">
        <v>144</v>
      </c>
      <c r="B123" s="25">
        <v>4.12161359614E11</v>
      </c>
      <c r="C123" s="24" t="s">
        <v>86</v>
      </c>
      <c r="D123" s="24" t="s">
        <v>47</v>
      </c>
      <c r="E123" s="25" t="s">
        <v>9</v>
      </c>
      <c r="F123" s="27" t="s">
        <v>1136</v>
      </c>
      <c r="G123" s="26"/>
      <c r="H123" s="26" t="s">
        <v>1137</v>
      </c>
      <c r="I123" s="26" t="s">
        <v>1138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4" t="s">
        <v>145</v>
      </c>
      <c r="B124" s="25">
        <v>9.08173825031E11</v>
      </c>
      <c r="C124" s="24" t="s">
        <v>86</v>
      </c>
      <c r="D124" s="24" t="s">
        <v>47</v>
      </c>
      <c r="E124" s="24" t="s">
        <v>9</v>
      </c>
      <c r="F124" s="27" t="s">
        <v>1139</v>
      </c>
      <c r="G124" s="26"/>
      <c r="H124" s="26" t="s">
        <v>1140</v>
      </c>
      <c r="I124" s="26">
        <v>2.8310280200527E13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4" t="s">
        <v>146</v>
      </c>
      <c r="B125" s="25">
        <v>5.65175096735E11</v>
      </c>
      <c r="C125" s="24" t="s">
        <v>86</v>
      </c>
      <c r="D125" s="24" t="s">
        <v>47</v>
      </c>
      <c r="E125" s="24" t="s">
        <v>9</v>
      </c>
      <c r="F125" s="27" t="s">
        <v>1141</v>
      </c>
      <c r="G125" s="26"/>
      <c r="H125" s="26" t="s">
        <v>1142</v>
      </c>
      <c r="I125" s="26" t="s">
        <v>1143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4" t="s">
        <v>147</v>
      </c>
      <c r="B126" s="25">
        <v>5.72181296785E11</v>
      </c>
      <c r="C126" s="24" t="s">
        <v>86</v>
      </c>
      <c r="D126" s="24" t="s">
        <v>47</v>
      </c>
      <c r="E126" s="24" t="s">
        <v>9</v>
      </c>
      <c r="F126" s="27" t="s">
        <v>1144</v>
      </c>
      <c r="G126" s="26"/>
      <c r="H126" s="26" t="s">
        <v>1145</v>
      </c>
      <c r="I126" s="26" t="s">
        <v>1146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4" t="s">
        <v>148</v>
      </c>
      <c r="B127" s="25">
        <v>5.60197507192E11</v>
      </c>
      <c r="C127" s="24" t="s">
        <v>86</v>
      </c>
      <c r="D127" s="24" t="s">
        <v>47</v>
      </c>
      <c r="E127" s="24" t="s">
        <v>13</v>
      </c>
      <c r="F127" s="27" t="s">
        <v>1147</v>
      </c>
      <c r="G127" s="26"/>
      <c r="H127" s="26" t="s">
        <v>1148</v>
      </c>
      <c r="I127" s="26" t="s">
        <v>1149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4" t="s">
        <v>149</v>
      </c>
      <c r="B128" s="25">
        <v>4.27179795127E11</v>
      </c>
      <c r="C128" s="24" t="s">
        <v>86</v>
      </c>
      <c r="D128" s="24" t="s">
        <v>47</v>
      </c>
      <c r="E128" s="24" t="s">
        <v>9</v>
      </c>
      <c r="F128" s="27" t="s">
        <v>1150</v>
      </c>
      <c r="G128" s="26"/>
      <c r="H128" s="26" t="s">
        <v>1151</v>
      </c>
      <c r="I128" s="26" t="s">
        <v>1152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4" t="s">
        <v>150</v>
      </c>
      <c r="B129" s="25">
        <v>6.57134826213E11</v>
      </c>
      <c r="C129" s="24" t="s">
        <v>86</v>
      </c>
      <c r="D129" s="24" t="s">
        <v>47</v>
      </c>
      <c r="E129" s="24" t="s">
        <v>13</v>
      </c>
      <c r="F129" s="26">
        <v>2397.0</v>
      </c>
      <c r="G129" s="26" t="s">
        <v>759</v>
      </c>
      <c r="H129" s="26" t="s">
        <v>1153</v>
      </c>
      <c r="I129" s="26" t="s">
        <v>1154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4" t="s">
        <v>151</v>
      </c>
      <c r="B130" s="25">
        <v>4.89106709893E11</v>
      </c>
      <c r="C130" s="24" t="s">
        <v>86</v>
      </c>
      <c r="D130" s="24" t="s">
        <v>47</v>
      </c>
      <c r="E130" s="24" t="s">
        <v>9</v>
      </c>
      <c r="F130" s="26">
        <v>2406.0</v>
      </c>
      <c r="G130" s="26" t="s">
        <v>1046</v>
      </c>
      <c r="H130" s="26" t="s">
        <v>1155</v>
      </c>
      <c r="I130" s="26" t="s">
        <v>1156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4" t="s">
        <v>152</v>
      </c>
      <c r="B131" s="25">
        <v>5.18128197903E11</v>
      </c>
      <c r="C131" s="24" t="s">
        <v>86</v>
      </c>
      <c r="D131" s="24" t="s">
        <v>47</v>
      </c>
      <c r="E131" s="24" t="s">
        <v>9</v>
      </c>
      <c r="F131" s="26">
        <v>2409.0</v>
      </c>
      <c r="G131" s="26" t="s">
        <v>902</v>
      </c>
      <c r="H131" s="26" t="s">
        <v>1157</v>
      </c>
      <c r="I131" s="26" t="s">
        <v>1158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4" t="s">
        <v>153</v>
      </c>
      <c r="B132" s="25">
        <v>3.42149485143E11</v>
      </c>
      <c r="C132" s="24" t="s">
        <v>86</v>
      </c>
      <c r="D132" s="24" t="s">
        <v>47</v>
      </c>
      <c r="E132" s="24" t="s">
        <v>9</v>
      </c>
      <c r="F132" s="26">
        <v>2430.0</v>
      </c>
      <c r="G132" s="26" t="s">
        <v>1032</v>
      </c>
      <c r="H132" s="26" t="s">
        <v>1159</v>
      </c>
      <c r="I132" s="26" t="s">
        <v>1160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4" t="s">
        <v>154</v>
      </c>
      <c r="B133" s="25">
        <v>3.75181246026E11</v>
      </c>
      <c r="C133" s="24" t="s">
        <v>86</v>
      </c>
      <c r="D133" s="24" t="s">
        <v>47</v>
      </c>
      <c r="E133" s="24" t="s">
        <v>9</v>
      </c>
      <c r="F133" s="26">
        <v>2452.0</v>
      </c>
      <c r="G133" s="26" t="s">
        <v>759</v>
      </c>
      <c r="H133" s="26" t="s">
        <v>1161</v>
      </c>
      <c r="I133" s="26" t="s">
        <v>1162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4" t="s">
        <v>155</v>
      </c>
      <c r="B134" s="25">
        <v>5.10131201316E11</v>
      </c>
      <c r="C134" s="24" t="s">
        <v>86</v>
      </c>
      <c r="D134" s="24" t="s">
        <v>47</v>
      </c>
      <c r="E134" s="24" t="s">
        <v>13</v>
      </c>
      <c r="F134" s="26"/>
      <c r="G134" s="26" t="s">
        <v>1041</v>
      </c>
      <c r="H134" s="26" t="s">
        <v>1163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4" t="s">
        <v>156</v>
      </c>
      <c r="B135" s="25">
        <v>8.95145269153E11</v>
      </c>
      <c r="C135" s="24" t="s">
        <v>86</v>
      </c>
      <c r="D135" s="24" t="s">
        <v>47</v>
      </c>
      <c r="E135" s="24" t="s">
        <v>9</v>
      </c>
      <c r="F135" s="26">
        <v>2534.0</v>
      </c>
      <c r="G135" s="26" t="s">
        <v>759</v>
      </c>
      <c r="H135" s="26" t="s">
        <v>1164</v>
      </c>
      <c r="I135" s="26" t="s">
        <v>1165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4" t="s">
        <v>157</v>
      </c>
      <c r="B136" s="25">
        <v>6.36191708065E11</v>
      </c>
      <c r="C136" s="24" t="s">
        <v>86</v>
      </c>
      <c r="D136" s="24" t="s">
        <v>47</v>
      </c>
      <c r="E136" s="24" t="s">
        <v>9</v>
      </c>
      <c r="F136" s="26">
        <v>2604.0</v>
      </c>
      <c r="G136" s="26" t="s">
        <v>759</v>
      </c>
      <c r="H136" s="26" t="s">
        <v>1166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4" t="s">
        <v>158</v>
      </c>
      <c r="B137" s="25">
        <v>5.46184861318E11</v>
      </c>
      <c r="C137" s="24" t="s">
        <v>86</v>
      </c>
      <c r="D137" s="24" t="s">
        <v>47</v>
      </c>
      <c r="E137" s="24" t="s">
        <v>9</v>
      </c>
      <c r="F137" s="26">
        <v>2616.0</v>
      </c>
      <c r="G137" s="26" t="s">
        <v>759</v>
      </c>
      <c r="H137" s="26" t="s">
        <v>1167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4" t="s">
        <v>159</v>
      </c>
      <c r="B138" s="25">
        <v>4.5016982846E11</v>
      </c>
      <c r="C138" s="24" t="s">
        <v>86</v>
      </c>
      <c r="D138" s="24" t="s">
        <v>47</v>
      </c>
      <c r="E138" s="24" t="s">
        <v>9</v>
      </c>
      <c r="F138" s="26">
        <v>2639.0</v>
      </c>
      <c r="G138" s="26" t="s">
        <v>759</v>
      </c>
      <c r="H138" s="26" t="s">
        <v>1168</v>
      </c>
      <c r="I138" s="26" t="s">
        <v>1169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4" t="s">
        <v>160</v>
      </c>
      <c r="B139" s="25">
        <v>6.90175608128E11</v>
      </c>
      <c r="C139" s="24" t="s">
        <v>86</v>
      </c>
      <c r="D139" s="24" t="s">
        <v>47</v>
      </c>
      <c r="E139" s="24" t="s">
        <v>9</v>
      </c>
      <c r="F139" s="26">
        <v>2680.0</v>
      </c>
      <c r="G139" s="26" t="s">
        <v>1046</v>
      </c>
      <c r="H139" s="26" t="s">
        <v>1170</v>
      </c>
      <c r="I139" s="26" t="s">
        <v>1171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4" t="s">
        <v>161</v>
      </c>
      <c r="B140" s="25">
        <v>2.0312129415E11</v>
      </c>
      <c r="C140" s="24" t="s">
        <v>86</v>
      </c>
      <c r="D140" s="24" t="s">
        <v>47</v>
      </c>
      <c r="E140" s="24" t="s">
        <v>9</v>
      </c>
      <c r="F140" s="26">
        <v>2262.0</v>
      </c>
      <c r="G140" s="26" t="s">
        <v>1046</v>
      </c>
      <c r="H140" s="26" t="s">
        <v>1172</v>
      </c>
      <c r="I140" s="26" t="s">
        <v>1173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4" t="s">
        <v>162</v>
      </c>
      <c r="B141" s="25">
        <v>2.09172013854E11</v>
      </c>
      <c r="C141" s="24" t="s">
        <v>86</v>
      </c>
      <c r="D141" s="24" t="s">
        <v>47</v>
      </c>
      <c r="E141" s="25" t="s">
        <v>9</v>
      </c>
      <c r="F141" s="26">
        <v>2742.0</v>
      </c>
      <c r="G141" s="26" t="s">
        <v>1174</v>
      </c>
      <c r="H141" s="26" t="s">
        <v>1175</v>
      </c>
      <c r="I141" s="26" t="s">
        <v>1176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4" t="s">
        <v>163</v>
      </c>
      <c r="B142" s="25">
        <v>5.95148969297E11</v>
      </c>
      <c r="C142" s="24" t="s">
        <v>86</v>
      </c>
      <c r="D142" s="24" t="s">
        <v>47</v>
      </c>
      <c r="E142" s="24" t="s">
        <v>13</v>
      </c>
      <c r="F142" s="26">
        <v>2665.0</v>
      </c>
      <c r="G142" s="26" t="s">
        <v>759</v>
      </c>
      <c r="H142" s="26" t="s">
        <v>1177</v>
      </c>
      <c r="I142" s="26" t="s">
        <v>1178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4" t="s">
        <v>164</v>
      </c>
      <c r="B143" s="25">
        <v>3.86167394718E11</v>
      </c>
      <c r="C143" s="24" t="s">
        <v>86</v>
      </c>
      <c r="D143" s="24" t="s">
        <v>47</v>
      </c>
      <c r="E143" s="25" t="s">
        <v>9</v>
      </c>
      <c r="F143" s="26">
        <v>2763.0</v>
      </c>
      <c r="G143" s="26" t="s">
        <v>1046</v>
      </c>
      <c r="H143" s="26" t="s">
        <v>1179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4" t="s">
        <v>165</v>
      </c>
      <c r="B144" s="25">
        <v>7.23106572403E11</v>
      </c>
      <c r="C144" s="24" t="s">
        <v>86</v>
      </c>
      <c r="D144" s="24" t="s">
        <v>47</v>
      </c>
      <c r="E144" s="25" t="s">
        <v>9</v>
      </c>
      <c r="F144" s="26">
        <v>2752.0</v>
      </c>
      <c r="G144" s="26" t="s">
        <v>759</v>
      </c>
      <c r="H144" s="26" t="s">
        <v>1180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4" t="s">
        <v>166</v>
      </c>
      <c r="B145" s="25">
        <v>6.38145149439E11</v>
      </c>
      <c r="C145" s="24" t="s">
        <v>86</v>
      </c>
      <c r="D145" s="24" t="s">
        <v>47</v>
      </c>
      <c r="E145" s="25" t="s">
        <v>9</v>
      </c>
      <c r="F145" s="26">
        <v>2668.0</v>
      </c>
      <c r="G145" s="26" t="s">
        <v>759</v>
      </c>
      <c r="H145" s="26" t="s">
        <v>1181</v>
      </c>
      <c r="I145" s="26" t="s">
        <v>1182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4" t="s">
        <v>167</v>
      </c>
      <c r="B146" s="25">
        <v>6.86140960605E11</v>
      </c>
      <c r="C146" s="24" t="s">
        <v>86</v>
      </c>
      <c r="D146" s="24" t="s">
        <v>47</v>
      </c>
      <c r="E146" s="24" t="s">
        <v>13</v>
      </c>
      <c r="F146" s="26"/>
      <c r="G146" s="26" t="s">
        <v>759</v>
      </c>
      <c r="H146" s="26" t="s">
        <v>1183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4" t="s">
        <v>168</v>
      </c>
      <c r="B147" s="25">
        <v>5.78126806131E11</v>
      </c>
      <c r="C147" s="24" t="s">
        <v>86</v>
      </c>
      <c r="D147" s="24" t="s">
        <v>47</v>
      </c>
      <c r="E147" s="24" t="s">
        <v>9</v>
      </c>
      <c r="F147" s="26">
        <v>2640.0</v>
      </c>
      <c r="G147" s="26" t="s">
        <v>1046</v>
      </c>
      <c r="H147" s="26" t="s">
        <v>1184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4" t="s">
        <v>169</v>
      </c>
      <c r="B148" s="25">
        <v>5.37126249693E11</v>
      </c>
      <c r="C148" s="24" t="s">
        <v>86</v>
      </c>
      <c r="D148" s="24" t="s">
        <v>47</v>
      </c>
      <c r="E148" s="25" t="s">
        <v>9</v>
      </c>
      <c r="F148" s="26">
        <v>2775.0</v>
      </c>
      <c r="G148" s="26" t="s">
        <v>759</v>
      </c>
      <c r="H148" s="26" t="s">
        <v>1185</v>
      </c>
      <c r="I148" s="26" t="s">
        <v>1186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4" t="s">
        <v>170</v>
      </c>
      <c r="B149" s="25">
        <v>8.63152852634E11</v>
      </c>
      <c r="C149" s="24" t="s">
        <v>86</v>
      </c>
      <c r="D149" s="24" t="s">
        <v>47</v>
      </c>
      <c r="E149" s="25" t="s">
        <v>9</v>
      </c>
      <c r="F149" s="26">
        <v>2804.0</v>
      </c>
      <c r="G149" s="26" t="s">
        <v>759</v>
      </c>
      <c r="H149" s="26" t="s">
        <v>1187</v>
      </c>
      <c r="I149" s="26" t="s">
        <v>1188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4" t="s">
        <v>171</v>
      </c>
      <c r="B150" s="25">
        <v>6.32164034291E11</v>
      </c>
      <c r="C150" s="24" t="s">
        <v>86</v>
      </c>
      <c r="D150" s="24" t="s">
        <v>172</v>
      </c>
      <c r="E150" s="24" t="s">
        <v>9</v>
      </c>
      <c r="F150" s="27" t="s">
        <v>1189</v>
      </c>
      <c r="G150" s="26" t="s">
        <v>1032</v>
      </c>
      <c r="H150" s="26" t="s">
        <v>1190</v>
      </c>
      <c r="I150" s="26" t="s">
        <v>1191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4" t="s">
        <v>173</v>
      </c>
      <c r="B151" s="25">
        <v>7.03170132053E11</v>
      </c>
      <c r="C151" s="24" t="s">
        <v>86</v>
      </c>
      <c r="D151" s="24" t="s">
        <v>172</v>
      </c>
      <c r="E151" s="24" t="s">
        <v>9</v>
      </c>
      <c r="F151" s="27" t="s">
        <v>1192</v>
      </c>
      <c r="G151" s="26" t="s">
        <v>1032</v>
      </c>
      <c r="H151" s="26" t="s">
        <v>1193</v>
      </c>
      <c r="I151" s="26">
        <v>1.144280921E9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4" t="s">
        <v>174</v>
      </c>
      <c r="B152" s="25">
        <v>4.38168047047E11</v>
      </c>
      <c r="C152" s="24" t="s">
        <v>86</v>
      </c>
      <c r="D152" s="24" t="s">
        <v>172</v>
      </c>
      <c r="E152" s="24" t="s">
        <v>9</v>
      </c>
      <c r="F152" s="27" t="s">
        <v>1194</v>
      </c>
      <c r="G152" s="26" t="s">
        <v>1032</v>
      </c>
      <c r="H152" s="26" t="s">
        <v>1195</v>
      </c>
      <c r="I152" s="26" t="s">
        <v>1196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4" t="s">
        <v>175</v>
      </c>
      <c r="B153" s="25">
        <v>8.04187379101E11</v>
      </c>
      <c r="C153" s="24" t="s">
        <v>86</v>
      </c>
      <c r="D153" s="24" t="s">
        <v>172</v>
      </c>
      <c r="E153" s="24" t="s">
        <v>9</v>
      </c>
      <c r="F153" s="27" t="s">
        <v>1197</v>
      </c>
      <c r="G153" s="26" t="s">
        <v>1032</v>
      </c>
      <c r="H153" s="26" t="s">
        <v>1198</v>
      </c>
      <c r="I153" s="26" t="s">
        <v>1199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4" t="s">
        <v>176</v>
      </c>
      <c r="B154" s="25">
        <v>6.37175861357E11</v>
      </c>
      <c r="C154" s="24" t="s">
        <v>86</v>
      </c>
      <c r="D154" s="24" t="s">
        <v>172</v>
      </c>
      <c r="E154" s="24" t="s">
        <v>9</v>
      </c>
      <c r="F154" s="27" t="s">
        <v>1200</v>
      </c>
      <c r="G154" s="26" t="s">
        <v>1046</v>
      </c>
      <c r="H154" s="26" t="s">
        <v>1201</v>
      </c>
      <c r="I154" s="26" t="s">
        <v>1202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4" t="s">
        <v>177</v>
      </c>
      <c r="B155" s="25">
        <v>6.87104205132E11</v>
      </c>
      <c r="C155" s="24" t="s">
        <v>86</v>
      </c>
      <c r="D155" s="24" t="s">
        <v>172</v>
      </c>
      <c r="E155" s="24" t="s">
        <v>9</v>
      </c>
      <c r="F155" s="27" t="s">
        <v>1203</v>
      </c>
      <c r="G155" s="26" t="s">
        <v>759</v>
      </c>
      <c r="H155" s="26" t="s">
        <v>1204</v>
      </c>
      <c r="I155" s="26" t="s">
        <v>1205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4" t="s">
        <v>178</v>
      </c>
      <c r="B156" s="25">
        <v>5.94131487609E11</v>
      </c>
      <c r="C156" s="24" t="s">
        <v>86</v>
      </c>
      <c r="D156" s="24" t="s">
        <v>172</v>
      </c>
      <c r="E156" s="24" t="s">
        <v>9</v>
      </c>
      <c r="F156" s="26">
        <v>2339.0</v>
      </c>
      <c r="G156" s="26" t="s">
        <v>1032</v>
      </c>
      <c r="H156" s="26" t="s">
        <v>1206</v>
      </c>
      <c r="I156" s="26" t="s">
        <v>1207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4" t="s">
        <v>179</v>
      </c>
      <c r="B157" s="25">
        <v>5.86179418453E11</v>
      </c>
      <c r="C157" s="24" t="s">
        <v>86</v>
      </c>
      <c r="D157" s="24" t="s">
        <v>172</v>
      </c>
      <c r="E157" s="24" t="s">
        <v>9</v>
      </c>
      <c r="F157" s="26">
        <v>2342.0</v>
      </c>
      <c r="G157" s="26" t="s">
        <v>1032</v>
      </c>
      <c r="H157" s="26" t="s">
        <v>1208</v>
      </c>
      <c r="I157" s="26" t="s">
        <v>1209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4" t="s">
        <v>180</v>
      </c>
      <c r="B158" s="25">
        <v>9.43127373092E11</v>
      </c>
      <c r="C158" s="24" t="s">
        <v>86</v>
      </c>
      <c r="D158" s="24" t="s">
        <v>172</v>
      </c>
      <c r="E158" s="24" t="s">
        <v>9</v>
      </c>
      <c r="F158" s="26">
        <v>2353.0</v>
      </c>
      <c r="G158" s="26" t="s">
        <v>1032</v>
      </c>
      <c r="H158" s="26" t="s">
        <v>1210</v>
      </c>
      <c r="I158" s="26" t="s">
        <v>1211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4" t="s">
        <v>181</v>
      </c>
      <c r="B159" s="25">
        <v>5.89150897049E11</v>
      </c>
      <c r="C159" s="24" t="s">
        <v>86</v>
      </c>
      <c r="D159" s="24" t="s">
        <v>172</v>
      </c>
      <c r="E159" s="24" t="s">
        <v>9</v>
      </c>
      <c r="F159" s="26">
        <v>2377.0</v>
      </c>
      <c r="G159" s="26" t="s">
        <v>1032</v>
      </c>
      <c r="H159" s="26" t="s">
        <v>1212</v>
      </c>
      <c r="I159" s="26" t="s">
        <v>1213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4" t="s">
        <v>182</v>
      </c>
      <c r="B160" s="25">
        <v>8.09198759721E11</v>
      </c>
      <c r="C160" s="24" t="s">
        <v>86</v>
      </c>
      <c r="D160" s="24" t="s">
        <v>172</v>
      </c>
      <c r="E160" s="24" t="s">
        <v>9</v>
      </c>
      <c r="F160" s="26">
        <v>2367.0</v>
      </c>
      <c r="G160" s="26" t="s">
        <v>1041</v>
      </c>
      <c r="H160" s="26" t="s">
        <v>1214</v>
      </c>
      <c r="I160" s="26" t="s">
        <v>1215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4" t="s">
        <v>183</v>
      </c>
      <c r="B161" s="25">
        <v>1.35137963154E11</v>
      </c>
      <c r="C161" s="24" t="s">
        <v>86</v>
      </c>
      <c r="D161" s="24" t="s">
        <v>172</v>
      </c>
      <c r="E161" s="24" t="s">
        <v>184</v>
      </c>
      <c r="F161" s="26"/>
      <c r="G161" s="26" t="s">
        <v>759</v>
      </c>
      <c r="H161" s="26" t="s">
        <v>1216</v>
      </c>
      <c r="I161" s="26" t="s">
        <v>1217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4" t="s">
        <v>185</v>
      </c>
      <c r="B162" s="25">
        <v>8.62179384026E11</v>
      </c>
      <c r="C162" s="24" t="s">
        <v>86</v>
      </c>
      <c r="D162" s="24" t="s">
        <v>172</v>
      </c>
      <c r="E162" s="24" t="s">
        <v>9</v>
      </c>
      <c r="F162" s="26">
        <v>2393.0</v>
      </c>
      <c r="G162" s="26" t="s">
        <v>1041</v>
      </c>
      <c r="H162" s="26" t="s">
        <v>1218</v>
      </c>
      <c r="I162" s="26" t="s">
        <v>1219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4" t="s">
        <v>186</v>
      </c>
      <c r="B163" s="25">
        <v>3.40130765079E11</v>
      </c>
      <c r="C163" s="24" t="s">
        <v>86</v>
      </c>
      <c r="D163" s="24" t="s">
        <v>172</v>
      </c>
      <c r="E163" s="24" t="s">
        <v>13</v>
      </c>
      <c r="F163" s="26">
        <v>2446.0</v>
      </c>
      <c r="G163" s="26" t="s">
        <v>902</v>
      </c>
      <c r="H163" s="26" t="s">
        <v>1220</v>
      </c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4" t="s">
        <v>187</v>
      </c>
      <c r="B164" s="25">
        <v>1.80171957312E11</v>
      </c>
      <c r="C164" s="24" t="s">
        <v>86</v>
      </c>
      <c r="D164" s="24" t="s">
        <v>172</v>
      </c>
      <c r="E164" s="24" t="s">
        <v>9</v>
      </c>
      <c r="F164" s="26">
        <v>2432.0</v>
      </c>
      <c r="G164" s="26" t="s">
        <v>1060</v>
      </c>
      <c r="H164" s="26" t="s">
        <v>1221</v>
      </c>
      <c r="I164" s="26" t="s">
        <v>1222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4" t="s">
        <v>188</v>
      </c>
      <c r="B165" s="25">
        <v>8.07180730987E11</v>
      </c>
      <c r="C165" s="24" t="s">
        <v>86</v>
      </c>
      <c r="D165" s="24" t="s">
        <v>172</v>
      </c>
      <c r="E165" s="24" t="s">
        <v>13</v>
      </c>
      <c r="F165" s="26">
        <v>2442.0</v>
      </c>
      <c r="G165" s="26" t="s">
        <v>759</v>
      </c>
      <c r="H165" s="26" t="s">
        <v>1223</v>
      </c>
      <c r="I165" s="26" t="s">
        <v>1224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4" t="s">
        <v>189</v>
      </c>
      <c r="B166" s="25">
        <v>8.68184721354E11</v>
      </c>
      <c r="C166" s="24" t="s">
        <v>86</v>
      </c>
      <c r="D166" s="24" t="s">
        <v>172</v>
      </c>
      <c r="E166" s="24" t="s">
        <v>9</v>
      </c>
      <c r="F166" s="26">
        <v>2480.0</v>
      </c>
      <c r="G166" s="26" t="s">
        <v>759</v>
      </c>
      <c r="H166" s="26" t="s">
        <v>1225</v>
      </c>
      <c r="I166" s="26" t="s">
        <v>1226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4" t="s">
        <v>190</v>
      </c>
      <c r="B167" s="25">
        <v>5.70172941064E11</v>
      </c>
      <c r="C167" s="24" t="s">
        <v>86</v>
      </c>
      <c r="D167" s="24" t="s">
        <v>172</v>
      </c>
      <c r="E167" s="24" t="s">
        <v>9</v>
      </c>
      <c r="F167" s="26">
        <v>2495.0</v>
      </c>
      <c r="G167" s="26" t="s">
        <v>1227</v>
      </c>
      <c r="H167" s="26" t="s">
        <v>1228</v>
      </c>
      <c r="I167" s="26" t="s">
        <v>1229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4" t="s">
        <v>191</v>
      </c>
      <c r="B168" s="25">
        <v>3.40126030476E11</v>
      </c>
      <c r="C168" s="24" t="s">
        <v>86</v>
      </c>
      <c r="D168" s="24" t="s">
        <v>172</v>
      </c>
      <c r="E168" s="24" t="s">
        <v>13</v>
      </c>
      <c r="F168" s="26">
        <v>2483.0</v>
      </c>
      <c r="G168" s="26" t="s">
        <v>1032</v>
      </c>
      <c r="H168" s="26" t="s">
        <v>1230</v>
      </c>
      <c r="I168" s="26" t="s">
        <v>1231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4" t="s">
        <v>192</v>
      </c>
      <c r="B169" s="25">
        <v>5.94108798987E11</v>
      </c>
      <c r="C169" s="24" t="s">
        <v>86</v>
      </c>
      <c r="D169" s="24" t="s">
        <v>172</v>
      </c>
      <c r="E169" s="24" t="s">
        <v>9</v>
      </c>
      <c r="F169" s="26">
        <v>2547.0</v>
      </c>
      <c r="G169" s="26" t="s">
        <v>759</v>
      </c>
      <c r="H169" s="26" t="s">
        <v>1232</v>
      </c>
      <c r="I169" s="26" t="s">
        <v>1233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4" t="s">
        <v>193</v>
      </c>
      <c r="B170" s="25">
        <v>9.39180714785E11</v>
      </c>
      <c r="C170" s="24" t="s">
        <v>86</v>
      </c>
      <c r="D170" s="24" t="s">
        <v>172</v>
      </c>
      <c r="E170" s="24" t="s">
        <v>9</v>
      </c>
      <c r="F170" s="26">
        <v>2562.0</v>
      </c>
      <c r="G170" s="26" t="s">
        <v>759</v>
      </c>
      <c r="H170" s="26" t="s">
        <v>1234</v>
      </c>
      <c r="I170" s="26" t="s">
        <v>1235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4" t="s">
        <v>194</v>
      </c>
      <c r="B171" s="25">
        <v>7.06195648651E11</v>
      </c>
      <c r="C171" s="24" t="s">
        <v>86</v>
      </c>
      <c r="D171" s="24" t="s">
        <v>172</v>
      </c>
      <c r="E171" s="24" t="s">
        <v>9</v>
      </c>
      <c r="F171" s="26">
        <v>2603.0</v>
      </c>
      <c r="G171" s="26" t="s">
        <v>759</v>
      </c>
      <c r="H171" s="26" t="s">
        <v>1236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4" t="s">
        <v>195</v>
      </c>
      <c r="B172" s="25">
        <v>8.59191972717E11</v>
      </c>
      <c r="C172" s="24" t="s">
        <v>86</v>
      </c>
      <c r="D172" s="24" t="s">
        <v>172</v>
      </c>
      <c r="E172" s="24" t="s">
        <v>9</v>
      </c>
      <c r="F172" s="26">
        <v>2675.0</v>
      </c>
      <c r="G172" s="26" t="s">
        <v>1237</v>
      </c>
      <c r="H172" s="26" t="s">
        <v>1238</v>
      </c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4" t="s">
        <v>196</v>
      </c>
      <c r="B173" s="25">
        <v>6.26141382068E11</v>
      </c>
      <c r="C173" s="24" t="s">
        <v>86</v>
      </c>
      <c r="D173" s="24" t="s">
        <v>172</v>
      </c>
      <c r="E173" s="25" t="s">
        <v>9</v>
      </c>
      <c r="F173" s="26">
        <v>2713.0</v>
      </c>
      <c r="G173" s="26" t="s">
        <v>902</v>
      </c>
      <c r="H173" s="26" t="s">
        <v>1239</v>
      </c>
      <c r="I173" s="26" t="s">
        <v>1240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4" t="s">
        <v>197</v>
      </c>
      <c r="B174" s="25">
        <v>6.96195941685E11</v>
      </c>
      <c r="C174" s="24" t="s">
        <v>86</v>
      </c>
      <c r="D174" s="24" t="s">
        <v>172</v>
      </c>
      <c r="E174" s="24" t="s">
        <v>9</v>
      </c>
      <c r="F174" s="26">
        <v>2712.0</v>
      </c>
      <c r="G174" s="26" t="s">
        <v>759</v>
      </c>
      <c r="H174" s="26" t="s">
        <v>1241</v>
      </c>
      <c r="I174" s="26" t="s">
        <v>1242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4" t="s">
        <v>198</v>
      </c>
      <c r="B175" s="25">
        <v>8.7918974853E11</v>
      </c>
      <c r="C175" s="24" t="s">
        <v>86</v>
      </c>
      <c r="D175" s="24" t="s">
        <v>172</v>
      </c>
      <c r="E175" s="24" t="s">
        <v>9</v>
      </c>
      <c r="F175" s="26">
        <v>2657.0</v>
      </c>
      <c r="G175" s="26" t="s">
        <v>759</v>
      </c>
      <c r="H175" s="26" t="s">
        <v>1243</v>
      </c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4" t="s">
        <v>199</v>
      </c>
      <c r="B176" s="25">
        <v>3.08156832319E11</v>
      </c>
      <c r="C176" s="24" t="s">
        <v>86</v>
      </c>
      <c r="D176" s="24" t="s">
        <v>172</v>
      </c>
      <c r="E176" s="25" t="s">
        <v>9</v>
      </c>
      <c r="F176" s="26">
        <v>2792.0</v>
      </c>
      <c r="G176" s="26" t="s">
        <v>759</v>
      </c>
      <c r="H176" s="26" t="s">
        <v>1244</v>
      </c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4" t="s">
        <v>200</v>
      </c>
      <c r="B177" s="25">
        <v>4.23171082406E11</v>
      </c>
      <c r="C177" s="24" t="s">
        <v>86</v>
      </c>
      <c r="D177" s="24" t="s">
        <v>172</v>
      </c>
      <c r="E177" s="24" t="s">
        <v>9</v>
      </c>
      <c r="F177" s="26">
        <v>2659.0</v>
      </c>
      <c r="G177" s="26" t="s">
        <v>902</v>
      </c>
      <c r="H177" s="26" t="s">
        <v>1245</v>
      </c>
      <c r="I177" s="26" t="s">
        <v>1246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4" t="s">
        <v>201</v>
      </c>
      <c r="B178" s="25">
        <v>6.9518790714E11</v>
      </c>
      <c r="C178" s="24" t="s">
        <v>86</v>
      </c>
      <c r="D178" s="24" t="s">
        <v>172</v>
      </c>
      <c r="E178" s="25" t="s">
        <v>9</v>
      </c>
      <c r="F178" s="26">
        <v>2795.0</v>
      </c>
      <c r="G178" s="26" t="s">
        <v>759</v>
      </c>
      <c r="H178" s="26" t="s">
        <v>1247</v>
      </c>
      <c r="I178" s="26" t="s">
        <v>1248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4" t="s">
        <v>202</v>
      </c>
      <c r="B179" s="25">
        <v>2.07145893968E11</v>
      </c>
      <c r="C179" s="24" t="s">
        <v>86</v>
      </c>
      <c r="D179" s="24" t="s">
        <v>203</v>
      </c>
      <c r="E179" s="24" t="s">
        <v>9</v>
      </c>
      <c r="F179" s="27" t="s">
        <v>1249</v>
      </c>
      <c r="G179" s="26" t="s">
        <v>759</v>
      </c>
      <c r="H179" s="26" t="s">
        <v>1250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4" t="s">
        <v>204</v>
      </c>
      <c r="B180" s="25">
        <v>9.56106960751E11</v>
      </c>
      <c r="C180" s="24" t="s">
        <v>86</v>
      </c>
      <c r="D180" s="24" t="s">
        <v>203</v>
      </c>
      <c r="E180" s="24" t="s">
        <v>9</v>
      </c>
      <c r="F180" s="27" t="s">
        <v>1251</v>
      </c>
      <c r="G180" s="26" t="s">
        <v>759</v>
      </c>
      <c r="H180" s="26" t="s">
        <v>1252</v>
      </c>
      <c r="I180" s="26" t="s">
        <v>1253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4" t="s">
        <v>205</v>
      </c>
      <c r="B181" s="25">
        <v>4.79193436034E11</v>
      </c>
      <c r="C181" s="24" t="s">
        <v>86</v>
      </c>
      <c r="D181" s="24" t="s">
        <v>203</v>
      </c>
      <c r="E181" s="24" t="s">
        <v>9</v>
      </c>
      <c r="F181" s="27" t="s">
        <v>1254</v>
      </c>
      <c r="G181" s="26"/>
      <c r="H181" s="26" t="s">
        <v>1255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4" t="s">
        <v>206</v>
      </c>
      <c r="B182" s="25">
        <v>7.60171643192E11</v>
      </c>
      <c r="C182" s="24" t="s">
        <v>86</v>
      </c>
      <c r="D182" s="24" t="s">
        <v>203</v>
      </c>
      <c r="E182" s="24" t="s">
        <v>9</v>
      </c>
      <c r="F182" s="27" t="s">
        <v>1256</v>
      </c>
      <c r="G182" s="26"/>
      <c r="H182" s="26" t="s">
        <v>1257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4" t="s">
        <v>207</v>
      </c>
      <c r="B183" s="25">
        <v>9.23159143268E11</v>
      </c>
      <c r="C183" s="24" t="s">
        <v>86</v>
      </c>
      <c r="D183" s="24" t="s">
        <v>203</v>
      </c>
      <c r="E183" s="24" t="s">
        <v>9</v>
      </c>
      <c r="F183" s="27" t="s">
        <v>1258</v>
      </c>
      <c r="G183" s="26"/>
      <c r="H183" s="26" t="s">
        <v>1259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4" t="s">
        <v>208</v>
      </c>
      <c r="B184" s="25">
        <v>9.56176242726E11</v>
      </c>
      <c r="C184" s="24" t="s">
        <v>86</v>
      </c>
      <c r="D184" s="24" t="s">
        <v>203</v>
      </c>
      <c r="E184" s="24" t="s">
        <v>9</v>
      </c>
      <c r="F184" s="27" t="s">
        <v>1260</v>
      </c>
      <c r="G184" s="26" t="s">
        <v>1032</v>
      </c>
      <c r="H184" s="26" t="s">
        <v>1261</v>
      </c>
      <c r="I184" s="26" t="s">
        <v>1262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4" t="s">
        <v>209</v>
      </c>
      <c r="B185" s="25">
        <v>7.57153589828E11</v>
      </c>
      <c r="C185" s="24" t="s">
        <v>86</v>
      </c>
      <c r="D185" s="24" t="s">
        <v>203</v>
      </c>
      <c r="E185" s="24" t="s">
        <v>9</v>
      </c>
      <c r="F185" s="27" t="s">
        <v>1263</v>
      </c>
      <c r="G185" s="26" t="s">
        <v>759</v>
      </c>
      <c r="H185" s="26" t="s">
        <v>1264</v>
      </c>
      <c r="I185" s="26" t="s">
        <v>1265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4" t="s">
        <v>210</v>
      </c>
      <c r="B186" s="25">
        <v>5.68127010526E11</v>
      </c>
      <c r="C186" s="24" t="s">
        <v>86</v>
      </c>
      <c r="D186" s="24" t="s">
        <v>203</v>
      </c>
      <c r="E186" s="24" t="s">
        <v>9</v>
      </c>
      <c r="F186" s="27">
        <v>2184.0</v>
      </c>
      <c r="G186" s="26" t="s">
        <v>759</v>
      </c>
      <c r="H186" s="26" t="s">
        <v>1266</v>
      </c>
      <c r="I186" s="26" t="s">
        <v>1267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4" t="s">
        <v>211</v>
      </c>
      <c r="B187" s="25">
        <v>2.65195735907E11</v>
      </c>
      <c r="C187" s="24" t="s">
        <v>86</v>
      </c>
      <c r="D187" s="24" t="s">
        <v>203</v>
      </c>
      <c r="E187" s="24" t="s">
        <v>9</v>
      </c>
      <c r="F187" s="27" t="s">
        <v>1268</v>
      </c>
      <c r="G187" s="26" t="s">
        <v>1060</v>
      </c>
      <c r="H187" s="26" t="s">
        <v>1269</v>
      </c>
      <c r="I187" s="26" t="s">
        <v>1270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4" t="s">
        <v>212</v>
      </c>
      <c r="B188" s="25">
        <v>8.1919414083E11</v>
      </c>
      <c r="C188" s="24" t="s">
        <v>86</v>
      </c>
      <c r="D188" s="24" t="s">
        <v>203</v>
      </c>
      <c r="E188" s="24" t="s">
        <v>9</v>
      </c>
      <c r="F188" s="27" t="s">
        <v>1271</v>
      </c>
      <c r="G188" s="26" t="s">
        <v>1032</v>
      </c>
      <c r="H188" s="26" t="s">
        <v>1272</v>
      </c>
      <c r="I188" s="26" t="s">
        <v>1273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4" t="s">
        <v>213</v>
      </c>
      <c r="B189" s="25">
        <v>5.08196965395E11</v>
      </c>
      <c r="C189" s="24" t="s">
        <v>86</v>
      </c>
      <c r="D189" s="24" t="s">
        <v>203</v>
      </c>
      <c r="E189" s="24" t="s">
        <v>9</v>
      </c>
      <c r="F189" s="27" t="s">
        <v>1274</v>
      </c>
      <c r="G189" s="26" t="s">
        <v>759</v>
      </c>
      <c r="H189" s="26" t="s">
        <v>1275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4" t="s">
        <v>214</v>
      </c>
      <c r="B190" s="25">
        <v>9.52162913989E11</v>
      </c>
      <c r="C190" s="24" t="s">
        <v>86</v>
      </c>
      <c r="D190" s="24" t="s">
        <v>203</v>
      </c>
      <c r="E190" s="24" t="s">
        <v>9</v>
      </c>
      <c r="F190" s="27">
        <v>2223.0</v>
      </c>
      <c r="G190" s="26" t="s">
        <v>1276</v>
      </c>
      <c r="H190" s="26" t="s">
        <v>1277</v>
      </c>
      <c r="I190" s="26" t="s">
        <v>1278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4" t="s">
        <v>215</v>
      </c>
      <c r="B191" s="25">
        <v>7.54121315321E11</v>
      </c>
      <c r="C191" s="24" t="s">
        <v>86</v>
      </c>
      <c r="D191" s="24" t="s">
        <v>203</v>
      </c>
      <c r="E191" s="24" t="s">
        <v>9</v>
      </c>
      <c r="F191" s="27">
        <v>2222.0</v>
      </c>
      <c r="G191" s="26" t="s">
        <v>759</v>
      </c>
      <c r="H191" s="26" t="s">
        <v>1279</v>
      </c>
      <c r="I191" s="26" t="s">
        <v>1280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4" t="s">
        <v>216</v>
      </c>
      <c r="B192" s="25">
        <v>1.26140183639E11</v>
      </c>
      <c r="C192" s="24" t="s">
        <v>86</v>
      </c>
      <c r="D192" s="24" t="s">
        <v>203</v>
      </c>
      <c r="E192" s="24" t="s">
        <v>9</v>
      </c>
      <c r="F192" s="27" t="s">
        <v>1281</v>
      </c>
      <c r="G192" s="26" t="s">
        <v>1276</v>
      </c>
      <c r="H192" s="26" t="s">
        <v>1282</v>
      </c>
      <c r="I192" s="26" t="s">
        <v>1283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4" t="s">
        <v>217</v>
      </c>
      <c r="B193" s="25">
        <v>6.54103435717E11</v>
      </c>
      <c r="C193" s="24" t="s">
        <v>86</v>
      </c>
      <c r="D193" s="24" t="s">
        <v>203</v>
      </c>
      <c r="E193" s="24" t="s">
        <v>9</v>
      </c>
      <c r="F193" s="27" t="s">
        <v>1284</v>
      </c>
      <c r="G193" s="26" t="s">
        <v>1276</v>
      </c>
      <c r="H193" s="26" t="s">
        <v>1285</v>
      </c>
      <c r="I193" s="26" t="s">
        <v>1286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4" t="s">
        <v>218</v>
      </c>
      <c r="B194" s="25">
        <v>4.93126089393E11</v>
      </c>
      <c r="C194" s="24" t="s">
        <v>86</v>
      </c>
      <c r="D194" s="24" t="s">
        <v>203</v>
      </c>
      <c r="E194" s="24" t="s">
        <v>9</v>
      </c>
      <c r="F194" s="27" t="s">
        <v>1287</v>
      </c>
      <c r="G194" s="26"/>
      <c r="H194" s="26" t="s">
        <v>1288</v>
      </c>
      <c r="I194" s="26" t="s">
        <v>1289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4" t="s">
        <v>219</v>
      </c>
      <c r="B195" s="25">
        <v>3.19181950412E11</v>
      </c>
      <c r="C195" s="24" t="s">
        <v>86</v>
      </c>
      <c r="D195" s="24" t="s">
        <v>203</v>
      </c>
      <c r="E195" s="24" t="s">
        <v>9</v>
      </c>
      <c r="F195" s="26">
        <v>2327.0</v>
      </c>
      <c r="G195" s="26" t="s">
        <v>1060</v>
      </c>
      <c r="H195" s="26" t="s">
        <v>1290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4" t="s">
        <v>220</v>
      </c>
      <c r="B196" s="25">
        <v>7.80128402632E11</v>
      </c>
      <c r="C196" s="24" t="s">
        <v>86</v>
      </c>
      <c r="D196" s="24" t="s">
        <v>203</v>
      </c>
      <c r="E196" s="24" t="s">
        <v>9</v>
      </c>
      <c r="F196" s="26">
        <v>2328.0</v>
      </c>
      <c r="G196" s="26" t="s">
        <v>759</v>
      </c>
      <c r="H196" s="26" t="s">
        <v>1291</v>
      </c>
      <c r="I196" s="26" t="s">
        <v>1292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4" t="s">
        <v>221</v>
      </c>
      <c r="B197" s="25">
        <v>8.08191676235E11</v>
      </c>
      <c r="C197" s="24" t="s">
        <v>86</v>
      </c>
      <c r="D197" s="24" t="s">
        <v>203</v>
      </c>
      <c r="E197" s="24" t="s">
        <v>9</v>
      </c>
      <c r="F197" s="26">
        <v>2265.0</v>
      </c>
      <c r="G197" s="26" t="s">
        <v>1276</v>
      </c>
      <c r="H197" s="26" t="s">
        <v>1293</v>
      </c>
      <c r="I197" s="26">
        <v>1.20043799E9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4" t="s">
        <v>222</v>
      </c>
      <c r="B198" s="25">
        <v>3.19163985753E11</v>
      </c>
      <c r="C198" s="24" t="s">
        <v>86</v>
      </c>
      <c r="D198" s="24" t="s">
        <v>203</v>
      </c>
      <c r="E198" s="24" t="s">
        <v>9</v>
      </c>
      <c r="F198" s="26">
        <v>2324.0</v>
      </c>
      <c r="G198" s="26" t="s">
        <v>759</v>
      </c>
      <c r="H198" s="26" t="s">
        <v>1294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4" t="s">
        <v>223</v>
      </c>
      <c r="B199" s="25">
        <v>1.56163195097E11</v>
      </c>
      <c r="C199" s="24" t="s">
        <v>86</v>
      </c>
      <c r="D199" s="24" t="s">
        <v>203</v>
      </c>
      <c r="E199" s="24" t="s">
        <v>9</v>
      </c>
      <c r="F199" s="26">
        <v>2456.0</v>
      </c>
      <c r="G199" s="26" t="s">
        <v>759</v>
      </c>
      <c r="H199" s="26" t="s">
        <v>1295</v>
      </c>
      <c r="I199" s="26" t="s">
        <v>1296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4" t="s">
        <v>224</v>
      </c>
      <c r="B200" s="25">
        <v>9.37180898615E11</v>
      </c>
      <c r="C200" s="24" t="s">
        <v>86</v>
      </c>
      <c r="D200" s="24" t="s">
        <v>203</v>
      </c>
      <c r="E200" s="24" t="s">
        <v>9</v>
      </c>
      <c r="F200" s="26">
        <v>2356.0</v>
      </c>
      <c r="G200" s="26" t="s">
        <v>1297</v>
      </c>
      <c r="H200" s="26" t="s">
        <v>1298</v>
      </c>
      <c r="I200" s="26" t="s">
        <v>1299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4" t="s">
        <v>225</v>
      </c>
      <c r="B201" s="25">
        <v>3.19175494359E11</v>
      </c>
      <c r="C201" s="24" t="s">
        <v>86</v>
      </c>
      <c r="D201" s="24" t="s">
        <v>203</v>
      </c>
      <c r="E201" s="25" t="s">
        <v>9</v>
      </c>
      <c r="F201" s="26">
        <v>2476.0</v>
      </c>
      <c r="G201" s="26" t="s">
        <v>1060</v>
      </c>
      <c r="H201" s="26" t="s">
        <v>1300</v>
      </c>
      <c r="I201" s="26" t="s">
        <v>1301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4" t="s">
        <v>226</v>
      </c>
      <c r="B202" s="25">
        <v>3.48197264895E11</v>
      </c>
      <c r="C202" s="24" t="s">
        <v>86</v>
      </c>
      <c r="D202" s="24" t="s">
        <v>203</v>
      </c>
      <c r="E202" s="24" t="s">
        <v>9</v>
      </c>
      <c r="F202" s="26">
        <v>2434.0</v>
      </c>
      <c r="G202" s="26" t="s">
        <v>759</v>
      </c>
      <c r="H202" s="26" t="s">
        <v>1302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4" t="s">
        <v>227</v>
      </c>
      <c r="B203" s="25">
        <v>3.89178162973E11</v>
      </c>
      <c r="C203" s="24" t="s">
        <v>86</v>
      </c>
      <c r="D203" s="24" t="s">
        <v>203</v>
      </c>
      <c r="E203" s="24" t="s">
        <v>9</v>
      </c>
      <c r="F203" s="26">
        <v>2528.0</v>
      </c>
      <c r="G203" s="26" t="s">
        <v>1060</v>
      </c>
      <c r="H203" s="26" t="s">
        <v>1303</v>
      </c>
      <c r="I203" s="26" t="s">
        <v>1304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4" t="s">
        <v>228</v>
      </c>
      <c r="B204" s="25">
        <v>5.2614826298E11</v>
      </c>
      <c r="C204" s="24" t="s">
        <v>86</v>
      </c>
      <c r="D204" s="24" t="s">
        <v>203</v>
      </c>
      <c r="E204" s="25" t="s">
        <v>9</v>
      </c>
      <c r="F204" s="26">
        <v>2526.0</v>
      </c>
      <c r="G204" s="26" t="s">
        <v>759</v>
      </c>
      <c r="H204" s="26" t="s">
        <v>1305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4" t="s">
        <v>229</v>
      </c>
      <c r="B205" s="25">
        <v>9.89127575602E11</v>
      </c>
      <c r="C205" s="24" t="s">
        <v>86</v>
      </c>
      <c r="D205" s="24" t="s">
        <v>203</v>
      </c>
      <c r="E205" s="24" t="s">
        <v>9</v>
      </c>
      <c r="F205" s="26">
        <v>2560.0</v>
      </c>
      <c r="G205" s="26" t="s">
        <v>1060</v>
      </c>
      <c r="H205" s="26" t="s">
        <v>1306</v>
      </c>
      <c r="I205" s="26" t="s">
        <v>1307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4" t="s">
        <v>230</v>
      </c>
      <c r="B206" s="25">
        <v>3.89173496489E11</v>
      </c>
      <c r="C206" s="24" t="s">
        <v>86</v>
      </c>
      <c r="D206" s="24" t="s">
        <v>203</v>
      </c>
      <c r="E206" s="24" t="s">
        <v>9</v>
      </c>
      <c r="F206" s="26">
        <v>2565.0</v>
      </c>
      <c r="G206" s="26" t="s">
        <v>759</v>
      </c>
      <c r="H206" s="26" t="s">
        <v>1308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4" t="s">
        <v>231</v>
      </c>
      <c r="B207" s="25">
        <v>4.34182527396E11</v>
      </c>
      <c r="C207" s="24" t="s">
        <v>86</v>
      </c>
      <c r="D207" s="24" t="s">
        <v>203</v>
      </c>
      <c r="E207" s="25" t="s">
        <v>9</v>
      </c>
      <c r="F207" s="26">
        <v>2750.0</v>
      </c>
      <c r="G207" s="26" t="s">
        <v>1046</v>
      </c>
      <c r="H207" s="26" t="s">
        <v>1309</v>
      </c>
      <c r="I207" s="26" t="s">
        <v>1310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4" t="s">
        <v>232</v>
      </c>
      <c r="B208" s="25">
        <v>8.76157843203E11</v>
      </c>
      <c r="C208" s="24" t="s">
        <v>86</v>
      </c>
      <c r="D208" s="24" t="s">
        <v>203</v>
      </c>
      <c r="E208" s="25" t="s">
        <v>9</v>
      </c>
      <c r="F208" s="26">
        <v>2805.0</v>
      </c>
      <c r="G208" s="26" t="s">
        <v>1046</v>
      </c>
      <c r="H208" s="26" t="s">
        <v>1311</v>
      </c>
      <c r="I208" s="26" t="s">
        <v>1312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4" t="s">
        <v>233</v>
      </c>
      <c r="B209" s="25">
        <v>5.02168410424E11</v>
      </c>
      <c r="C209" s="24" t="s">
        <v>86</v>
      </c>
      <c r="D209" s="24" t="s">
        <v>63</v>
      </c>
      <c r="E209" s="24" t="s">
        <v>9</v>
      </c>
      <c r="F209" s="27" t="s">
        <v>1313</v>
      </c>
      <c r="G209" s="26"/>
      <c r="H209" s="26" t="s">
        <v>1314</v>
      </c>
      <c r="I209" s="26" t="s">
        <v>1315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4" t="s">
        <v>234</v>
      </c>
      <c r="B210" s="25">
        <v>2.39129619815E11</v>
      </c>
      <c r="C210" s="24" t="s">
        <v>86</v>
      </c>
      <c r="D210" s="24" t="s">
        <v>63</v>
      </c>
      <c r="E210" s="24" t="s">
        <v>9</v>
      </c>
      <c r="F210" s="27" t="s">
        <v>1316</v>
      </c>
      <c r="G210" s="26"/>
      <c r="H210" s="26" t="s">
        <v>1317</v>
      </c>
      <c r="I210" s="26">
        <v>2.01115757521E11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4" t="s">
        <v>235</v>
      </c>
      <c r="B211" s="25">
        <v>4.72189645925E11</v>
      </c>
      <c r="C211" s="24" t="s">
        <v>86</v>
      </c>
      <c r="D211" s="24" t="s">
        <v>63</v>
      </c>
      <c r="E211" s="24" t="s">
        <v>9</v>
      </c>
      <c r="F211" s="27" t="s">
        <v>1318</v>
      </c>
      <c r="G211" s="26"/>
      <c r="H211" s="26" t="s">
        <v>1319</v>
      </c>
      <c r="I211" s="26" t="s">
        <v>1320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4" t="s">
        <v>236</v>
      </c>
      <c r="B212" s="25">
        <v>1.97173080732E11</v>
      </c>
      <c r="C212" s="24" t="s">
        <v>86</v>
      </c>
      <c r="D212" s="24" t="s">
        <v>63</v>
      </c>
      <c r="E212" s="24" t="s">
        <v>9</v>
      </c>
      <c r="F212" s="27" t="s">
        <v>1321</v>
      </c>
      <c r="G212" s="26"/>
      <c r="H212" s="26" t="s">
        <v>1322</v>
      </c>
      <c r="I212" s="26" t="s">
        <v>1323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4" t="s">
        <v>237</v>
      </c>
      <c r="B213" s="25">
        <v>9.43124527415E11</v>
      </c>
      <c r="C213" s="24" t="s">
        <v>86</v>
      </c>
      <c r="D213" s="24" t="s">
        <v>63</v>
      </c>
      <c r="E213" s="24" t="s">
        <v>9</v>
      </c>
      <c r="F213" s="27" t="s">
        <v>1324</v>
      </c>
      <c r="G213" s="26"/>
      <c r="H213" s="26" t="s">
        <v>1325</v>
      </c>
      <c r="I213" s="26" t="s">
        <v>1326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4" t="s">
        <v>238</v>
      </c>
      <c r="B214" s="25">
        <v>6.07182043274E11</v>
      </c>
      <c r="C214" s="24" t="s">
        <v>86</v>
      </c>
      <c r="D214" s="24" t="s">
        <v>63</v>
      </c>
      <c r="E214" s="24" t="s">
        <v>9</v>
      </c>
      <c r="F214" s="27" t="s">
        <v>1327</v>
      </c>
      <c r="G214" s="26"/>
      <c r="H214" s="26" t="s">
        <v>1328</v>
      </c>
      <c r="I214" s="26" t="s">
        <v>1329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4" t="s">
        <v>239</v>
      </c>
      <c r="B215" s="25">
        <v>6.57126746527E11</v>
      </c>
      <c r="C215" s="24" t="s">
        <v>86</v>
      </c>
      <c r="D215" s="24" t="s">
        <v>63</v>
      </c>
      <c r="E215" s="24" t="s">
        <v>9</v>
      </c>
      <c r="F215" s="27" t="s">
        <v>1330</v>
      </c>
      <c r="G215" s="26"/>
      <c r="H215" s="26" t="s">
        <v>1331</v>
      </c>
      <c r="I215" s="26" t="s">
        <v>1332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4" t="s">
        <v>240</v>
      </c>
      <c r="B216" s="25">
        <v>3.57106149247E11</v>
      </c>
      <c r="C216" s="24" t="s">
        <v>86</v>
      </c>
      <c r="D216" s="24" t="s">
        <v>63</v>
      </c>
      <c r="E216" s="24" t="s">
        <v>9</v>
      </c>
      <c r="F216" s="27">
        <v>2224.0</v>
      </c>
      <c r="G216" s="26"/>
      <c r="H216" s="26" t="s">
        <v>1333</v>
      </c>
      <c r="I216" s="26" t="s">
        <v>1334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4" t="s">
        <v>241</v>
      </c>
      <c r="B217" s="25">
        <v>8.02121935313E11</v>
      </c>
      <c r="C217" s="24" t="s">
        <v>86</v>
      </c>
      <c r="D217" s="24" t="s">
        <v>63</v>
      </c>
      <c r="E217" s="24" t="s">
        <v>9</v>
      </c>
      <c r="F217" s="26">
        <v>2405.0</v>
      </c>
      <c r="G217" s="26" t="s">
        <v>1032</v>
      </c>
      <c r="H217" s="26" t="s">
        <v>1335</v>
      </c>
      <c r="I217" s="26" t="s">
        <v>1336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4" t="s">
        <v>242</v>
      </c>
      <c r="B218" s="25">
        <v>8.73194273252E11</v>
      </c>
      <c r="C218" s="24" t="s">
        <v>86</v>
      </c>
      <c r="D218" s="24" t="s">
        <v>63</v>
      </c>
      <c r="E218" s="24" t="s">
        <v>13</v>
      </c>
      <c r="F218" s="26">
        <v>2520.0</v>
      </c>
      <c r="G218" s="26" t="s">
        <v>1046</v>
      </c>
      <c r="H218" s="26" t="s">
        <v>1337</v>
      </c>
      <c r="I218" s="26" t="s">
        <v>1338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4" t="s">
        <v>243</v>
      </c>
      <c r="B219" s="25">
        <v>4.10125641839E11</v>
      </c>
      <c r="C219" s="24" t="s">
        <v>86</v>
      </c>
      <c r="D219" s="24" t="s">
        <v>63</v>
      </c>
      <c r="E219" s="24" t="s">
        <v>9</v>
      </c>
      <c r="F219" s="26">
        <v>2437.0</v>
      </c>
      <c r="G219" s="26" t="s">
        <v>759</v>
      </c>
      <c r="H219" s="26" t="s">
        <v>1339</v>
      </c>
      <c r="I219" s="26" t="s">
        <v>1340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4" t="s">
        <v>244</v>
      </c>
      <c r="B220" s="25">
        <v>4.98189587153E11</v>
      </c>
      <c r="C220" s="24" t="s">
        <v>86</v>
      </c>
      <c r="D220" s="24" t="s">
        <v>63</v>
      </c>
      <c r="E220" s="24" t="s">
        <v>9</v>
      </c>
      <c r="F220" s="26">
        <v>2450.0</v>
      </c>
      <c r="G220" s="26" t="s">
        <v>759</v>
      </c>
      <c r="H220" s="26" t="s">
        <v>1341</v>
      </c>
      <c r="I220" s="26" t="s">
        <v>1342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4" t="s">
        <v>245</v>
      </c>
      <c r="B221" s="25">
        <v>4.13139051352E11</v>
      </c>
      <c r="C221" s="24" t="s">
        <v>86</v>
      </c>
      <c r="D221" s="24" t="s">
        <v>63</v>
      </c>
      <c r="E221" s="24" t="s">
        <v>13</v>
      </c>
      <c r="F221" s="26">
        <v>2506.0</v>
      </c>
      <c r="G221" s="26" t="s">
        <v>759</v>
      </c>
      <c r="H221" s="26" t="s">
        <v>1343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4" t="s">
        <v>246</v>
      </c>
      <c r="B222" s="25">
        <v>4.59169091647E11</v>
      </c>
      <c r="C222" s="24" t="s">
        <v>86</v>
      </c>
      <c r="D222" s="24" t="s">
        <v>63</v>
      </c>
      <c r="E222" s="24" t="s">
        <v>9</v>
      </c>
      <c r="F222" s="26">
        <v>2663.0</v>
      </c>
      <c r="G222" s="26" t="s">
        <v>759</v>
      </c>
      <c r="H222" s="26" t="s">
        <v>1344</v>
      </c>
      <c r="I222" s="26" t="s">
        <v>1345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4" t="s">
        <v>247</v>
      </c>
      <c r="B223" s="25">
        <v>2.89184740127E11</v>
      </c>
      <c r="C223" s="24" t="s">
        <v>86</v>
      </c>
      <c r="D223" s="24" t="s">
        <v>63</v>
      </c>
      <c r="E223" s="24" t="s">
        <v>9</v>
      </c>
      <c r="F223" s="26">
        <v>2729.0</v>
      </c>
      <c r="G223" s="26" t="s">
        <v>1046</v>
      </c>
      <c r="H223" s="26" t="s">
        <v>1346</v>
      </c>
      <c r="I223" s="26" t="s">
        <v>1347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4" t="s">
        <v>248</v>
      </c>
      <c r="B224" s="25">
        <v>9.52197671641E11</v>
      </c>
      <c r="C224" s="24" t="s">
        <v>86</v>
      </c>
      <c r="D224" s="24" t="s">
        <v>63</v>
      </c>
      <c r="E224" s="24" t="s">
        <v>9</v>
      </c>
      <c r="F224" s="26">
        <v>2634.0</v>
      </c>
      <c r="G224" s="26" t="s">
        <v>759</v>
      </c>
      <c r="H224" s="26" t="s">
        <v>1348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4" t="s">
        <v>249</v>
      </c>
      <c r="B225" s="25">
        <v>5.78138935094E11</v>
      </c>
      <c r="C225" s="24" t="s">
        <v>86</v>
      </c>
      <c r="D225" s="24" t="s">
        <v>250</v>
      </c>
      <c r="E225" s="24" t="s">
        <v>9</v>
      </c>
      <c r="F225" s="27" t="s">
        <v>1349</v>
      </c>
      <c r="G225" s="26" t="s">
        <v>902</v>
      </c>
      <c r="H225" s="26" t="s">
        <v>1350</v>
      </c>
      <c r="I225" s="26" t="s">
        <v>1351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4" t="s">
        <v>251</v>
      </c>
      <c r="B226" s="25">
        <v>8.70105869516E11</v>
      </c>
      <c r="C226" s="24" t="s">
        <v>86</v>
      </c>
      <c r="D226" s="24" t="s">
        <v>250</v>
      </c>
      <c r="E226" s="24" t="s">
        <v>9</v>
      </c>
      <c r="F226" s="27" t="s">
        <v>1352</v>
      </c>
      <c r="G226" s="26" t="s">
        <v>1041</v>
      </c>
      <c r="H226" s="26" t="s">
        <v>1353</v>
      </c>
      <c r="I226" s="26" t="s">
        <v>1354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4" t="s">
        <v>252</v>
      </c>
      <c r="B227" s="25">
        <v>2.67179017974E11</v>
      </c>
      <c r="C227" s="24" t="s">
        <v>86</v>
      </c>
      <c r="D227" s="24" t="s">
        <v>250</v>
      </c>
      <c r="E227" s="24" t="s">
        <v>9</v>
      </c>
      <c r="F227" s="27" t="s">
        <v>1355</v>
      </c>
      <c r="G227" s="26" t="s">
        <v>1032</v>
      </c>
      <c r="H227" s="26" t="s">
        <v>1356</v>
      </c>
      <c r="I227" s="26">
        <v>1.09170272E9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4" t="s">
        <v>253</v>
      </c>
      <c r="B228" s="25">
        <v>5.0210389689E11</v>
      </c>
      <c r="C228" s="24" t="s">
        <v>86</v>
      </c>
      <c r="D228" s="24" t="s">
        <v>250</v>
      </c>
      <c r="E228" s="24" t="s">
        <v>9</v>
      </c>
      <c r="F228" s="27" t="s">
        <v>1357</v>
      </c>
      <c r="G228" s="26" t="s">
        <v>1060</v>
      </c>
      <c r="H228" s="26" t="s">
        <v>1358</v>
      </c>
      <c r="I228" s="26" t="s">
        <v>1359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4" t="s">
        <v>254</v>
      </c>
      <c r="B229" s="25">
        <v>6.15157028363E11</v>
      </c>
      <c r="C229" s="24" t="s">
        <v>86</v>
      </c>
      <c r="D229" s="24" t="s">
        <v>250</v>
      </c>
      <c r="E229" s="24" t="s">
        <v>9</v>
      </c>
      <c r="F229" s="27" t="s">
        <v>1360</v>
      </c>
      <c r="G229" s="26" t="s">
        <v>759</v>
      </c>
      <c r="H229" s="26" t="s">
        <v>1361</v>
      </c>
      <c r="I229" s="26" t="s">
        <v>1362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4" t="s">
        <v>255</v>
      </c>
      <c r="B230" s="25">
        <v>9.80129038038E11</v>
      </c>
      <c r="C230" s="24" t="s">
        <v>86</v>
      </c>
      <c r="D230" s="24" t="s">
        <v>250</v>
      </c>
      <c r="E230" s="24" t="s">
        <v>9</v>
      </c>
      <c r="F230" s="26">
        <v>2238.0</v>
      </c>
      <c r="G230" s="26" t="s">
        <v>759</v>
      </c>
      <c r="H230" s="26" t="s">
        <v>1363</v>
      </c>
      <c r="I230" s="26" t="s">
        <v>1364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4" t="s">
        <v>256</v>
      </c>
      <c r="B231" s="25">
        <v>6.79176560982E11</v>
      </c>
      <c r="C231" s="24" t="s">
        <v>86</v>
      </c>
      <c r="D231" s="24" t="s">
        <v>250</v>
      </c>
      <c r="E231" s="24" t="s">
        <v>9</v>
      </c>
      <c r="F231" s="26">
        <v>2251.0</v>
      </c>
      <c r="G231" s="26" t="s">
        <v>1041</v>
      </c>
      <c r="H231" s="26" t="s">
        <v>1365</v>
      </c>
      <c r="I231" s="26" t="s">
        <v>1366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4" t="s">
        <v>257</v>
      </c>
      <c r="B232" s="25">
        <v>9.59156023193E11</v>
      </c>
      <c r="C232" s="24" t="s">
        <v>86</v>
      </c>
      <c r="D232" s="24" t="s">
        <v>250</v>
      </c>
      <c r="E232" s="24" t="s">
        <v>9</v>
      </c>
      <c r="F232" s="26">
        <v>2309.0</v>
      </c>
      <c r="G232" s="26" t="s">
        <v>759</v>
      </c>
      <c r="H232" s="26" t="s">
        <v>1367</v>
      </c>
      <c r="I232" s="26" t="s">
        <v>1368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4" t="s">
        <v>258</v>
      </c>
      <c r="B233" s="25">
        <v>7.27157584915E11</v>
      </c>
      <c r="C233" s="24" t="s">
        <v>86</v>
      </c>
      <c r="D233" s="24" t="s">
        <v>250</v>
      </c>
      <c r="E233" s="24" t="s">
        <v>9</v>
      </c>
      <c r="F233" s="26">
        <v>2354.0</v>
      </c>
      <c r="G233" s="26" t="s">
        <v>1060</v>
      </c>
      <c r="H233" s="26" t="s">
        <v>1369</v>
      </c>
      <c r="I233" s="26" t="s">
        <v>1370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4" t="s">
        <v>259</v>
      </c>
      <c r="B234" s="25">
        <v>8.58151472598E11</v>
      </c>
      <c r="C234" s="24" t="s">
        <v>86</v>
      </c>
      <c r="D234" s="24" t="s">
        <v>250</v>
      </c>
      <c r="E234" s="24" t="s">
        <v>9</v>
      </c>
      <c r="F234" s="26">
        <v>2477.0</v>
      </c>
      <c r="G234" s="26" t="s">
        <v>902</v>
      </c>
      <c r="H234" s="26" t="s">
        <v>1371</v>
      </c>
      <c r="I234" s="26" t="s">
        <v>1372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4" t="s">
        <v>260</v>
      </c>
      <c r="B235" s="25">
        <v>2.13134791302E11</v>
      </c>
      <c r="C235" s="24" t="s">
        <v>86</v>
      </c>
      <c r="D235" s="24" t="s">
        <v>250</v>
      </c>
      <c r="E235" s="24" t="s">
        <v>13</v>
      </c>
      <c r="F235" s="26">
        <v>2511.0</v>
      </c>
      <c r="G235" s="26" t="s">
        <v>1032</v>
      </c>
      <c r="H235" s="26" t="s">
        <v>1373</v>
      </c>
      <c r="I235" s="26" t="s">
        <v>1374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4" t="s">
        <v>261</v>
      </c>
      <c r="B236" s="25">
        <v>6.53189026206E11</v>
      </c>
      <c r="C236" s="24" t="s">
        <v>86</v>
      </c>
      <c r="D236" s="24" t="s">
        <v>250</v>
      </c>
      <c r="E236" s="24" t="s">
        <v>13</v>
      </c>
      <c r="F236" s="26">
        <v>2521.0</v>
      </c>
      <c r="G236" s="26" t="s">
        <v>759</v>
      </c>
      <c r="H236" s="26" t="s">
        <v>1375</v>
      </c>
      <c r="I236" s="26" t="s">
        <v>1376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4" t="s">
        <v>262</v>
      </c>
      <c r="B237" s="25">
        <v>4.23152568123E11</v>
      </c>
      <c r="C237" s="24" t="s">
        <v>86</v>
      </c>
      <c r="D237" s="24" t="s">
        <v>250</v>
      </c>
      <c r="E237" s="24" t="s">
        <v>13</v>
      </c>
      <c r="F237" s="26">
        <v>2674.0</v>
      </c>
      <c r="G237" s="26" t="s">
        <v>759</v>
      </c>
      <c r="H237" s="26" t="s">
        <v>1377</v>
      </c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4" t="s">
        <v>263</v>
      </c>
      <c r="B238" s="25">
        <v>5.43127859795E11</v>
      </c>
      <c r="C238" s="24" t="s">
        <v>86</v>
      </c>
      <c r="D238" s="24" t="s">
        <v>250</v>
      </c>
      <c r="E238" s="24" t="s">
        <v>9</v>
      </c>
      <c r="F238" s="26">
        <v>2601.0</v>
      </c>
      <c r="G238" s="26" t="s">
        <v>1276</v>
      </c>
      <c r="H238" s="26" t="s">
        <v>1378</v>
      </c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4" t="s">
        <v>264</v>
      </c>
      <c r="B239" s="25">
        <v>3.18197043548E11</v>
      </c>
      <c r="C239" s="24" t="s">
        <v>86</v>
      </c>
      <c r="D239" s="24" t="s">
        <v>250</v>
      </c>
      <c r="E239" s="25" t="s">
        <v>9</v>
      </c>
      <c r="F239" s="26">
        <v>2705.0</v>
      </c>
      <c r="G239" s="26" t="s">
        <v>1032</v>
      </c>
      <c r="H239" s="26" t="s">
        <v>1379</v>
      </c>
      <c r="I239" s="26" t="s">
        <v>1380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4" t="s">
        <v>265</v>
      </c>
      <c r="B240" s="25">
        <v>9.27107160421E11</v>
      </c>
      <c r="C240" s="24" t="s">
        <v>86</v>
      </c>
      <c r="D240" s="24" t="s">
        <v>250</v>
      </c>
      <c r="E240" s="24" t="s">
        <v>13</v>
      </c>
      <c r="F240" s="26">
        <v>2760.0</v>
      </c>
      <c r="G240" s="26" t="s">
        <v>902</v>
      </c>
      <c r="H240" s="26" t="s">
        <v>1381</v>
      </c>
      <c r="I240" s="26" t="s">
        <v>1382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4" t="s">
        <v>266</v>
      </c>
      <c r="B241" s="25">
        <v>1.30151805637E11</v>
      </c>
      <c r="C241" s="24" t="s">
        <v>86</v>
      </c>
      <c r="D241" s="24" t="s">
        <v>69</v>
      </c>
      <c r="E241" s="24" t="s">
        <v>9</v>
      </c>
      <c r="F241" s="27" t="s">
        <v>1383</v>
      </c>
      <c r="G241" s="26" t="s">
        <v>1094</v>
      </c>
      <c r="H241" s="26" t="s">
        <v>1384</v>
      </c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4" t="s">
        <v>267</v>
      </c>
      <c r="B242" s="25">
        <v>1.43165762069E11</v>
      </c>
      <c r="C242" s="24" t="s">
        <v>86</v>
      </c>
      <c r="D242" s="24" t="s">
        <v>69</v>
      </c>
      <c r="E242" s="24" t="s">
        <v>9</v>
      </c>
      <c r="F242" s="27" t="s">
        <v>1385</v>
      </c>
      <c r="G242" s="26" t="s">
        <v>1094</v>
      </c>
      <c r="H242" s="26" t="s">
        <v>1386</v>
      </c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4" t="s">
        <v>268</v>
      </c>
      <c r="B243" s="25">
        <v>5.98191375412E11</v>
      </c>
      <c r="C243" s="24" t="s">
        <v>86</v>
      </c>
      <c r="D243" s="24" t="s">
        <v>69</v>
      </c>
      <c r="E243" s="24" t="s">
        <v>9</v>
      </c>
      <c r="F243" s="27" t="s">
        <v>1387</v>
      </c>
      <c r="G243" s="26" t="s">
        <v>1032</v>
      </c>
      <c r="H243" s="26" t="s">
        <v>1388</v>
      </c>
      <c r="I243" s="26" t="s">
        <v>1389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4" t="s">
        <v>269</v>
      </c>
      <c r="B244" s="25">
        <v>2.96150317528E11</v>
      </c>
      <c r="C244" s="24" t="s">
        <v>86</v>
      </c>
      <c r="D244" s="24" t="s">
        <v>69</v>
      </c>
      <c r="E244" s="24" t="s">
        <v>9</v>
      </c>
      <c r="F244" s="27" t="s">
        <v>1390</v>
      </c>
      <c r="G244" s="26" t="s">
        <v>1041</v>
      </c>
      <c r="H244" s="26" t="s">
        <v>1391</v>
      </c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4" t="s">
        <v>270</v>
      </c>
      <c r="B245" s="25">
        <v>4.29127969509E11</v>
      </c>
      <c r="C245" s="24" t="s">
        <v>86</v>
      </c>
      <c r="D245" s="24" t="s">
        <v>69</v>
      </c>
      <c r="E245" s="24" t="s">
        <v>9</v>
      </c>
      <c r="F245" s="27" t="s">
        <v>1392</v>
      </c>
      <c r="G245" s="26" t="s">
        <v>1032</v>
      </c>
      <c r="H245" s="26" t="s">
        <v>1393</v>
      </c>
      <c r="I245" s="26" t="s">
        <v>1394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4" t="s">
        <v>271</v>
      </c>
      <c r="B246" s="25">
        <v>6.49109540563E11</v>
      </c>
      <c r="C246" s="24" t="s">
        <v>86</v>
      </c>
      <c r="D246" s="24" t="s">
        <v>69</v>
      </c>
      <c r="E246" s="24" t="s">
        <v>9</v>
      </c>
      <c r="F246" s="27" t="s">
        <v>1395</v>
      </c>
      <c r="G246" s="26" t="s">
        <v>759</v>
      </c>
      <c r="H246" s="26" t="s">
        <v>1396</v>
      </c>
      <c r="I246" s="26" t="s">
        <v>1397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4" t="s">
        <v>272</v>
      </c>
      <c r="B247" s="25">
        <v>9.72182920695E11</v>
      </c>
      <c r="C247" s="24" t="s">
        <v>86</v>
      </c>
      <c r="D247" s="24" t="s">
        <v>69</v>
      </c>
      <c r="E247" s="24" t="s">
        <v>9</v>
      </c>
      <c r="F247" s="27" t="s">
        <v>1398</v>
      </c>
      <c r="G247" s="26" t="s">
        <v>1094</v>
      </c>
      <c r="H247" s="26" t="s">
        <v>1399</v>
      </c>
      <c r="I247" s="26" t="s">
        <v>1400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4" t="s">
        <v>273</v>
      </c>
      <c r="B248" s="25">
        <v>3.5718168484E11</v>
      </c>
      <c r="C248" s="24" t="s">
        <v>86</v>
      </c>
      <c r="D248" s="24" t="s">
        <v>69</v>
      </c>
      <c r="E248" s="24" t="s">
        <v>9</v>
      </c>
      <c r="F248" s="27" t="s">
        <v>1401</v>
      </c>
      <c r="G248" s="26" t="s">
        <v>1032</v>
      </c>
      <c r="H248" s="26" t="s">
        <v>1402</v>
      </c>
      <c r="I248" s="26" t="s">
        <v>1403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4" t="s">
        <v>274</v>
      </c>
      <c r="B249" s="25">
        <v>4.05161986485E11</v>
      </c>
      <c r="C249" s="24" t="s">
        <v>86</v>
      </c>
      <c r="D249" s="24" t="s">
        <v>69</v>
      </c>
      <c r="E249" s="24" t="s">
        <v>9</v>
      </c>
      <c r="F249" s="27" t="s">
        <v>1404</v>
      </c>
      <c r="G249" s="26" t="s">
        <v>759</v>
      </c>
      <c r="H249" s="26" t="s">
        <v>1405</v>
      </c>
      <c r="I249" s="26" t="s">
        <v>1406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4" t="s">
        <v>275</v>
      </c>
      <c r="B250" s="25">
        <v>7.95196170456E11</v>
      </c>
      <c r="C250" s="24" t="s">
        <v>86</v>
      </c>
      <c r="D250" s="24" t="s">
        <v>69</v>
      </c>
      <c r="E250" s="24" t="s">
        <v>9</v>
      </c>
      <c r="F250" s="27" t="s">
        <v>1407</v>
      </c>
      <c r="G250" s="26" t="s">
        <v>1041</v>
      </c>
      <c r="H250" s="26" t="s">
        <v>1408</v>
      </c>
      <c r="I250" s="26" t="s">
        <v>1409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4" t="s">
        <v>276</v>
      </c>
      <c r="B251" s="25">
        <v>7.92190383878E11</v>
      </c>
      <c r="C251" s="24" t="s">
        <v>86</v>
      </c>
      <c r="D251" s="24" t="s">
        <v>69</v>
      </c>
      <c r="E251" s="24" t="s">
        <v>9</v>
      </c>
      <c r="F251" s="27" t="s">
        <v>1410</v>
      </c>
      <c r="G251" s="26" t="s">
        <v>759</v>
      </c>
      <c r="H251" s="26" t="s">
        <v>1411</v>
      </c>
      <c r="I251" s="26" t="s">
        <v>1412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4" t="s">
        <v>277</v>
      </c>
      <c r="B252" s="25">
        <v>6.26109078528E11</v>
      </c>
      <c r="C252" s="24" t="s">
        <v>86</v>
      </c>
      <c r="D252" s="24" t="s">
        <v>69</v>
      </c>
      <c r="E252" s="24" t="s">
        <v>9</v>
      </c>
      <c r="F252" s="26">
        <v>2345.0</v>
      </c>
      <c r="G252" s="26" t="s">
        <v>1041</v>
      </c>
      <c r="H252" s="26" t="s">
        <v>1413</v>
      </c>
      <c r="I252" s="26" t="s">
        <v>1414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4" t="s">
        <v>278</v>
      </c>
      <c r="B253" s="25">
        <v>8.32192515851E11</v>
      </c>
      <c r="C253" s="24" t="s">
        <v>86</v>
      </c>
      <c r="D253" s="24" t="s">
        <v>69</v>
      </c>
      <c r="E253" s="24" t="s">
        <v>9</v>
      </c>
      <c r="F253" s="26">
        <v>2344.0</v>
      </c>
      <c r="G253" s="26" t="s">
        <v>1415</v>
      </c>
      <c r="H253" s="26" t="s">
        <v>1416</v>
      </c>
      <c r="I253" s="26" t="s">
        <v>1417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4" t="s">
        <v>279</v>
      </c>
      <c r="B254" s="25">
        <v>5.29163026412E11</v>
      </c>
      <c r="C254" s="24" t="s">
        <v>86</v>
      </c>
      <c r="D254" s="24" t="s">
        <v>69</v>
      </c>
      <c r="E254" s="24" t="s">
        <v>9</v>
      </c>
      <c r="F254" s="26">
        <v>2416.0</v>
      </c>
      <c r="G254" s="26" t="s">
        <v>759</v>
      </c>
      <c r="H254" s="26" t="s">
        <v>1418</v>
      </c>
      <c r="I254" s="26" t="s">
        <v>1419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4" t="s">
        <v>280</v>
      </c>
      <c r="B255" s="25">
        <v>1.82137368351E11</v>
      </c>
      <c r="C255" s="24" t="s">
        <v>86</v>
      </c>
      <c r="D255" s="24" t="s">
        <v>69</v>
      </c>
      <c r="E255" s="24" t="s">
        <v>9</v>
      </c>
      <c r="F255" s="26">
        <v>2462.0</v>
      </c>
      <c r="G255" s="26" t="s">
        <v>1420</v>
      </c>
      <c r="H255" s="26" t="s">
        <v>1421</v>
      </c>
      <c r="I255" s="26" t="s">
        <v>1422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4" t="s">
        <v>281</v>
      </c>
      <c r="B256" s="25">
        <v>2.65124381798E11</v>
      </c>
      <c r="C256" s="24" t="s">
        <v>86</v>
      </c>
      <c r="D256" s="24" t="s">
        <v>69</v>
      </c>
      <c r="E256" s="25" t="s">
        <v>9</v>
      </c>
      <c r="F256" s="26">
        <v>2474.0</v>
      </c>
      <c r="G256" s="26" t="s">
        <v>923</v>
      </c>
      <c r="H256" s="26" t="s">
        <v>1423</v>
      </c>
      <c r="I256" s="26" t="s">
        <v>1424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4" t="s">
        <v>282</v>
      </c>
      <c r="B257" s="25">
        <v>5.20172853627E11</v>
      </c>
      <c r="C257" s="24" t="s">
        <v>86</v>
      </c>
      <c r="D257" s="24" t="s">
        <v>69</v>
      </c>
      <c r="E257" s="24" t="s">
        <v>9</v>
      </c>
      <c r="F257" s="26">
        <v>2466.0</v>
      </c>
      <c r="G257" s="26" t="s">
        <v>1041</v>
      </c>
      <c r="H257" s="26" t="s">
        <v>1425</v>
      </c>
      <c r="I257" s="26" t="s">
        <v>1426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4" t="s">
        <v>283</v>
      </c>
      <c r="B258" s="25">
        <v>2.58162458472E11</v>
      </c>
      <c r="C258" s="24" t="s">
        <v>86</v>
      </c>
      <c r="D258" s="24" t="s">
        <v>69</v>
      </c>
      <c r="E258" s="24" t="s">
        <v>9</v>
      </c>
      <c r="F258" s="26">
        <v>2541.0</v>
      </c>
      <c r="G258" s="26" t="s">
        <v>1041</v>
      </c>
      <c r="H258" s="26" t="s">
        <v>1427</v>
      </c>
      <c r="I258" s="26" t="s">
        <v>1428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4" t="s">
        <v>284</v>
      </c>
      <c r="B259" s="25">
        <v>4.07189748903E11</v>
      </c>
      <c r="C259" s="24" t="s">
        <v>86</v>
      </c>
      <c r="D259" s="24" t="s">
        <v>69</v>
      </c>
      <c r="E259" s="24" t="s">
        <v>9</v>
      </c>
      <c r="F259" s="26">
        <v>2544.0</v>
      </c>
      <c r="G259" s="26" t="s">
        <v>1032</v>
      </c>
      <c r="H259" s="26" t="s">
        <v>1429</v>
      </c>
      <c r="I259" s="26" t="s">
        <v>1430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4" t="s">
        <v>285</v>
      </c>
      <c r="B260" s="25">
        <v>3.79179346029E11</v>
      </c>
      <c r="C260" s="24" t="s">
        <v>86</v>
      </c>
      <c r="D260" s="24" t="s">
        <v>69</v>
      </c>
      <c r="E260" s="24" t="s">
        <v>9</v>
      </c>
      <c r="F260" s="26">
        <v>2326.0</v>
      </c>
      <c r="G260" s="26" t="s">
        <v>1276</v>
      </c>
      <c r="H260" s="26" t="s">
        <v>1431</v>
      </c>
      <c r="I260" s="26">
        <v>2.01111445648E11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4" t="s">
        <v>286</v>
      </c>
      <c r="B261" s="25">
        <v>5.2412159726E11</v>
      </c>
      <c r="C261" s="24" t="s">
        <v>86</v>
      </c>
      <c r="D261" s="24" t="s">
        <v>69</v>
      </c>
      <c r="E261" s="25" t="s">
        <v>9</v>
      </c>
      <c r="F261" s="26">
        <v>2608.0</v>
      </c>
      <c r="G261" s="26" t="s">
        <v>1276</v>
      </c>
      <c r="H261" s="26" t="s">
        <v>1432</v>
      </c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4" t="s">
        <v>287</v>
      </c>
      <c r="B262" s="25">
        <v>3.70154903174E11</v>
      </c>
      <c r="C262" s="24" t="s">
        <v>86</v>
      </c>
      <c r="D262" s="24" t="s">
        <v>69</v>
      </c>
      <c r="E262" s="24" t="s">
        <v>9</v>
      </c>
      <c r="F262" s="26">
        <v>2733.0</v>
      </c>
      <c r="G262" s="26" t="s">
        <v>1041</v>
      </c>
      <c r="H262" s="26" t="s">
        <v>1433</v>
      </c>
      <c r="I262" s="26" t="s">
        <v>1434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4" t="s">
        <v>288</v>
      </c>
      <c r="B263" s="25">
        <v>2.67120267316E11</v>
      </c>
      <c r="C263" s="24" t="s">
        <v>86</v>
      </c>
      <c r="D263" s="24" t="s">
        <v>69</v>
      </c>
      <c r="E263" s="24" t="s">
        <v>9</v>
      </c>
      <c r="F263" s="26">
        <v>2731.0</v>
      </c>
      <c r="G263" s="26" t="s">
        <v>1046</v>
      </c>
      <c r="H263" s="26" t="s">
        <v>1435</v>
      </c>
      <c r="I263" s="26" t="s">
        <v>1436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4" t="s">
        <v>289</v>
      </c>
      <c r="B264" s="25">
        <v>2.60139845925E11</v>
      </c>
      <c r="C264" s="24" t="s">
        <v>86</v>
      </c>
      <c r="D264" s="24" t="s">
        <v>69</v>
      </c>
      <c r="E264" s="24" t="s">
        <v>9</v>
      </c>
      <c r="F264" s="26">
        <v>2708.0</v>
      </c>
      <c r="G264" s="26" t="s">
        <v>1046</v>
      </c>
      <c r="H264" s="26" t="s">
        <v>1437</v>
      </c>
      <c r="I264" s="26" t="s">
        <v>1438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4" t="s">
        <v>290</v>
      </c>
      <c r="B265" s="25">
        <v>4.93101971496E11</v>
      </c>
      <c r="C265" s="24" t="s">
        <v>86</v>
      </c>
      <c r="D265" s="24" t="s">
        <v>69</v>
      </c>
      <c r="E265" s="24" t="s">
        <v>35</v>
      </c>
      <c r="F265" s="26">
        <v>2732.0</v>
      </c>
      <c r="G265" s="26" t="s">
        <v>759</v>
      </c>
      <c r="H265" s="26" t="s">
        <v>1439</v>
      </c>
      <c r="I265" s="26" t="s">
        <v>1440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4" t="s">
        <v>291</v>
      </c>
      <c r="B266" s="25">
        <v>7.0612192014E11</v>
      </c>
      <c r="C266" s="24" t="s">
        <v>86</v>
      </c>
      <c r="D266" s="24" t="s">
        <v>69</v>
      </c>
      <c r="E266" s="24" t="s">
        <v>13</v>
      </c>
      <c r="F266" s="26">
        <v>2724.0</v>
      </c>
      <c r="G266" s="26" t="s">
        <v>1041</v>
      </c>
      <c r="H266" s="26" t="s">
        <v>1441</v>
      </c>
      <c r="I266" s="26" t="s">
        <v>1442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4" t="s">
        <v>292</v>
      </c>
      <c r="B267" s="25">
        <v>3.20151393513E11</v>
      </c>
      <c r="C267" s="24" t="s">
        <v>86</v>
      </c>
      <c r="D267" s="24" t="s">
        <v>69</v>
      </c>
      <c r="E267" s="24" t="s">
        <v>9</v>
      </c>
      <c r="F267" s="26">
        <v>2706.0</v>
      </c>
      <c r="G267" s="26" t="s">
        <v>902</v>
      </c>
      <c r="H267" s="26" t="s">
        <v>1443</v>
      </c>
      <c r="I267" s="26" t="s">
        <v>1444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4" t="s">
        <v>293</v>
      </c>
      <c r="B268" s="25">
        <v>2.79170372636E11</v>
      </c>
      <c r="C268" s="24" t="s">
        <v>86</v>
      </c>
      <c r="D268" s="24" t="s">
        <v>69</v>
      </c>
      <c r="E268" s="25" t="s">
        <v>9</v>
      </c>
      <c r="F268" s="26">
        <v>2677.0</v>
      </c>
      <c r="G268" s="26" t="s">
        <v>1420</v>
      </c>
      <c r="H268" s="26" t="s">
        <v>1445</v>
      </c>
      <c r="I268" s="26" t="s">
        <v>1446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4" t="s">
        <v>294</v>
      </c>
      <c r="B269" s="25">
        <v>1.05143030564E11</v>
      </c>
      <c r="C269" s="24" t="s">
        <v>86</v>
      </c>
      <c r="D269" s="24" t="s">
        <v>69</v>
      </c>
      <c r="E269" s="24" t="s">
        <v>9</v>
      </c>
      <c r="F269" s="26">
        <v>2753.0</v>
      </c>
      <c r="G269" s="26" t="s">
        <v>902</v>
      </c>
      <c r="H269" s="26" t="s">
        <v>1447</v>
      </c>
      <c r="I269" s="26" t="s">
        <v>1448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4" t="s">
        <v>295</v>
      </c>
      <c r="B270" s="25">
        <v>7.06169030428E11</v>
      </c>
      <c r="C270" s="24" t="s">
        <v>86</v>
      </c>
      <c r="D270" s="24" t="s">
        <v>69</v>
      </c>
      <c r="E270" s="24" t="s">
        <v>9</v>
      </c>
      <c r="F270" s="26">
        <v>2610.0</v>
      </c>
      <c r="G270" s="26" t="s">
        <v>902</v>
      </c>
      <c r="H270" s="26" t="s">
        <v>1449</v>
      </c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4" t="s">
        <v>296</v>
      </c>
      <c r="B271" s="25">
        <v>4.15120941851E11</v>
      </c>
      <c r="C271" s="24" t="s">
        <v>86</v>
      </c>
      <c r="D271" s="24" t="s">
        <v>69</v>
      </c>
      <c r="E271" s="24" t="s">
        <v>9</v>
      </c>
      <c r="F271" s="26">
        <v>2699.0</v>
      </c>
      <c r="G271" s="26" t="s">
        <v>902</v>
      </c>
      <c r="H271" s="26" t="s">
        <v>1450</v>
      </c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4" t="s">
        <v>297</v>
      </c>
      <c r="B272" s="25">
        <v>7.87132953842E11</v>
      </c>
      <c r="C272" s="24" t="s">
        <v>86</v>
      </c>
      <c r="D272" s="24" t="s">
        <v>69</v>
      </c>
      <c r="E272" s="25" t="s">
        <v>9</v>
      </c>
      <c r="F272" s="26">
        <v>2631.0</v>
      </c>
      <c r="G272" s="26" t="s">
        <v>1276</v>
      </c>
      <c r="H272" s="26" t="s">
        <v>1451</v>
      </c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4" t="s">
        <v>298</v>
      </c>
      <c r="B273" s="25">
        <v>8.67195425601E11</v>
      </c>
      <c r="C273" s="24" t="s">
        <v>86</v>
      </c>
      <c r="D273" s="24" t="s">
        <v>69</v>
      </c>
      <c r="E273" s="24" t="s">
        <v>13</v>
      </c>
      <c r="F273" s="26">
        <v>2806.0</v>
      </c>
      <c r="G273" s="26" t="s">
        <v>902</v>
      </c>
      <c r="H273" s="26" t="s">
        <v>1452</v>
      </c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4" t="s">
        <v>299</v>
      </c>
      <c r="B274" s="25">
        <v>9.76123902784E11</v>
      </c>
      <c r="C274" s="24" t="s">
        <v>86</v>
      </c>
      <c r="D274" s="24" t="s">
        <v>300</v>
      </c>
      <c r="E274" s="24" t="s">
        <v>9</v>
      </c>
      <c r="F274" s="27" t="s">
        <v>1453</v>
      </c>
      <c r="G274" s="26"/>
      <c r="H274" s="26" t="s">
        <v>1454</v>
      </c>
      <c r="I274" s="26" t="s">
        <v>1455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4" t="s">
        <v>301</v>
      </c>
      <c r="B275" s="25">
        <v>3.45151236382E11</v>
      </c>
      <c r="C275" s="24" t="s">
        <v>86</v>
      </c>
      <c r="D275" s="24" t="s">
        <v>300</v>
      </c>
      <c r="E275" s="24" t="s">
        <v>9</v>
      </c>
      <c r="F275" s="27" t="s">
        <v>1456</v>
      </c>
      <c r="G275" s="26"/>
      <c r="H275" s="26" t="s">
        <v>1457</v>
      </c>
      <c r="I275" s="26" t="s">
        <v>1458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4" t="s">
        <v>302</v>
      </c>
      <c r="B276" s="25">
        <v>2.13156056568E11</v>
      </c>
      <c r="C276" s="24" t="s">
        <v>303</v>
      </c>
      <c r="D276" s="24" t="s">
        <v>25</v>
      </c>
      <c r="E276" s="24" t="s">
        <v>9</v>
      </c>
      <c r="F276" s="27" t="s">
        <v>1459</v>
      </c>
      <c r="G276" s="26"/>
      <c r="H276" s="26" t="s">
        <v>1460</v>
      </c>
      <c r="I276" s="26" t="s">
        <v>1461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4" t="s">
        <v>304</v>
      </c>
      <c r="B277" s="25">
        <v>7.18163107616E11</v>
      </c>
      <c r="C277" s="24" t="s">
        <v>303</v>
      </c>
      <c r="D277" s="24" t="s">
        <v>25</v>
      </c>
      <c r="E277" s="24" t="s">
        <v>9</v>
      </c>
      <c r="F277" s="27" t="s">
        <v>1462</v>
      </c>
      <c r="G277" s="26"/>
      <c r="H277" s="26" t="s">
        <v>1463</v>
      </c>
      <c r="I277" s="26" t="s">
        <v>1464</v>
      </c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4" t="s">
        <v>305</v>
      </c>
      <c r="B278" s="25">
        <v>5.06129791876E11</v>
      </c>
      <c r="C278" s="24" t="s">
        <v>303</v>
      </c>
      <c r="D278" s="24" t="s">
        <v>25</v>
      </c>
      <c r="E278" s="24" t="s">
        <v>13</v>
      </c>
      <c r="F278" s="27">
        <v>2306.0</v>
      </c>
      <c r="G278" s="26"/>
      <c r="H278" s="26" t="s">
        <v>1465</v>
      </c>
      <c r="I278" s="26" t="s">
        <v>1466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4" t="s">
        <v>306</v>
      </c>
      <c r="B279" s="25">
        <v>2.72137480185E11</v>
      </c>
      <c r="C279" s="24" t="s">
        <v>303</v>
      </c>
      <c r="D279" s="24" t="s">
        <v>25</v>
      </c>
      <c r="E279" s="24" t="s">
        <v>9</v>
      </c>
      <c r="F279" s="26">
        <v>2358.0</v>
      </c>
      <c r="G279" s="26" t="s">
        <v>1467</v>
      </c>
      <c r="H279" s="26" t="s">
        <v>1468</v>
      </c>
      <c r="I279" s="26">
        <v>1.097660471E9</v>
      </c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4" t="s">
        <v>307</v>
      </c>
      <c r="B280" s="25">
        <v>1.46150758976E11</v>
      </c>
      <c r="C280" s="24" t="s">
        <v>303</v>
      </c>
      <c r="D280" s="24" t="s">
        <v>25</v>
      </c>
      <c r="E280" s="24" t="s">
        <v>9</v>
      </c>
      <c r="F280" s="26">
        <v>2375.0</v>
      </c>
      <c r="G280" s="26" t="s">
        <v>1032</v>
      </c>
      <c r="H280" s="26" t="s">
        <v>1469</v>
      </c>
      <c r="I280" s="26" t="s">
        <v>1470</v>
      </c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4" t="s">
        <v>308</v>
      </c>
      <c r="B281" s="25">
        <v>9.69125749578E11</v>
      </c>
      <c r="C281" s="24" t="s">
        <v>303</v>
      </c>
      <c r="D281" s="24" t="s">
        <v>25</v>
      </c>
      <c r="E281" s="24" t="s">
        <v>9</v>
      </c>
      <c r="F281" s="26">
        <v>2398.0</v>
      </c>
      <c r="G281" s="26" t="s">
        <v>1032</v>
      </c>
      <c r="H281" s="26" t="s">
        <v>1471</v>
      </c>
      <c r="I281" s="26" t="s">
        <v>1472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4" t="s">
        <v>309</v>
      </c>
      <c r="B282" s="25">
        <v>3.04190123013E11</v>
      </c>
      <c r="C282" s="24" t="s">
        <v>303</v>
      </c>
      <c r="D282" s="24" t="s">
        <v>25</v>
      </c>
      <c r="E282" s="25" t="s">
        <v>9</v>
      </c>
      <c r="F282" s="26">
        <v>2420.0</v>
      </c>
      <c r="G282" s="26" t="s">
        <v>1473</v>
      </c>
      <c r="H282" s="26" t="s">
        <v>1474</v>
      </c>
      <c r="I282" s="26" t="s">
        <v>1475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4" t="s">
        <v>310</v>
      </c>
      <c r="B283" s="25">
        <v>6.1818164863E11</v>
      </c>
      <c r="C283" s="24" t="s">
        <v>303</v>
      </c>
      <c r="D283" s="24" t="s">
        <v>25</v>
      </c>
      <c r="E283" s="24" t="s">
        <v>9</v>
      </c>
      <c r="F283" s="26">
        <v>2373.0</v>
      </c>
      <c r="G283" s="26" t="s">
        <v>1032</v>
      </c>
      <c r="H283" s="26" t="s">
        <v>1476</v>
      </c>
      <c r="I283" s="26" t="s">
        <v>1477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4" t="s">
        <v>311</v>
      </c>
      <c r="B284" s="25">
        <v>8.64160753024E11</v>
      </c>
      <c r="C284" s="24" t="s">
        <v>303</v>
      </c>
      <c r="D284" s="24" t="s">
        <v>25</v>
      </c>
      <c r="E284" s="24" t="s">
        <v>9</v>
      </c>
      <c r="F284" s="26">
        <v>2424.0</v>
      </c>
      <c r="G284" s="26" t="s">
        <v>1467</v>
      </c>
      <c r="H284" s="26" t="s">
        <v>1478</v>
      </c>
      <c r="I284" s="26" t="s">
        <v>1479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4" t="s">
        <v>312</v>
      </c>
      <c r="B285" s="25">
        <v>7.07135059424E11</v>
      </c>
      <c r="C285" s="24" t="s">
        <v>303</v>
      </c>
      <c r="D285" s="24" t="s">
        <v>25</v>
      </c>
      <c r="E285" s="24" t="s">
        <v>9</v>
      </c>
      <c r="F285" s="26">
        <v>2497.0</v>
      </c>
      <c r="G285" s="26" t="s">
        <v>641</v>
      </c>
      <c r="H285" s="26" t="s">
        <v>1480</v>
      </c>
      <c r="I285" s="26" t="s">
        <v>1481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4" t="s">
        <v>313</v>
      </c>
      <c r="B286" s="25">
        <v>2.06148501987E11</v>
      </c>
      <c r="C286" s="24" t="s">
        <v>303</v>
      </c>
      <c r="D286" s="24" t="s">
        <v>25</v>
      </c>
      <c r="E286" s="24" t="s">
        <v>9</v>
      </c>
      <c r="F286" s="26">
        <v>2496.0</v>
      </c>
      <c r="G286" s="26" t="s">
        <v>1482</v>
      </c>
      <c r="H286" s="26" t="s">
        <v>1483</v>
      </c>
      <c r="I286" s="26" t="s">
        <v>1484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4" t="s">
        <v>314</v>
      </c>
      <c r="B287" s="25">
        <v>8.09150758018E11</v>
      </c>
      <c r="C287" s="24" t="s">
        <v>303</v>
      </c>
      <c r="D287" s="24" t="s">
        <v>25</v>
      </c>
      <c r="E287" s="24" t="s">
        <v>9</v>
      </c>
      <c r="F287" s="26">
        <v>2564.0</v>
      </c>
      <c r="G287" s="26" t="s">
        <v>641</v>
      </c>
      <c r="H287" s="26" t="s">
        <v>1485</v>
      </c>
      <c r="I287" s="26" t="s">
        <v>1486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4" t="s">
        <v>315</v>
      </c>
      <c r="B288" s="25">
        <v>8.1613815985E11</v>
      </c>
      <c r="C288" s="24" t="s">
        <v>303</v>
      </c>
      <c r="D288" s="24" t="s">
        <v>25</v>
      </c>
      <c r="E288" s="24" t="s">
        <v>9</v>
      </c>
      <c r="F288" s="26">
        <v>2661.0</v>
      </c>
      <c r="G288" s="26" t="s">
        <v>1467</v>
      </c>
      <c r="H288" s="26" t="s">
        <v>1487</v>
      </c>
      <c r="I288" s="26" t="s">
        <v>1488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4" t="s">
        <v>316</v>
      </c>
      <c r="B289" s="25">
        <v>8.40176714634E11</v>
      </c>
      <c r="C289" s="24" t="s">
        <v>303</v>
      </c>
      <c r="D289" s="24" t="s">
        <v>25</v>
      </c>
      <c r="E289" s="24" t="s">
        <v>35</v>
      </c>
      <c r="F289" s="26">
        <v>2584.0</v>
      </c>
      <c r="G289" s="26" t="s">
        <v>641</v>
      </c>
      <c r="H289" s="26" t="s">
        <v>1489</v>
      </c>
      <c r="I289" s="26" t="s">
        <v>1490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4" t="s">
        <v>317</v>
      </c>
      <c r="B290" s="25">
        <v>2.70138641795E11</v>
      </c>
      <c r="C290" s="24" t="s">
        <v>303</v>
      </c>
      <c r="D290" s="24" t="s">
        <v>25</v>
      </c>
      <c r="E290" s="24" t="s">
        <v>9</v>
      </c>
      <c r="F290" s="26">
        <v>2612.0</v>
      </c>
      <c r="G290" s="26" t="s">
        <v>1297</v>
      </c>
      <c r="H290" s="26" t="s">
        <v>1491</v>
      </c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4" t="s">
        <v>318</v>
      </c>
      <c r="B291" s="25">
        <v>6.23198675307E11</v>
      </c>
      <c r="C291" s="24" t="s">
        <v>303</v>
      </c>
      <c r="D291" s="24" t="s">
        <v>25</v>
      </c>
      <c r="E291" s="25" t="s">
        <v>9</v>
      </c>
      <c r="F291" s="26">
        <v>2613.0</v>
      </c>
      <c r="G291" s="26" t="s">
        <v>1297</v>
      </c>
      <c r="H291" s="26" t="s">
        <v>1492</v>
      </c>
      <c r="I291" s="26" t="s">
        <v>1493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4" t="s">
        <v>319</v>
      </c>
      <c r="B292" s="25">
        <v>9.72107636075E11</v>
      </c>
      <c r="C292" s="24" t="s">
        <v>303</v>
      </c>
      <c r="D292" s="24" t="s">
        <v>25</v>
      </c>
      <c r="E292" s="24" t="s">
        <v>9</v>
      </c>
      <c r="F292" s="26">
        <v>2621.0</v>
      </c>
      <c r="G292" s="26" t="s">
        <v>641</v>
      </c>
      <c r="H292" s="26" t="s">
        <v>1494</v>
      </c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4" t="s">
        <v>320</v>
      </c>
      <c r="B293" s="25">
        <v>1.64181742498E11</v>
      </c>
      <c r="C293" s="24" t="s">
        <v>303</v>
      </c>
      <c r="D293" s="24" t="s">
        <v>25</v>
      </c>
      <c r="E293" s="24" t="s">
        <v>9</v>
      </c>
      <c r="F293" s="26">
        <v>2554.0</v>
      </c>
      <c r="G293" s="26" t="s">
        <v>1495</v>
      </c>
      <c r="H293" s="26" t="s">
        <v>1496</v>
      </c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4" t="s">
        <v>321</v>
      </c>
      <c r="B294" s="25">
        <v>5.76150576975E11</v>
      </c>
      <c r="C294" s="24" t="s">
        <v>303</v>
      </c>
      <c r="D294" s="24" t="s">
        <v>25</v>
      </c>
      <c r="E294" s="24" t="s">
        <v>9</v>
      </c>
      <c r="F294" s="26">
        <v>2615.0</v>
      </c>
      <c r="G294" s="26" t="s">
        <v>1297</v>
      </c>
      <c r="H294" s="26" t="s">
        <v>1497</v>
      </c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4" t="s">
        <v>322</v>
      </c>
      <c r="B295" s="25">
        <v>4.30136109307E11</v>
      </c>
      <c r="C295" s="24" t="s">
        <v>303</v>
      </c>
      <c r="D295" s="24" t="s">
        <v>25</v>
      </c>
      <c r="E295" s="24" t="s">
        <v>9</v>
      </c>
      <c r="F295" s="26">
        <v>2664.0</v>
      </c>
      <c r="G295" s="26" t="s">
        <v>1498</v>
      </c>
      <c r="H295" s="26" t="s">
        <v>1499</v>
      </c>
      <c r="I295" s="26" t="s">
        <v>1500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4" t="s">
        <v>323</v>
      </c>
      <c r="B296" s="25">
        <v>1.47134575647E11</v>
      </c>
      <c r="C296" s="24" t="s">
        <v>303</v>
      </c>
      <c r="D296" s="24" t="s">
        <v>25</v>
      </c>
      <c r="E296" s="24" t="s">
        <v>9</v>
      </c>
      <c r="F296" s="26">
        <v>2611.0</v>
      </c>
      <c r="G296" s="26" t="s">
        <v>1297</v>
      </c>
      <c r="H296" s="26" t="s">
        <v>1501</v>
      </c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4" t="s">
        <v>324</v>
      </c>
      <c r="B297" s="25">
        <v>6.15125769823E11</v>
      </c>
      <c r="C297" s="24" t="s">
        <v>303</v>
      </c>
      <c r="D297" s="24" t="s">
        <v>25</v>
      </c>
      <c r="E297" s="24" t="s">
        <v>9</v>
      </c>
      <c r="F297" s="26">
        <v>2660.0</v>
      </c>
      <c r="G297" s="26" t="s">
        <v>641</v>
      </c>
      <c r="H297" s="26" t="s">
        <v>1502</v>
      </c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4" t="s">
        <v>325</v>
      </c>
      <c r="B298" s="25">
        <v>5.02143048426E11</v>
      </c>
      <c r="C298" s="24" t="s">
        <v>303</v>
      </c>
      <c r="D298" s="24" t="s">
        <v>25</v>
      </c>
      <c r="E298" s="24" t="s">
        <v>9</v>
      </c>
      <c r="F298" s="26">
        <v>2700.0</v>
      </c>
      <c r="G298" s="26" t="s">
        <v>641</v>
      </c>
      <c r="H298" s="26" t="s">
        <v>1503</v>
      </c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4" t="s">
        <v>326</v>
      </c>
      <c r="B299" s="25">
        <v>6.2515623034E11</v>
      </c>
      <c r="C299" s="24" t="s">
        <v>303</v>
      </c>
      <c r="D299" s="24" t="s">
        <v>25</v>
      </c>
      <c r="E299" s="25" t="s">
        <v>9</v>
      </c>
      <c r="F299" s="26">
        <v>2620.0</v>
      </c>
      <c r="G299" s="26" t="s">
        <v>1297</v>
      </c>
      <c r="H299" s="26" t="s">
        <v>1504</v>
      </c>
      <c r="I299" s="26" t="s">
        <v>1505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4" t="s">
        <v>327</v>
      </c>
      <c r="B300" s="25">
        <v>6.98108096794E11</v>
      </c>
      <c r="C300" s="24" t="s">
        <v>303</v>
      </c>
      <c r="D300" s="24" t="s">
        <v>47</v>
      </c>
      <c r="E300" s="24" t="s">
        <v>9</v>
      </c>
      <c r="F300" s="27" t="s">
        <v>1506</v>
      </c>
      <c r="G300" s="26"/>
      <c r="H300" s="26" t="s">
        <v>1507</v>
      </c>
      <c r="I300" s="26" t="s">
        <v>1508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4" t="s">
        <v>328</v>
      </c>
      <c r="B301" s="25">
        <v>4.93132436783E11</v>
      </c>
      <c r="C301" s="24" t="s">
        <v>303</v>
      </c>
      <c r="D301" s="24" t="s">
        <v>47</v>
      </c>
      <c r="E301" s="25" t="s">
        <v>9</v>
      </c>
      <c r="F301" s="27" t="s">
        <v>1509</v>
      </c>
      <c r="G301" s="26"/>
      <c r="H301" s="26" t="s">
        <v>1510</v>
      </c>
      <c r="I301" s="26" t="s">
        <v>1511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4" t="s">
        <v>329</v>
      </c>
      <c r="B302" s="25">
        <v>4.90182879383E11</v>
      </c>
      <c r="C302" s="24" t="s">
        <v>303</v>
      </c>
      <c r="D302" s="24" t="s">
        <v>47</v>
      </c>
      <c r="E302" s="24" t="s">
        <v>9</v>
      </c>
      <c r="F302" s="27" t="s">
        <v>1512</v>
      </c>
      <c r="G302" s="26"/>
      <c r="H302" s="26" t="s">
        <v>1513</v>
      </c>
      <c r="I302" s="26" t="s">
        <v>1514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4" t="s">
        <v>330</v>
      </c>
      <c r="B303" s="25">
        <v>5.12143279207E11</v>
      </c>
      <c r="C303" s="24" t="s">
        <v>303</v>
      </c>
      <c r="D303" s="24" t="s">
        <v>47</v>
      </c>
      <c r="E303" s="24" t="s">
        <v>9</v>
      </c>
      <c r="F303" s="27" t="s">
        <v>1515</v>
      </c>
      <c r="G303" s="26"/>
      <c r="H303" s="26" t="s">
        <v>1516</v>
      </c>
      <c r="I303" s="26" t="s">
        <v>1517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4" t="s">
        <v>331</v>
      </c>
      <c r="B304" s="25">
        <v>2.89190751325E11</v>
      </c>
      <c r="C304" s="24" t="s">
        <v>303</v>
      </c>
      <c r="D304" s="24" t="s">
        <v>47</v>
      </c>
      <c r="E304" s="24" t="s">
        <v>9</v>
      </c>
      <c r="F304" s="27" t="s">
        <v>1518</v>
      </c>
      <c r="G304" s="26"/>
      <c r="H304" s="26" t="s">
        <v>1519</v>
      </c>
      <c r="I304" s="26" t="s">
        <v>1520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4" t="s">
        <v>332</v>
      </c>
      <c r="B305" s="25">
        <v>2.70108515474E11</v>
      </c>
      <c r="C305" s="24" t="s">
        <v>303</v>
      </c>
      <c r="D305" s="24" t="s">
        <v>47</v>
      </c>
      <c r="E305" s="24" t="s">
        <v>9</v>
      </c>
      <c r="F305" s="27" t="s">
        <v>1521</v>
      </c>
      <c r="G305" s="26"/>
      <c r="H305" s="26" t="s">
        <v>1522</v>
      </c>
      <c r="I305" s="26" t="s">
        <v>1523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4" t="s">
        <v>333</v>
      </c>
      <c r="B306" s="25">
        <v>1.3418642641E11</v>
      </c>
      <c r="C306" s="24" t="s">
        <v>303</v>
      </c>
      <c r="D306" s="24" t="s">
        <v>47</v>
      </c>
      <c r="E306" s="24" t="s">
        <v>9</v>
      </c>
      <c r="F306" s="26">
        <v>2046.0</v>
      </c>
      <c r="G306" s="26" t="s">
        <v>1297</v>
      </c>
      <c r="H306" s="26" t="s">
        <v>1524</v>
      </c>
      <c r="I306" s="26" t="s">
        <v>1525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4" t="s">
        <v>334</v>
      </c>
      <c r="B307" s="25">
        <v>4.02149131917E11</v>
      </c>
      <c r="C307" s="24" t="s">
        <v>303</v>
      </c>
      <c r="D307" s="24" t="s">
        <v>47</v>
      </c>
      <c r="E307" s="24" t="s">
        <v>9</v>
      </c>
      <c r="F307" s="26">
        <v>2073.0</v>
      </c>
      <c r="G307" s="26"/>
      <c r="H307" s="26" t="s">
        <v>1526</v>
      </c>
      <c r="I307" s="26" t="s">
        <v>1527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4" t="s">
        <v>335</v>
      </c>
      <c r="B308" s="25">
        <v>4.62139893202E11</v>
      </c>
      <c r="C308" s="24" t="s">
        <v>303</v>
      </c>
      <c r="D308" s="24" t="s">
        <v>47</v>
      </c>
      <c r="E308" s="24" t="s">
        <v>9</v>
      </c>
      <c r="F308" s="26">
        <v>2413.0</v>
      </c>
      <c r="G308" s="26" t="s">
        <v>1297</v>
      </c>
      <c r="H308" s="26" t="s">
        <v>1528</v>
      </c>
      <c r="I308" s="26" t="s">
        <v>1529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4" t="s">
        <v>336</v>
      </c>
      <c r="B309" s="25">
        <v>8.28145048729E11</v>
      </c>
      <c r="C309" s="24" t="s">
        <v>303</v>
      </c>
      <c r="D309" s="24" t="s">
        <v>47</v>
      </c>
      <c r="E309" s="24" t="s">
        <v>9</v>
      </c>
      <c r="F309" s="26">
        <v>2429.0</v>
      </c>
      <c r="G309" s="26" t="s">
        <v>1297</v>
      </c>
      <c r="H309" s="26" t="s">
        <v>1530</v>
      </c>
      <c r="I309" s="26" t="s">
        <v>1531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4" t="s">
        <v>337</v>
      </c>
      <c r="B310" s="25">
        <v>6.19178602629E11</v>
      </c>
      <c r="C310" s="24" t="s">
        <v>303</v>
      </c>
      <c r="D310" s="24" t="s">
        <v>47</v>
      </c>
      <c r="E310" s="24" t="s">
        <v>13</v>
      </c>
      <c r="F310" s="26">
        <v>2470.0</v>
      </c>
      <c r="G310" s="26" t="s">
        <v>1297</v>
      </c>
      <c r="H310" s="26" t="s">
        <v>1532</v>
      </c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4" t="s">
        <v>338</v>
      </c>
      <c r="B311" s="25">
        <v>7.18123675934E11</v>
      </c>
      <c r="C311" s="24" t="s">
        <v>303</v>
      </c>
      <c r="D311" s="24" t="s">
        <v>47</v>
      </c>
      <c r="E311" s="24" t="s">
        <v>9</v>
      </c>
      <c r="F311" s="26">
        <v>2449.0</v>
      </c>
      <c r="G311" s="26" t="s">
        <v>1297</v>
      </c>
      <c r="H311" s="26" t="s">
        <v>1533</v>
      </c>
      <c r="I311" s="26" t="s">
        <v>1534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4" t="s">
        <v>339</v>
      </c>
      <c r="B312" s="25">
        <v>7.96147347235E11</v>
      </c>
      <c r="C312" s="24" t="s">
        <v>303</v>
      </c>
      <c r="D312" s="24" t="s">
        <v>47</v>
      </c>
      <c r="E312" s="24" t="s">
        <v>9</v>
      </c>
      <c r="F312" s="26">
        <v>2457.0</v>
      </c>
      <c r="G312" s="26" t="s">
        <v>1297</v>
      </c>
      <c r="H312" s="26" t="s">
        <v>1535</v>
      </c>
      <c r="I312" s="26" t="s">
        <v>1536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4" t="s">
        <v>340</v>
      </c>
      <c r="B313" s="25">
        <v>1.86169282803E11</v>
      </c>
      <c r="C313" s="24" t="s">
        <v>303</v>
      </c>
      <c r="D313" s="24" t="s">
        <v>47</v>
      </c>
      <c r="E313" s="24" t="s">
        <v>9</v>
      </c>
      <c r="F313" s="26">
        <v>2044.0</v>
      </c>
      <c r="G313" s="26" t="s">
        <v>1297</v>
      </c>
      <c r="H313" s="26" t="s">
        <v>1537</v>
      </c>
      <c r="I313" s="26" t="s">
        <v>1538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4" t="s">
        <v>341</v>
      </c>
      <c r="B314" s="25">
        <v>4.03198357923E11</v>
      </c>
      <c r="C314" s="24" t="s">
        <v>303</v>
      </c>
      <c r="D314" s="24" t="s">
        <v>47</v>
      </c>
      <c r="E314" s="24" t="s">
        <v>13</v>
      </c>
      <c r="F314" s="26">
        <v>2516.0</v>
      </c>
      <c r="G314" s="26" t="s">
        <v>1297</v>
      </c>
      <c r="H314" s="26" t="s">
        <v>1539</v>
      </c>
      <c r="I314" s="26" t="s">
        <v>1540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4" t="s">
        <v>342</v>
      </c>
      <c r="B315" s="25">
        <v>1.25147363253E11</v>
      </c>
      <c r="C315" s="24" t="s">
        <v>303</v>
      </c>
      <c r="D315" s="24" t="s">
        <v>47</v>
      </c>
      <c r="E315" s="24" t="s">
        <v>9</v>
      </c>
      <c r="F315" s="26">
        <v>2050.0</v>
      </c>
      <c r="G315" s="26" t="s">
        <v>1297</v>
      </c>
      <c r="H315" s="26" t="s">
        <v>1541</v>
      </c>
      <c r="I315" s="26" t="s">
        <v>1542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4" t="s">
        <v>343</v>
      </c>
      <c r="B316" s="25">
        <v>4.85171368085E11</v>
      </c>
      <c r="C316" s="24" t="s">
        <v>303</v>
      </c>
      <c r="D316" s="24" t="s">
        <v>47</v>
      </c>
      <c r="E316" s="24" t="s">
        <v>13</v>
      </c>
      <c r="F316" s="26">
        <v>2566.0</v>
      </c>
      <c r="G316" s="26" t="s">
        <v>1297</v>
      </c>
      <c r="H316" s="26" t="s">
        <v>1543</v>
      </c>
      <c r="I316" s="26" t="s">
        <v>1544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4" t="s">
        <v>344</v>
      </c>
      <c r="B317" s="25">
        <v>8.76195784914E11</v>
      </c>
      <c r="C317" s="24" t="s">
        <v>303</v>
      </c>
      <c r="D317" s="24" t="s">
        <v>47</v>
      </c>
      <c r="E317" s="24" t="s">
        <v>13</v>
      </c>
      <c r="F317" s="26">
        <v>2553.0</v>
      </c>
      <c r="G317" s="26" t="s">
        <v>1297</v>
      </c>
      <c r="H317" s="26" t="s">
        <v>1545</v>
      </c>
      <c r="I317" s="26" t="s">
        <v>1546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4" t="s">
        <v>345</v>
      </c>
      <c r="B318" s="25">
        <v>4.72125058909E11</v>
      </c>
      <c r="C318" s="24" t="s">
        <v>303</v>
      </c>
      <c r="D318" s="24" t="s">
        <v>47</v>
      </c>
      <c r="E318" s="24" t="s">
        <v>9</v>
      </c>
      <c r="F318" s="26">
        <v>2578.0</v>
      </c>
      <c r="G318" s="26" t="s">
        <v>1547</v>
      </c>
      <c r="H318" s="26" t="s">
        <v>1548</v>
      </c>
      <c r="I318" s="26" t="s">
        <v>1549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4" t="s">
        <v>346</v>
      </c>
      <c r="B319" s="25">
        <v>4.63137028567E11</v>
      </c>
      <c r="C319" s="24" t="s">
        <v>303</v>
      </c>
      <c r="D319" s="24" t="s">
        <v>47</v>
      </c>
      <c r="E319" s="24" t="s">
        <v>13</v>
      </c>
      <c r="F319" s="26">
        <v>2563.0</v>
      </c>
      <c r="G319" s="26" t="s">
        <v>1495</v>
      </c>
      <c r="H319" s="26" t="s">
        <v>1550</v>
      </c>
      <c r="I319" s="26" t="s">
        <v>1551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4" t="s">
        <v>347</v>
      </c>
      <c r="B320" s="25">
        <v>6.97109284394E11</v>
      </c>
      <c r="C320" s="24" t="s">
        <v>303</v>
      </c>
      <c r="D320" s="24" t="s">
        <v>47</v>
      </c>
      <c r="E320" s="24" t="s">
        <v>13</v>
      </c>
      <c r="F320" s="26">
        <v>2586.0</v>
      </c>
      <c r="G320" s="26" t="s">
        <v>1297</v>
      </c>
      <c r="H320" s="26" t="s">
        <v>1552</v>
      </c>
      <c r="I320" s="26" t="s">
        <v>1553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4" t="s">
        <v>348</v>
      </c>
      <c r="B321" s="25">
        <v>8.97136858074E11</v>
      </c>
      <c r="C321" s="24" t="s">
        <v>303</v>
      </c>
      <c r="D321" s="24" t="s">
        <v>47</v>
      </c>
      <c r="E321" s="24" t="s">
        <v>9</v>
      </c>
      <c r="F321" s="26">
        <v>2768.0</v>
      </c>
      <c r="G321" s="26" t="s">
        <v>1297</v>
      </c>
      <c r="H321" s="26" t="s">
        <v>1554</v>
      </c>
      <c r="I321" s="26" t="s">
        <v>1555</v>
      </c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4" t="s">
        <v>349</v>
      </c>
      <c r="B322" s="25">
        <v>3.96138480561E11</v>
      </c>
      <c r="C322" s="24" t="s">
        <v>303</v>
      </c>
      <c r="D322" s="24" t="s">
        <v>47</v>
      </c>
      <c r="E322" s="24" t="s">
        <v>13</v>
      </c>
      <c r="F322" s="26">
        <v>2047.0</v>
      </c>
      <c r="G322" s="26" t="s">
        <v>1297</v>
      </c>
      <c r="H322" s="26" t="s">
        <v>1556</v>
      </c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4" t="s">
        <v>350</v>
      </c>
      <c r="B323" s="25">
        <v>4.17127195646E11</v>
      </c>
      <c r="C323" s="24" t="s">
        <v>303</v>
      </c>
      <c r="D323" s="24" t="s">
        <v>172</v>
      </c>
      <c r="E323" s="24" t="s">
        <v>9</v>
      </c>
      <c r="F323" s="27" t="s">
        <v>1557</v>
      </c>
      <c r="G323" s="26" t="s">
        <v>1297</v>
      </c>
      <c r="H323" s="26" t="s">
        <v>1558</v>
      </c>
      <c r="I323" s="26" t="s">
        <v>1559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4" t="s">
        <v>351</v>
      </c>
      <c r="B324" s="25">
        <v>9.80198527154E11</v>
      </c>
      <c r="C324" s="24" t="s">
        <v>303</v>
      </c>
      <c r="D324" s="24" t="s">
        <v>172</v>
      </c>
      <c r="E324" s="24" t="s">
        <v>9</v>
      </c>
      <c r="F324" s="27" t="s">
        <v>1560</v>
      </c>
      <c r="G324" s="26" t="s">
        <v>1297</v>
      </c>
      <c r="H324" s="26" t="s">
        <v>1561</v>
      </c>
      <c r="I324" s="26" t="s">
        <v>1562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4" t="s">
        <v>352</v>
      </c>
      <c r="B325" s="25">
        <v>6.30168374236E11</v>
      </c>
      <c r="C325" s="24" t="s">
        <v>303</v>
      </c>
      <c r="D325" s="24" t="s">
        <v>172</v>
      </c>
      <c r="E325" s="24" t="s">
        <v>9</v>
      </c>
      <c r="F325" s="27" t="s">
        <v>1563</v>
      </c>
      <c r="G325" s="26" t="s">
        <v>1564</v>
      </c>
      <c r="H325" s="26" t="s">
        <v>1565</v>
      </c>
      <c r="I325" s="26" t="s">
        <v>1566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4" t="s">
        <v>353</v>
      </c>
      <c r="B326" s="25">
        <v>5.86171628191E11</v>
      </c>
      <c r="C326" s="24" t="s">
        <v>303</v>
      </c>
      <c r="D326" s="24" t="s">
        <v>172</v>
      </c>
      <c r="E326" s="24" t="s">
        <v>9</v>
      </c>
      <c r="F326" s="27" t="s">
        <v>1567</v>
      </c>
      <c r="G326" s="26" t="s">
        <v>1297</v>
      </c>
      <c r="H326" s="26" t="s">
        <v>1568</v>
      </c>
      <c r="I326" s="26" t="s">
        <v>1569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4" t="s">
        <v>354</v>
      </c>
      <c r="B327" s="25">
        <v>7.69151943943E11</v>
      </c>
      <c r="C327" s="24" t="s">
        <v>303</v>
      </c>
      <c r="D327" s="24" t="s">
        <v>172</v>
      </c>
      <c r="E327" s="24" t="s">
        <v>9</v>
      </c>
      <c r="F327" s="27" t="s">
        <v>1570</v>
      </c>
      <c r="G327" s="26" t="s">
        <v>1032</v>
      </c>
      <c r="H327" s="26" t="s">
        <v>1571</v>
      </c>
      <c r="I327" s="26" t="s">
        <v>1572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4" t="s">
        <v>355</v>
      </c>
      <c r="B328" s="25">
        <v>2.5817901638E11</v>
      </c>
      <c r="C328" s="24" t="s">
        <v>303</v>
      </c>
      <c r="D328" s="24" t="s">
        <v>172</v>
      </c>
      <c r="E328" s="24" t="s">
        <v>9</v>
      </c>
      <c r="F328" s="27" t="s">
        <v>1573</v>
      </c>
      <c r="G328" s="26" t="s">
        <v>1482</v>
      </c>
      <c r="H328" s="26" t="s">
        <v>1574</v>
      </c>
      <c r="I328" s="26" t="s">
        <v>1575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4" t="s">
        <v>356</v>
      </c>
      <c r="B329" s="25">
        <v>8.62161701563E11</v>
      </c>
      <c r="C329" s="24" t="s">
        <v>303</v>
      </c>
      <c r="D329" s="24" t="s">
        <v>172</v>
      </c>
      <c r="E329" s="24" t="s">
        <v>9</v>
      </c>
      <c r="F329" s="27" t="s">
        <v>1576</v>
      </c>
      <c r="G329" s="26" t="s">
        <v>1297</v>
      </c>
      <c r="H329" s="26" t="s">
        <v>1577</v>
      </c>
      <c r="I329" s="26" t="s">
        <v>1578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4" t="s">
        <v>357</v>
      </c>
      <c r="B330" s="25">
        <v>2.40148989127E11</v>
      </c>
      <c r="C330" s="24" t="s">
        <v>303</v>
      </c>
      <c r="D330" s="24" t="s">
        <v>172</v>
      </c>
      <c r="E330" s="24" t="s">
        <v>13</v>
      </c>
      <c r="F330" s="27" t="s">
        <v>1579</v>
      </c>
      <c r="G330" s="26" t="s">
        <v>1482</v>
      </c>
      <c r="H330" s="26" t="s">
        <v>1580</v>
      </c>
      <c r="I330" s="26" t="s">
        <v>1581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4" t="s">
        <v>358</v>
      </c>
      <c r="B331" s="25">
        <v>8.17125197474E11</v>
      </c>
      <c r="C331" s="24" t="s">
        <v>303</v>
      </c>
      <c r="D331" s="24" t="s">
        <v>172</v>
      </c>
      <c r="E331" s="24" t="s">
        <v>9</v>
      </c>
      <c r="F331" s="27" t="s">
        <v>1582</v>
      </c>
      <c r="G331" s="26" t="s">
        <v>1297</v>
      </c>
      <c r="H331" s="26" t="s">
        <v>1583</v>
      </c>
      <c r="I331" s="26" t="s">
        <v>1584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4" t="s">
        <v>359</v>
      </c>
      <c r="B332" s="25">
        <v>8.06123732506E11</v>
      </c>
      <c r="C332" s="24" t="s">
        <v>303</v>
      </c>
      <c r="D332" s="24" t="s">
        <v>172</v>
      </c>
      <c r="E332" s="24" t="s">
        <v>9</v>
      </c>
      <c r="F332" s="26">
        <v>2308.0</v>
      </c>
      <c r="G332" s="26" t="s">
        <v>1297</v>
      </c>
      <c r="H332" s="26" t="s">
        <v>1585</v>
      </c>
      <c r="I332" s="26" t="s">
        <v>1586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4" t="s">
        <v>360</v>
      </c>
      <c r="B333" s="25">
        <v>5.43195809524E11</v>
      </c>
      <c r="C333" s="24" t="s">
        <v>303</v>
      </c>
      <c r="D333" s="24" t="s">
        <v>172</v>
      </c>
      <c r="E333" s="24" t="s">
        <v>9</v>
      </c>
      <c r="F333" s="26">
        <v>2352.0</v>
      </c>
      <c r="G333" s="26" t="s">
        <v>1297</v>
      </c>
      <c r="H333" s="26" t="s">
        <v>1587</v>
      </c>
      <c r="I333" s="26" t="s">
        <v>1588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4" t="s">
        <v>361</v>
      </c>
      <c r="B334" s="25">
        <v>3.73148148671E11</v>
      </c>
      <c r="C334" s="24" t="s">
        <v>303</v>
      </c>
      <c r="D334" s="24" t="s">
        <v>172</v>
      </c>
      <c r="E334" s="25" t="s">
        <v>9</v>
      </c>
      <c r="F334" s="26">
        <v>2396.0</v>
      </c>
      <c r="G334" s="26" t="s">
        <v>1297</v>
      </c>
      <c r="H334" s="26" t="s">
        <v>1589</v>
      </c>
      <c r="I334" s="26" t="s">
        <v>1590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4" t="s">
        <v>362</v>
      </c>
      <c r="B335" s="25">
        <v>6.97164912817E11</v>
      </c>
      <c r="C335" s="24" t="s">
        <v>303</v>
      </c>
      <c r="D335" s="24" t="s">
        <v>172</v>
      </c>
      <c r="E335" s="24" t="s">
        <v>9</v>
      </c>
      <c r="F335" s="26">
        <v>2455.0</v>
      </c>
      <c r="G335" s="26" t="s">
        <v>1297</v>
      </c>
      <c r="H335" s="26" t="s">
        <v>1591</v>
      </c>
      <c r="I335" s="26" t="s">
        <v>1592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4" t="s">
        <v>363</v>
      </c>
      <c r="B336" s="25">
        <v>9.83140839457E11</v>
      </c>
      <c r="C336" s="24" t="s">
        <v>303</v>
      </c>
      <c r="D336" s="24" t="s">
        <v>172</v>
      </c>
      <c r="E336" s="25" t="s">
        <v>9</v>
      </c>
      <c r="F336" s="26">
        <v>2482.0</v>
      </c>
      <c r="G336" s="26" t="s">
        <v>1297</v>
      </c>
      <c r="H336" s="26" t="s">
        <v>1593</v>
      </c>
      <c r="I336" s="26" t="s">
        <v>1594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4" t="s">
        <v>364</v>
      </c>
      <c r="B337" s="25">
        <v>4.3419624235E11</v>
      </c>
      <c r="C337" s="24" t="s">
        <v>303</v>
      </c>
      <c r="D337" s="24" t="s">
        <v>172</v>
      </c>
      <c r="E337" s="24" t="s">
        <v>13</v>
      </c>
      <c r="F337" s="26">
        <v>2478.0</v>
      </c>
      <c r="G337" s="26" t="s">
        <v>1297</v>
      </c>
      <c r="H337" s="26" t="s">
        <v>1595</v>
      </c>
      <c r="I337" s="26" t="s">
        <v>1596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4" t="s">
        <v>365</v>
      </c>
      <c r="B338" s="25">
        <v>9.82159721983E11</v>
      </c>
      <c r="C338" s="24" t="s">
        <v>303</v>
      </c>
      <c r="D338" s="24" t="s">
        <v>172</v>
      </c>
      <c r="E338" s="24" t="s">
        <v>9</v>
      </c>
      <c r="F338" s="26">
        <v>2658.0</v>
      </c>
      <c r="G338" s="26" t="s">
        <v>1482</v>
      </c>
      <c r="H338" s="26" t="s">
        <v>1597</v>
      </c>
      <c r="I338" s="26" t="s">
        <v>1598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4" t="s">
        <v>366</v>
      </c>
      <c r="B339" s="25">
        <v>7.82154150214E11</v>
      </c>
      <c r="C339" s="24" t="s">
        <v>303</v>
      </c>
      <c r="D339" s="24" t="s">
        <v>172</v>
      </c>
      <c r="E339" s="24" t="s">
        <v>9</v>
      </c>
      <c r="F339" s="26">
        <v>2678.0</v>
      </c>
      <c r="G339" s="26" t="s">
        <v>1297</v>
      </c>
      <c r="H339" s="26" t="s">
        <v>1599</v>
      </c>
      <c r="I339" s="26" t="s">
        <v>1600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4" t="s">
        <v>367</v>
      </c>
      <c r="B340" s="25">
        <v>3.93183180213E11</v>
      </c>
      <c r="C340" s="24" t="s">
        <v>303</v>
      </c>
      <c r="D340" s="24" t="s">
        <v>172</v>
      </c>
      <c r="E340" s="24" t="s">
        <v>9</v>
      </c>
      <c r="F340" s="26">
        <v>2602.0</v>
      </c>
      <c r="G340" s="26" t="s">
        <v>1482</v>
      </c>
      <c r="H340" s="26" t="s">
        <v>1601</v>
      </c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4" t="s">
        <v>368</v>
      </c>
      <c r="B341" s="25">
        <v>8.56163762784E11</v>
      </c>
      <c r="C341" s="24" t="s">
        <v>303</v>
      </c>
      <c r="D341" s="24" t="s">
        <v>172</v>
      </c>
      <c r="E341" s="25" t="s">
        <v>9</v>
      </c>
      <c r="F341" s="26">
        <v>2710.0</v>
      </c>
      <c r="G341" s="26" t="s">
        <v>1032</v>
      </c>
      <c r="H341" s="26" t="s">
        <v>1602</v>
      </c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4" t="s">
        <v>369</v>
      </c>
      <c r="B342" s="25">
        <v>6.09168138349E11</v>
      </c>
      <c r="C342" s="24" t="s">
        <v>303</v>
      </c>
      <c r="D342" s="24" t="s">
        <v>172</v>
      </c>
      <c r="E342" s="24" t="s">
        <v>13</v>
      </c>
      <c r="F342" s="26">
        <v>2630.0</v>
      </c>
      <c r="G342" s="26" t="s">
        <v>1297</v>
      </c>
      <c r="H342" s="26" t="s">
        <v>1603</v>
      </c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4" t="s">
        <v>370</v>
      </c>
      <c r="B343" s="25">
        <v>7.29109646242E11</v>
      </c>
      <c r="C343" s="24" t="s">
        <v>303</v>
      </c>
      <c r="D343" s="24" t="s">
        <v>172</v>
      </c>
      <c r="E343" s="24" t="s">
        <v>13</v>
      </c>
      <c r="F343" s="26">
        <v>2697.0</v>
      </c>
      <c r="G343" s="26" t="s">
        <v>1297</v>
      </c>
      <c r="H343" s="26" t="s">
        <v>1604</v>
      </c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4" t="s">
        <v>371</v>
      </c>
      <c r="B344" s="25">
        <v>7.15147613634E11</v>
      </c>
      <c r="C344" s="24" t="s">
        <v>303</v>
      </c>
      <c r="D344" s="24" t="s">
        <v>172</v>
      </c>
      <c r="E344" s="25" t="s">
        <v>9</v>
      </c>
      <c r="F344" s="26">
        <v>2721.0</v>
      </c>
      <c r="G344" s="26" t="s">
        <v>1297</v>
      </c>
      <c r="H344" s="26" t="s">
        <v>1605</v>
      </c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4" t="s">
        <v>372</v>
      </c>
      <c r="B345" s="25">
        <v>9.86159246809E11</v>
      </c>
      <c r="C345" s="24" t="s">
        <v>303</v>
      </c>
      <c r="D345" s="24" t="s">
        <v>203</v>
      </c>
      <c r="E345" s="24" t="s">
        <v>9</v>
      </c>
      <c r="F345" s="27" t="s">
        <v>1606</v>
      </c>
      <c r="G345" s="26" t="s">
        <v>1297</v>
      </c>
      <c r="H345" s="26" t="s">
        <v>1607</v>
      </c>
      <c r="I345" s="26" t="s">
        <v>1608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4" t="s">
        <v>373</v>
      </c>
      <c r="B346" s="25">
        <v>5.35169279095E11</v>
      </c>
      <c r="C346" s="24" t="s">
        <v>303</v>
      </c>
      <c r="D346" s="24" t="s">
        <v>203</v>
      </c>
      <c r="E346" s="24" t="s">
        <v>9</v>
      </c>
      <c r="F346" s="27" t="s">
        <v>1609</v>
      </c>
      <c r="G346" s="26" t="s">
        <v>1297</v>
      </c>
      <c r="H346" s="26" t="s">
        <v>1610</v>
      </c>
      <c r="I346" s="26" t="s">
        <v>1611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4" t="s">
        <v>374</v>
      </c>
      <c r="B347" s="25">
        <v>2.62187939345E11</v>
      </c>
      <c r="C347" s="24" t="s">
        <v>303</v>
      </c>
      <c r="D347" s="24" t="s">
        <v>203</v>
      </c>
      <c r="E347" s="24" t="s">
        <v>9</v>
      </c>
      <c r="F347" s="27" t="s">
        <v>1612</v>
      </c>
      <c r="G347" s="26"/>
      <c r="H347" s="26" t="s">
        <v>1613</v>
      </c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4" t="s">
        <v>375</v>
      </c>
      <c r="B348" s="25">
        <v>4.02170847265E11</v>
      </c>
      <c r="C348" s="24" t="s">
        <v>303</v>
      </c>
      <c r="D348" s="24" t="s">
        <v>203</v>
      </c>
      <c r="E348" s="24" t="s">
        <v>9</v>
      </c>
      <c r="F348" s="27" t="s">
        <v>1614</v>
      </c>
      <c r="G348" s="26"/>
      <c r="H348" s="26" t="s">
        <v>1615</v>
      </c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4" t="s">
        <v>376</v>
      </c>
      <c r="B349" s="25">
        <v>5.29172543087E11</v>
      </c>
      <c r="C349" s="24" t="s">
        <v>303</v>
      </c>
      <c r="D349" s="24" t="s">
        <v>203</v>
      </c>
      <c r="E349" s="24" t="s">
        <v>9</v>
      </c>
      <c r="F349" s="27" t="s">
        <v>1616</v>
      </c>
      <c r="G349" s="26"/>
      <c r="H349" s="26" t="s">
        <v>1617</v>
      </c>
      <c r="I349" s="26" t="s">
        <v>1618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4" t="s">
        <v>377</v>
      </c>
      <c r="B350" s="25">
        <v>7.24162474043E11</v>
      </c>
      <c r="C350" s="24" t="s">
        <v>303</v>
      </c>
      <c r="D350" s="24" t="s">
        <v>203</v>
      </c>
      <c r="E350" s="24" t="s">
        <v>9</v>
      </c>
      <c r="F350" s="27" t="s">
        <v>1619</v>
      </c>
      <c r="G350" s="26"/>
      <c r="H350" s="26" t="s">
        <v>1620</v>
      </c>
      <c r="I350" s="26" t="s">
        <v>1621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4" t="s">
        <v>378</v>
      </c>
      <c r="B351" s="25">
        <v>5.73182638724E11</v>
      </c>
      <c r="C351" s="24" t="s">
        <v>303</v>
      </c>
      <c r="D351" s="24" t="s">
        <v>203</v>
      </c>
      <c r="E351" s="24" t="s">
        <v>9</v>
      </c>
      <c r="F351" s="27" t="s">
        <v>1622</v>
      </c>
      <c r="G351" s="26"/>
      <c r="H351" s="26" t="s">
        <v>1623</v>
      </c>
      <c r="I351" s="26" t="s">
        <v>1624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4" t="s">
        <v>379</v>
      </c>
      <c r="B352" s="25">
        <v>2.83104384369E11</v>
      </c>
      <c r="C352" s="24" t="s">
        <v>303</v>
      </c>
      <c r="D352" s="24" t="s">
        <v>203</v>
      </c>
      <c r="E352" s="24" t="s">
        <v>9</v>
      </c>
      <c r="F352" s="27" t="s">
        <v>1625</v>
      </c>
      <c r="G352" s="26"/>
      <c r="H352" s="26" t="s">
        <v>1626</v>
      </c>
      <c r="I352" s="26" t="s">
        <v>1627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4" t="s">
        <v>380</v>
      </c>
      <c r="B353" s="25">
        <v>3.72149691918E11</v>
      </c>
      <c r="C353" s="24" t="s">
        <v>303</v>
      </c>
      <c r="D353" s="24" t="s">
        <v>203</v>
      </c>
      <c r="E353" s="24" t="s">
        <v>9</v>
      </c>
      <c r="F353" s="27" t="s">
        <v>1628</v>
      </c>
      <c r="G353" s="26"/>
      <c r="H353" s="26" t="s">
        <v>1629</v>
      </c>
      <c r="I353" s="26" t="s">
        <v>1630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4" t="s">
        <v>381</v>
      </c>
      <c r="B354" s="25">
        <v>7.47194232493E11</v>
      </c>
      <c r="C354" s="24" t="s">
        <v>303</v>
      </c>
      <c r="D354" s="24" t="s">
        <v>203</v>
      </c>
      <c r="E354" s="24" t="s">
        <v>9</v>
      </c>
      <c r="F354" s="27" t="s">
        <v>1631</v>
      </c>
      <c r="G354" s="26" t="s">
        <v>1467</v>
      </c>
      <c r="H354" s="26" t="s">
        <v>1632</v>
      </c>
      <c r="I354" s="26" t="s">
        <v>1633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4" t="s">
        <v>382</v>
      </c>
      <c r="B355" s="25">
        <v>8.64108372349E11</v>
      </c>
      <c r="C355" s="24" t="s">
        <v>303</v>
      </c>
      <c r="D355" s="24" t="s">
        <v>203</v>
      </c>
      <c r="E355" s="24" t="s">
        <v>9</v>
      </c>
      <c r="F355" s="27" t="s">
        <v>1634</v>
      </c>
      <c r="G355" s="26" t="s">
        <v>1467</v>
      </c>
      <c r="H355" s="26" t="s">
        <v>1635</v>
      </c>
      <c r="I355" s="26" t="s">
        <v>1636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4" t="s">
        <v>383</v>
      </c>
      <c r="B356" s="25">
        <v>4.8912351039E11</v>
      </c>
      <c r="C356" s="24" t="s">
        <v>303</v>
      </c>
      <c r="D356" s="24" t="s">
        <v>203</v>
      </c>
      <c r="E356" s="24" t="s">
        <v>384</v>
      </c>
      <c r="F356" s="27" t="s">
        <v>1637</v>
      </c>
      <c r="G356" s="26" t="s">
        <v>1638</v>
      </c>
      <c r="H356" s="26" t="s">
        <v>1639</v>
      </c>
      <c r="I356" s="26" t="s">
        <v>1640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4" t="s">
        <v>385</v>
      </c>
      <c r="B357" s="25">
        <v>8.36130414695E11</v>
      </c>
      <c r="C357" s="24" t="s">
        <v>303</v>
      </c>
      <c r="D357" s="24" t="s">
        <v>203</v>
      </c>
      <c r="E357" s="24" t="s">
        <v>9</v>
      </c>
      <c r="F357" s="27">
        <v>2220.0</v>
      </c>
      <c r="G357" s="26" t="s">
        <v>1297</v>
      </c>
      <c r="H357" s="26" t="s">
        <v>1641</v>
      </c>
      <c r="I357" s="26" t="s">
        <v>1642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4" t="s">
        <v>386</v>
      </c>
      <c r="B358" s="25">
        <v>1.57185923195E11</v>
      </c>
      <c r="C358" s="24" t="s">
        <v>303</v>
      </c>
      <c r="D358" s="24" t="s">
        <v>203</v>
      </c>
      <c r="E358" s="24" t="s">
        <v>13</v>
      </c>
      <c r="F358" s="27" t="s">
        <v>1643</v>
      </c>
      <c r="G358" s="26" t="s">
        <v>1467</v>
      </c>
      <c r="H358" s="26" t="s">
        <v>1644</v>
      </c>
      <c r="I358" s="26" t="s">
        <v>1645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4" t="s">
        <v>387</v>
      </c>
      <c r="B359" s="25">
        <v>5.86103986059E11</v>
      </c>
      <c r="C359" s="24" t="s">
        <v>303</v>
      </c>
      <c r="D359" s="24" t="s">
        <v>203</v>
      </c>
      <c r="E359" s="24" t="s">
        <v>9</v>
      </c>
      <c r="F359" s="27" t="s">
        <v>1646</v>
      </c>
      <c r="G359" s="26" t="s">
        <v>1467</v>
      </c>
      <c r="H359" s="26" t="s">
        <v>1647</v>
      </c>
      <c r="I359" s="26" t="s">
        <v>1648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4" t="s">
        <v>388</v>
      </c>
      <c r="B360" s="25">
        <v>3.16181624372E11</v>
      </c>
      <c r="C360" s="24" t="s">
        <v>303</v>
      </c>
      <c r="D360" s="24" t="s">
        <v>203</v>
      </c>
      <c r="E360" s="24" t="s">
        <v>9</v>
      </c>
      <c r="F360" s="27" t="s">
        <v>1649</v>
      </c>
      <c r="G360" s="26" t="s">
        <v>1297</v>
      </c>
      <c r="H360" s="26" t="s">
        <v>1650</v>
      </c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4" t="s">
        <v>389</v>
      </c>
      <c r="B361" s="25">
        <v>8.14163407679E11</v>
      </c>
      <c r="C361" s="24" t="s">
        <v>303</v>
      </c>
      <c r="D361" s="24" t="s">
        <v>203</v>
      </c>
      <c r="E361" s="24" t="s">
        <v>9</v>
      </c>
      <c r="F361" s="27">
        <v>2216.0</v>
      </c>
      <c r="G361" s="26"/>
      <c r="H361" s="26" t="s">
        <v>1651</v>
      </c>
      <c r="I361" s="26" t="s">
        <v>1652</v>
      </c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4" t="s">
        <v>390</v>
      </c>
      <c r="B362" s="25">
        <v>9.80182127485E11</v>
      </c>
      <c r="C362" s="24" t="s">
        <v>303</v>
      </c>
      <c r="D362" s="24" t="s">
        <v>203</v>
      </c>
      <c r="E362" s="24" t="s">
        <v>9</v>
      </c>
      <c r="F362" s="26">
        <v>2280.0</v>
      </c>
      <c r="G362" s="26" t="s">
        <v>1297</v>
      </c>
      <c r="H362" s="26" t="s">
        <v>1653</v>
      </c>
      <c r="I362" s="26" t="s">
        <v>1654</v>
      </c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4" t="s">
        <v>391</v>
      </c>
      <c r="B363" s="25">
        <v>3.73156736453E11</v>
      </c>
      <c r="C363" s="24" t="s">
        <v>303</v>
      </c>
      <c r="D363" s="24" t="s">
        <v>203</v>
      </c>
      <c r="E363" s="24" t="s">
        <v>9</v>
      </c>
      <c r="F363" s="26">
        <v>2340.0</v>
      </c>
      <c r="G363" s="26" t="s">
        <v>1297</v>
      </c>
      <c r="H363" s="26" t="s">
        <v>1655</v>
      </c>
      <c r="I363" s="26">
        <v>1.011099883E9</v>
      </c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4" t="s">
        <v>392</v>
      </c>
      <c r="B364" s="25">
        <v>3.75181892149E11</v>
      </c>
      <c r="C364" s="24" t="s">
        <v>303</v>
      </c>
      <c r="D364" s="24" t="s">
        <v>203</v>
      </c>
      <c r="E364" s="24" t="s">
        <v>9</v>
      </c>
      <c r="F364" s="26">
        <v>2347.0</v>
      </c>
      <c r="G364" s="26" t="s">
        <v>1297</v>
      </c>
      <c r="H364" s="26" t="s">
        <v>1656</v>
      </c>
      <c r="I364" s="26" t="s">
        <v>1657</v>
      </c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4" t="s">
        <v>393</v>
      </c>
      <c r="B365" s="25">
        <v>8.35129836321E11</v>
      </c>
      <c r="C365" s="24" t="s">
        <v>303</v>
      </c>
      <c r="D365" s="24" t="s">
        <v>203</v>
      </c>
      <c r="E365" s="24" t="s">
        <v>9</v>
      </c>
      <c r="F365" s="27" t="s">
        <v>1658</v>
      </c>
      <c r="G365" s="26" t="s">
        <v>1297</v>
      </c>
      <c r="H365" s="26" t="s">
        <v>1659</v>
      </c>
      <c r="I365" s="26" t="s">
        <v>1660</v>
      </c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4" t="s">
        <v>394</v>
      </c>
      <c r="B366" s="25">
        <v>4.98171430513E11</v>
      </c>
      <c r="C366" s="24" t="s">
        <v>303</v>
      </c>
      <c r="D366" s="24" t="s">
        <v>203</v>
      </c>
      <c r="E366" s="24" t="s">
        <v>13</v>
      </c>
      <c r="F366" s="26">
        <v>2349.0</v>
      </c>
      <c r="G366" s="26" t="s">
        <v>1276</v>
      </c>
      <c r="H366" s="26" t="s">
        <v>1661</v>
      </c>
      <c r="I366" s="26" t="s">
        <v>1662</v>
      </c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4" t="s">
        <v>395</v>
      </c>
      <c r="B367" s="25">
        <v>8.19179164789E11</v>
      </c>
      <c r="C367" s="24" t="s">
        <v>303</v>
      </c>
      <c r="D367" s="24" t="s">
        <v>203</v>
      </c>
      <c r="E367" s="24" t="s">
        <v>9</v>
      </c>
      <c r="F367" s="26">
        <v>2527.0</v>
      </c>
      <c r="G367" s="26" t="s">
        <v>1297</v>
      </c>
      <c r="H367" s="26" t="s">
        <v>1663</v>
      </c>
      <c r="I367" s="26" t="s">
        <v>1664</v>
      </c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4" t="s">
        <v>396</v>
      </c>
      <c r="B368" s="25">
        <v>6.05108626197E11</v>
      </c>
      <c r="C368" s="24" t="s">
        <v>303</v>
      </c>
      <c r="D368" s="24" t="s">
        <v>203</v>
      </c>
      <c r="E368" s="24" t="s">
        <v>9</v>
      </c>
      <c r="F368" s="26">
        <v>2555.0</v>
      </c>
      <c r="G368" s="26" t="s">
        <v>1665</v>
      </c>
      <c r="H368" s="26" t="s">
        <v>1666</v>
      </c>
      <c r="I368" s="26" t="s">
        <v>1667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4" t="s">
        <v>397</v>
      </c>
      <c r="B369" s="25">
        <v>6.78162816468E11</v>
      </c>
      <c r="C369" s="24" t="s">
        <v>303</v>
      </c>
      <c r="D369" s="24" t="s">
        <v>203</v>
      </c>
      <c r="E369" s="24" t="s">
        <v>9</v>
      </c>
      <c r="F369" s="26">
        <v>2579.0</v>
      </c>
      <c r="G369" s="26" t="s">
        <v>1297</v>
      </c>
      <c r="H369" s="26" t="s">
        <v>1668</v>
      </c>
      <c r="I369" s="26" t="s">
        <v>1669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4" t="s">
        <v>398</v>
      </c>
      <c r="B370" s="25">
        <v>5.1919728672E11</v>
      </c>
      <c r="C370" s="24" t="s">
        <v>303</v>
      </c>
      <c r="D370" s="24" t="s">
        <v>203</v>
      </c>
      <c r="E370" s="25" t="s">
        <v>9</v>
      </c>
      <c r="F370" s="26">
        <v>2694.0</v>
      </c>
      <c r="G370" s="26" t="s">
        <v>1297</v>
      </c>
      <c r="H370" s="26" t="s">
        <v>1670</v>
      </c>
      <c r="I370" s="26" t="s">
        <v>1671</v>
      </c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4" t="s">
        <v>399</v>
      </c>
      <c r="B371" s="25">
        <v>8.45178158571E11</v>
      </c>
      <c r="C371" s="24" t="s">
        <v>303</v>
      </c>
      <c r="D371" s="24" t="s">
        <v>203</v>
      </c>
      <c r="E371" s="24" t="s">
        <v>9</v>
      </c>
      <c r="F371" s="26">
        <v>2766.0</v>
      </c>
      <c r="G371" s="26" t="s">
        <v>1032</v>
      </c>
      <c r="H371" s="26" t="s">
        <v>1672</v>
      </c>
      <c r="I371" s="26" t="s">
        <v>1673</v>
      </c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4" t="s">
        <v>400</v>
      </c>
      <c r="B372" s="25">
        <v>7.65142805403E11</v>
      </c>
      <c r="C372" s="24" t="s">
        <v>303</v>
      </c>
      <c r="D372" s="24" t="s">
        <v>203</v>
      </c>
      <c r="E372" s="24" t="s">
        <v>13</v>
      </c>
      <c r="F372" s="26">
        <v>2777.0</v>
      </c>
      <c r="G372" s="26" t="s">
        <v>1297</v>
      </c>
      <c r="H372" s="26" t="s">
        <v>1674</v>
      </c>
      <c r="I372" s="26" t="s">
        <v>1675</v>
      </c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4" t="s">
        <v>401</v>
      </c>
      <c r="B373" s="25">
        <v>2.57141843453E11</v>
      </c>
      <c r="C373" s="24" t="s">
        <v>303</v>
      </c>
      <c r="D373" s="24" t="s">
        <v>203</v>
      </c>
      <c r="E373" s="25" t="s">
        <v>9</v>
      </c>
      <c r="F373" s="26">
        <v>2782.0</v>
      </c>
      <c r="G373" s="26" t="s">
        <v>1032</v>
      </c>
      <c r="H373" s="26" t="s">
        <v>1676</v>
      </c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4" t="s">
        <v>402</v>
      </c>
      <c r="B374" s="25">
        <v>7.30148062985E11</v>
      </c>
      <c r="C374" s="24" t="s">
        <v>303</v>
      </c>
      <c r="D374" s="24" t="s">
        <v>203</v>
      </c>
      <c r="E374" s="24" t="s">
        <v>9</v>
      </c>
      <c r="F374" s="26">
        <v>2692.0</v>
      </c>
      <c r="G374" s="26" t="s">
        <v>1297</v>
      </c>
      <c r="H374" s="26" t="s">
        <v>1677</v>
      </c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4" t="s">
        <v>403</v>
      </c>
      <c r="B375" s="25">
        <v>1.05170539032E11</v>
      </c>
      <c r="C375" s="24" t="s">
        <v>303</v>
      </c>
      <c r="D375" s="24" t="s">
        <v>203</v>
      </c>
      <c r="E375" s="24" t="s">
        <v>13</v>
      </c>
      <c r="F375" s="26">
        <v>2734.0</v>
      </c>
      <c r="G375" s="26" t="s">
        <v>1297</v>
      </c>
      <c r="H375" s="26" t="s">
        <v>1678</v>
      </c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4" t="s">
        <v>404</v>
      </c>
      <c r="B376" s="25">
        <v>5.37125814019E11</v>
      </c>
      <c r="C376" s="24" t="s">
        <v>303</v>
      </c>
      <c r="D376" s="24" t="s">
        <v>63</v>
      </c>
      <c r="E376" s="24" t="s">
        <v>9</v>
      </c>
      <c r="F376" s="27" t="s">
        <v>1679</v>
      </c>
      <c r="G376" s="26"/>
      <c r="H376" s="26" t="s">
        <v>1680</v>
      </c>
      <c r="I376" s="26" t="s">
        <v>1681</v>
      </c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4" t="s">
        <v>405</v>
      </c>
      <c r="B377" s="25">
        <v>6.09123972619E11</v>
      </c>
      <c r="C377" s="24" t="s">
        <v>303</v>
      </c>
      <c r="D377" s="24" t="s">
        <v>63</v>
      </c>
      <c r="E377" s="24" t="s">
        <v>9</v>
      </c>
      <c r="F377" s="27" t="s">
        <v>1682</v>
      </c>
      <c r="G377" s="26"/>
      <c r="H377" s="26" t="s">
        <v>1683</v>
      </c>
      <c r="I377" s="26" t="s">
        <v>1684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4" t="s">
        <v>406</v>
      </c>
      <c r="B378" s="25">
        <v>4.39197564751E11</v>
      </c>
      <c r="C378" s="24" t="s">
        <v>303</v>
      </c>
      <c r="D378" s="24" t="s">
        <v>63</v>
      </c>
      <c r="E378" s="24" t="s">
        <v>9</v>
      </c>
      <c r="F378" s="27" t="s">
        <v>1685</v>
      </c>
      <c r="G378" s="26"/>
      <c r="H378" s="26" t="s">
        <v>1686</v>
      </c>
      <c r="I378" s="26" t="s">
        <v>1687</v>
      </c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4" t="s">
        <v>407</v>
      </c>
      <c r="B379" s="25">
        <v>5.10130705852E11</v>
      </c>
      <c r="C379" s="24" t="s">
        <v>303</v>
      </c>
      <c r="D379" s="24" t="s">
        <v>63</v>
      </c>
      <c r="E379" s="24" t="s">
        <v>9</v>
      </c>
      <c r="F379" s="27" t="s">
        <v>1688</v>
      </c>
      <c r="G379" s="26"/>
      <c r="H379" s="26" t="s">
        <v>1689</v>
      </c>
      <c r="I379" s="26" t="s">
        <v>1690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4" t="s">
        <v>408</v>
      </c>
      <c r="B380" s="25">
        <v>3.2814835702E11</v>
      </c>
      <c r="C380" s="24" t="s">
        <v>303</v>
      </c>
      <c r="D380" s="24" t="s">
        <v>63</v>
      </c>
      <c r="E380" s="24" t="s">
        <v>9</v>
      </c>
      <c r="F380" s="27" t="s">
        <v>1691</v>
      </c>
      <c r="G380" s="26"/>
      <c r="H380" s="26" t="s">
        <v>1692</v>
      </c>
      <c r="I380" s="26" t="s">
        <v>1693</v>
      </c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4" t="s">
        <v>409</v>
      </c>
      <c r="B381" s="25">
        <v>7.85152928659E11</v>
      </c>
      <c r="C381" s="24" t="s">
        <v>303</v>
      </c>
      <c r="D381" s="24" t="s">
        <v>63</v>
      </c>
      <c r="E381" s="24" t="s">
        <v>9</v>
      </c>
      <c r="F381" s="27" t="s">
        <v>1694</v>
      </c>
      <c r="G381" s="26"/>
      <c r="H381" s="26" t="s">
        <v>1695</v>
      </c>
      <c r="I381" s="26" t="s">
        <v>1696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4" t="s">
        <v>410</v>
      </c>
      <c r="B382" s="25">
        <v>4.12128504012E11</v>
      </c>
      <c r="C382" s="24" t="s">
        <v>303</v>
      </c>
      <c r="D382" s="24" t="s">
        <v>63</v>
      </c>
      <c r="E382" s="24" t="s">
        <v>9</v>
      </c>
      <c r="F382" s="27" t="s">
        <v>1697</v>
      </c>
      <c r="G382" s="26"/>
      <c r="H382" s="26" t="s">
        <v>1698</v>
      </c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4" t="s">
        <v>411</v>
      </c>
      <c r="B383" s="25">
        <v>7.25137150313E11</v>
      </c>
      <c r="C383" s="24" t="s">
        <v>303</v>
      </c>
      <c r="D383" s="24" t="s">
        <v>63</v>
      </c>
      <c r="E383" s="25" t="s">
        <v>9</v>
      </c>
      <c r="F383" s="26">
        <v>2536.0</v>
      </c>
      <c r="G383" s="26" t="s">
        <v>1699</v>
      </c>
      <c r="H383" s="26" t="s">
        <v>1700</v>
      </c>
      <c r="I383" s="26" t="s">
        <v>1701</v>
      </c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4" t="s">
        <v>412</v>
      </c>
      <c r="B384" s="25">
        <v>9.50163761784E11</v>
      </c>
      <c r="C384" s="24" t="s">
        <v>303</v>
      </c>
      <c r="D384" s="24" t="s">
        <v>63</v>
      </c>
      <c r="E384" s="25" t="s">
        <v>9</v>
      </c>
      <c r="F384" s="26">
        <v>2407.0</v>
      </c>
      <c r="G384" s="26" t="s">
        <v>1297</v>
      </c>
      <c r="H384" s="26" t="s">
        <v>1702</v>
      </c>
      <c r="I384" s="26" t="s">
        <v>1703</v>
      </c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4" t="s">
        <v>413</v>
      </c>
      <c r="B385" s="25">
        <v>4.2917034861E11</v>
      </c>
      <c r="C385" s="24" t="s">
        <v>303</v>
      </c>
      <c r="D385" s="24" t="s">
        <v>63</v>
      </c>
      <c r="E385" s="24" t="s">
        <v>9</v>
      </c>
      <c r="F385" s="26">
        <v>2402.0</v>
      </c>
      <c r="G385" s="26" t="s">
        <v>1297</v>
      </c>
      <c r="H385" s="26" t="s">
        <v>1704</v>
      </c>
      <c r="I385" s="26" t="s">
        <v>1705</v>
      </c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4" t="s">
        <v>414</v>
      </c>
      <c r="B386" s="25">
        <v>5.89184652592E11</v>
      </c>
      <c r="C386" s="24" t="s">
        <v>303</v>
      </c>
      <c r="D386" s="24" t="s">
        <v>63</v>
      </c>
      <c r="E386" s="25" t="s">
        <v>9</v>
      </c>
      <c r="F386" s="26">
        <v>2592.0</v>
      </c>
      <c r="G386" s="26" t="s">
        <v>1297</v>
      </c>
      <c r="H386" s="26" t="s">
        <v>1706</v>
      </c>
      <c r="I386" s="26" t="s">
        <v>1707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4" t="s">
        <v>415</v>
      </c>
      <c r="B387" s="25">
        <v>2.82156737906E11</v>
      </c>
      <c r="C387" s="24" t="s">
        <v>303</v>
      </c>
      <c r="D387" s="24" t="s">
        <v>63</v>
      </c>
      <c r="E387" s="24" t="s">
        <v>9</v>
      </c>
      <c r="F387" s="26">
        <v>2635.0</v>
      </c>
      <c r="G387" s="26" t="s">
        <v>641</v>
      </c>
      <c r="H387" s="26" t="s">
        <v>1708</v>
      </c>
      <c r="I387" s="26" t="s">
        <v>1709</v>
      </c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4" t="s">
        <v>416</v>
      </c>
      <c r="B388" s="25">
        <v>2.48148530686E11</v>
      </c>
      <c r="C388" s="24" t="s">
        <v>303</v>
      </c>
      <c r="D388" s="24" t="s">
        <v>63</v>
      </c>
      <c r="E388" s="24" t="s">
        <v>13</v>
      </c>
      <c r="F388" s="26">
        <v>2645.0</v>
      </c>
      <c r="G388" s="26" t="s">
        <v>1297</v>
      </c>
      <c r="H388" s="26" t="s">
        <v>1710</v>
      </c>
      <c r="I388" s="26">
        <v>1.0207193E9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4" t="s">
        <v>417</v>
      </c>
      <c r="B389" s="25">
        <v>7.90141820907E11</v>
      </c>
      <c r="C389" s="24" t="s">
        <v>303</v>
      </c>
      <c r="D389" s="24" t="s">
        <v>63</v>
      </c>
      <c r="E389" s="24" t="s">
        <v>13</v>
      </c>
      <c r="F389" s="26">
        <v>2747.0</v>
      </c>
      <c r="G389" s="26" t="s">
        <v>1297</v>
      </c>
      <c r="H389" s="26" t="s">
        <v>1711</v>
      </c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4" t="s">
        <v>418</v>
      </c>
      <c r="B390" s="25">
        <v>2.7917049757E11</v>
      </c>
      <c r="C390" s="24" t="s">
        <v>303</v>
      </c>
      <c r="D390" s="24" t="s">
        <v>250</v>
      </c>
      <c r="E390" s="24" t="s">
        <v>13</v>
      </c>
      <c r="F390" s="27" t="s">
        <v>1712</v>
      </c>
      <c r="G390" s="26" t="s">
        <v>1713</v>
      </c>
      <c r="H390" s="26" t="s">
        <v>1714</v>
      </c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4" t="s">
        <v>419</v>
      </c>
      <c r="B391" s="25">
        <v>8.18193063651E11</v>
      </c>
      <c r="C391" s="24" t="s">
        <v>303</v>
      </c>
      <c r="D391" s="24" t="s">
        <v>250</v>
      </c>
      <c r="E391" s="24" t="s">
        <v>9</v>
      </c>
      <c r="F391" s="27" t="s">
        <v>1715</v>
      </c>
      <c r="G391" s="26" t="s">
        <v>1297</v>
      </c>
      <c r="H391" s="26" t="s">
        <v>1716</v>
      </c>
      <c r="I391" s="26">
        <v>1.124777848E9</v>
      </c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4" t="s">
        <v>420</v>
      </c>
      <c r="B392" s="25">
        <v>5.4516968536E11</v>
      </c>
      <c r="C392" s="24" t="s">
        <v>303</v>
      </c>
      <c r="D392" s="24" t="s">
        <v>250</v>
      </c>
      <c r="E392" s="24" t="s">
        <v>9</v>
      </c>
      <c r="F392" s="27" t="s">
        <v>1717</v>
      </c>
      <c r="G392" s="26" t="s">
        <v>1482</v>
      </c>
      <c r="H392" s="26" t="s">
        <v>1718</v>
      </c>
      <c r="I392" s="26" t="s">
        <v>1719</v>
      </c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4" t="s">
        <v>421</v>
      </c>
      <c r="B393" s="25">
        <v>8.76106203518E11</v>
      </c>
      <c r="C393" s="24" t="s">
        <v>303</v>
      </c>
      <c r="D393" s="24" t="s">
        <v>250</v>
      </c>
      <c r="E393" s="24" t="s">
        <v>9</v>
      </c>
      <c r="F393" s="27" t="s">
        <v>1720</v>
      </c>
      <c r="G393" s="26" t="s">
        <v>1276</v>
      </c>
      <c r="H393" s="26" t="s">
        <v>1721</v>
      </c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4" t="s">
        <v>422</v>
      </c>
      <c r="B394" s="25">
        <v>1.75120578185E11</v>
      </c>
      <c r="C394" s="24" t="s">
        <v>303</v>
      </c>
      <c r="D394" s="24" t="s">
        <v>250</v>
      </c>
      <c r="E394" s="24" t="s">
        <v>9</v>
      </c>
      <c r="F394" s="27" t="s">
        <v>1722</v>
      </c>
      <c r="G394" s="26" t="s">
        <v>1297</v>
      </c>
      <c r="H394" s="26" t="s">
        <v>1723</v>
      </c>
      <c r="I394" s="26" t="s">
        <v>1724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4" t="s">
        <v>423</v>
      </c>
      <c r="B395" s="25">
        <v>8.48121420401E11</v>
      </c>
      <c r="C395" s="24" t="s">
        <v>303</v>
      </c>
      <c r="D395" s="24" t="s">
        <v>250</v>
      </c>
      <c r="E395" s="24" t="s">
        <v>9</v>
      </c>
      <c r="F395" s="27" t="s">
        <v>1725</v>
      </c>
      <c r="G395" s="26" t="s">
        <v>1297</v>
      </c>
      <c r="H395" s="26" t="s">
        <v>1726</v>
      </c>
      <c r="I395" s="26" t="s">
        <v>1727</v>
      </c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4" t="s">
        <v>424</v>
      </c>
      <c r="B396" s="25">
        <v>3.84108435424E11</v>
      </c>
      <c r="C396" s="24" t="s">
        <v>303</v>
      </c>
      <c r="D396" s="24" t="s">
        <v>250</v>
      </c>
      <c r="E396" s="24" t="s">
        <v>9</v>
      </c>
      <c r="F396" s="27" t="s">
        <v>1728</v>
      </c>
      <c r="G396" s="26" t="s">
        <v>1032</v>
      </c>
      <c r="H396" s="26" t="s">
        <v>1729</v>
      </c>
      <c r="I396" s="26" t="s">
        <v>1730</v>
      </c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4" t="s">
        <v>425</v>
      </c>
      <c r="B397" s="25">
        <v>9.63182417149E11</v>
      </c>
      <c r="C397" s="24" t="s">
        <v>303</v>
      </c>
      <c r="D397" s="24" t="s">
        <v>250</v>
      </c>
      <c r="E397" s="24" t="s">
        <v>9</v>
      </c>
      <c r="F397" s="27" t="s">
        <v>1731</v>
      </c>
      <c r="G397" s="26" t="s">
        <v>1297</v>
      </c>
      <c r="H397" s="26" t="s">
        <v>1732</v>
      </c>
      <c r="I397" s="26" t="s">
        <v>1733</v>
      </c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4" t="s">
        <v>426</v>
      </c>
      <c r="B398" s="25">
        <v>1.64127957037E11</v>
      </c>
      <c r="C398" s="24" t="s">
        <v>303</v>
      </c>
      <c r="D398" s="24" t="s">
        <v>250</v>
      </c>
      <c r="E398" s="24" t="s">
        <v>9</v>
      </c>
      <c r="F398" s="27" t="s">
        <v>1734</v>
      </c>
      <c r="G398" s="26" t="s">
        <v>1297</v>
      </c>
      <c r="H398" s="26" t="s">
        <v>1735</v>
      </c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4" t="s">
        <v>427</v>
      </c>
      <c r="B399" s="25">
        <v>3.60178214932E11</v>
      </c>
      <c r="C399" s="24" t="s">
        <v>303</v>
      </c>
      <c r="D399" s="24" t="s">
        <v>250</v>
      </c>
      <c r="E399" s="24" t="s">
        <v>9</v>
      </c>
      <c r="F399" s="27" t="s">
        <v>1736</v>
      </c>
      <c r="G399" s="26" t="s">
        <v>1032</v>
      </c>
      <c r="H399" s="26" t="s">
        <v>1737</v>
      </c>
      <c r="I399" s="26" t="s">
        <v>1738</v>
      </c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4" t="s">
        <v>428</v>
      </c>
      <c r="B400" s="25">
        <v>8.67198159258E11</v>
      </c>
      <c r="C400" s="24" t="s">
        <v>303</v>
      </c>
      <c r="D400" s="24" t="s">
        <v>250</v>
      </c>
      <c r="E400" s="24" t="s">
        <v>9</v>
      </c>
      <c r="F400" s="26">
        <v>2334.0</v>
      </c>
      <c r="G400" s="26" t="s">
        <v>1297</v>
      </c>
      <c r="H400" s="26" t="s">
        <v>1739</v>
      </c>
      <c r="I400" s="26" t="s">
        <v>1740</v>
      </c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4" t="s">
        <v>429</v>
      </c>
      <c r="B401" s="25">
        <v>3.28106361965E11</v>
      </c>
      <c r="C401" s="24" t="s">
        <v>303</v>
      </c>
      <c r="D401" s="24" t="s">
        <v>250</v>
      </c>
      <c r="E401" s="24" t="s">
        <v>9</v>
      </c>
      <c r="F401" s="26">
        <v>2467.0</v>
      </c>
      <c r="G401" s="26" t="s">
        <v>1297</v>
      </c>
      <c r="H401" s="26" t="s">
        <v>1741</v>
      </c>
      <c r="I401" s="26" t="s">
        <v>1742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4" t="s">
        <v>430</v>
      </c>
      <c r="B402" s="25">
        <v>4.72132150306E11</v>
      </c>
      <c r="C402" s="24" t="s">
        <v>303</v>
      </c>
      <c r="D402" s="24" t="s">
        <v>172</v>
      </c>
      <c r="E402" s="25" t="s">
        <v>9</v>
      </c>
      <c r="F402" s="26">
        <v>2485.0</v>
      </c>
      <c r="G402" s="26" t="s">
        <v>1032</v>
      </c>
      <c r="H402" s="26" t="s">
        <v>1743</v>
      </c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4" t="s">
        <v>431</v>
      </c>
      <c r="B403" s="25">
        <v>9.03167431715E11</v>
      </c>
      <c r="C403" s="24" t="s">
        <v>303</v>
      </c>
      <c r="D403" s="24" t="s">
        <v>250</v>
      </c>
      <c r="E403" s="24" t="s">
        <v>9</v>
      </c>
      <c r="F403" s="26">
        <v>2618.0</v>
      </c>
      <c r="G403" s="26" t="s">
        <v>1276</v>
      </c>
      <c r="H403" s="26" t="s">
        <v>1744</v>
      </c>
      <c r="I403" s="26" t="s">
        <v>1745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4" t="s">
        <v>432</v>
      </c>
      <c r="B404" s="25">
        <v>2.36169469685E11</v>
      </c>
      <c r="C404" s="24" t="s">
        <v>303</v>
      </c>
      <c r="D404" s="24" t="s">
        <v>250</v>
      </c>
      <c r="E404" s="25" t="s">
        <v>9</v>
      </c>
      <c r="F404" s="26">
        <v>2625.0</v>
      </c>
      <c r="G404" s="26" t="s">
        <v>1297</v>
      </c>
      <c r="H404" s="26" t="s">
        <v>1746</v>
      </c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4" t="s">
        <v>433</v>
      </c>
      <c r="B405" s="25">
        <v>3.13175709374E11</v>
      </c>
      <c r="C405" s="24" t="s">
        <v>303</v>
      </c>
      <c r="D405" s="24" t="s">
        <v>250</v>
      </c>
      <c r="E405" s="24" t="s">
        <v>13</v>
      </c>
      <c r="F405" s="26">
        <v>2764.0</v>
      </c>
      <c r="G405" s="26" t="s">
        <v>1297</v>
      </c>
      <c r="H405" s="26" t="s">
        <v>1747</v>
      </c>
      <c r="I405" s="26" t="s">
        <v>1748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4" t="s">
        <v>434</v>
      </c>
      <c r="B406" s="25">
        <v>2.6012787251E11</v>
      </c>
      <c r="C406" s="24" t="s">
        <v>303</v>
      </c>
      <c r="D406" s="24" t="s">
        <v>250</v>
      </c>
      <c r="E406" s="24" t="s">
        <v>13</v>
      </c>
      <c r="F406" s="26">
        <v>2727.0</v>
      </c>
      <c r="G406" s="26" t="s">
        <v>1297</v>
      </c>
      <c r="H406" s="26" t="s">
        <v>1749</v>
      </c>
      <c r="I406" s="26" t="s">
        <v>1750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4" t="s">
        <v>435</v>
      </c>
      <c r="B407" s="25">
        <v>1.58129191683E11</v>
      </c>
      <c r="C407" s="24" t="s">
        <v>303</v>
      </c>
      <c r="D407" s="24" t="s">
        <v>250</v>
      </c>
      <c r="E407" s="24" t="s">
        <v>13</v>
      </c>
      <c r="F407" s="26">
        <v>2696.0</v>
      </c>
      <c r="G407" s="26" t="s">
        <v>1297</v>
      </c>
      <c r="H407" s="26" t="s">
        <v>1751</v>
      </c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4" t="s">
        <v>436</v>
      </c>
      <c r="B408" s="25">
        <v>5.73158956591E11</v>
      </c>
      <c r="C408" s="24" t="s">
        <v>303</v>
      </c>
      <c r="D408" s="24" t="s">
        <v>250</v>
      </c>
      <c r="E408" s="24" t="s">
        <v>13</v>
      </c>
      <c r="F408" s="26">
        <v>2743.0</v>
      </c>
      <c r="G408" s="26" t="s">
        <v>1297</v>
      </c>
      <c r="H408" s="26" t="s">
        <v>1752</v>
      </c>
      <c r="I408" s="26" t="s">
        <v>1753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4" t="s">
        <v>437</v>
      </c>
      <c r="B409" s="25">
        <v>5.64139362753E11</v>
      </c>
      <c r="C409" s="24" t="s">
        <v>303</v>
      </c>
      <c r="D409" s="24" t="s">
        <v>250</v>
      </c>
      <c r="E409" s="24" t="s">
        <v>13</v>
      </c>
      <c r="F409" s="26">
        <v>2770.0</v>
      </c>
      <c r="G409" s="26" t="s">
        <v>1297</v>
      </c>
      <c r="H409" s="26" t="s">
        <v>1754</v>
      </c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4" t="s">
        <v>438</v>
      </c>
      <c r="B410" s="25">
        <v>8.34132198971E11</v>
      </c>
      <c r="C410" s="24" t="s">
        <v>303</v>
      </c>
      <c r="D410" s="24" t="s">
        <v>250</v>
      </c>
      <c r="E410" s="24" t="s">
        <v>13</v>
      </c>
      <c r="F410" s="26">
        <v>2764.0</v>
      </c>
      <c r="G410" s="26" t="s">
        <v>1297</v>
      </c>
      <c r="H410" s="26" t="s">
        <v>1755</v>
      </c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4" t="s">
        <v>439</v>
      </c>
      <c r="B411" s="25">
        <v>2.75182367207E11</v>
      </c>
      <c r="C411" s="24" t="s">
        <v>303</v>
      </c>
      <c r="D411" s="24" t="s">
        <v>250</v>
      </c>
      <c r="E411" s="24" t="s">
        <v>13</v>
      </c>
      <c r="F411" s="26">
        <v>2756.0</v>
      </c>
      <c r="G411" s="26" t="s">
        <v>1276</v>
      </c>
      <c r="H411" s="26" t="s">
        <v>1756</v>
      </c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4" t="s">
        <v>440</v>
      </c>
      <c r="B412" s="25">
        <v>5.86129524617E11</v>
      </c>
      <c r="C412" s="24" t="s">
        <v>303</v>
      </c>
      <c r="D412" s="24" t="s">
        <v>250</v>
      </c>
      <c r="E412" s="24" t="s">
        <v>13</v>
      </c>
      <c r="F412" s="26">
        <v>2796.0</v>
      </c>
      <c r="G412" s="26" t="s">
        <v>1297</v>
      </c>
      <c r="H412" s="26" t="s">
        <v>1757</v>
      </c>
      <c r="I412" s="26" t="s">
        <v>1758</v>
      </c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4" t="s">
        <v>441</v>
      </c>
      <c r="B413" s="25">
        <v>2.83104819698E11</v>
      </c>
      <c r="C413" s="24" t="s">
        <v>303</v>
      </c>
      <c r="D413" s="24" t="s">
        <v>250</v>
      </c>
      <c r="E413" s="24" t="s">
        <v>13</v>
      </c>
      <c r="F413" s="26">
        <v>2669.0</v>
      </c>
      <c r="G413" s="26" t="s">
        <v>1297</v>
      </c>
      <c r="H413" s="26" t="s">
        <v>1759</v>
      </c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4" t="s">
        <v>442</v>
      </c>
      <c r="B414" s="25">
        <v>2.06131919704E11</v>
      </c>
      <c r="C414" s="24" t="s">
        <v>303</v>
      </c>
      <c r="D414" s="24" t="s">
        <v>250</v>
      </c>
      <c r="E414" s="24" t="s">
        <v>9</v>
      </c>
      <c r="F414" s="26">
        <v>2736.0</v>
      </c>
      <c r="G414" s="26" t="s">
        <v>1032</v>
      </c>
      <c r="H414" s="26" t="s">
        <v>1760</v>
      </c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4" t="s">
        <v>443</v>
      </c>
      <c r="B415" s="25">
        <v>9.57162109584E11</v>
      </c>
      <c r="C415" s="24" t="s">
        <v>303</v>
      </c>
      <c r="D415" s="24" t="s">
        <v>250</v>
      </c>
      <c r="E415" s="24" t="s">
        <v>13</v>
      </c>
      <c r="F415" s="26">
        <v>2808.0</v>
      </c>
      <c r="G415" s="26" t="s">
        <v>1495</v>
      </c>
      <c r="H415" s="26" t="s">
        <v>1761</v>
      </c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4" t="s">
        <v>444</v>
      </c>
      <c r="B416" s="25">
        <v>6.5617963685E11</v>
      </c>
      <c r="C416" s="24" t="s">
        <v>303</v>
      </c>
      <c r="D416" s="24" t="s">
        <v>69</v>
      </c>
      <c r="E416" s="24" t="s">
        <v>9</v>
      </c>
      <c r="F416" s="27" t="s">
        <v>1762</v>
      </c>
      <c r="G416" s="26" t="s">
        <v>641</v>
      </c>
      <c r="H416" s="26" t="s">
        <v>1763</v>
      </c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4" t="s">
        <v>445</v>
      </c>
      <c r="B417" s="25">
        <v>4.67134069813E11</v>
      </c>
      <c r="C417" s="24" t="s">
        <v>303</v>
      </c>
      <c r="D417" s="24" t="s">
        <v>69</v>
      </c>
      <c r="E417" s="24" t="s">
        <v>9</v>
      </c>
      <c r="F417" s="27" t="s">
        <v>1764</v>
      </c>
      <c r="G417" s="26" t="s">
        <v>1094</v>
      </c>
      <c r="H417" s="26" t="s">
        <v>1765</v>
      </c>
      <c r="I417" s="26">
        <v>2.01091050146E11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4" t="s">
        <v>446</v>
      </c>
      <c r="B418" s="25">
        <v>5.92179807615E11</v>
      </c>
      <c r="C418" s="24" t="s">
        <v>303</v>
      </c>
      <c r="D418" s="24" t="s">
        <v>69</v>
      </c>
      <c r="E418" s="24" t="s">
        <v>9</v>
      </c>
      <c r="F418" s="27" t="s">
        <v>1766</v>
      </c>
      <c r="G418" s="26" t="s">
        <v>1297</v>
      </c>
      <c r="H418" s="26" t="s">
        <v>1767</v>
      </c>
      <c r="I418" s="26">
        <v>2.01116153885E11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4" t="s">
        <v>447</v>
      </c>
      <c r="B419" s="25">
        <v>9.57170329636E11</v>
      </c>
      <c r="C419" s="24" t="s">
        <v>303</v>
      </c>
      <c r="D419" s="24" t="s">
        <v>69</v>
      </c>
      <c r="E419" s="24" t="s">
        <v>9</v>
      </c>
      <c r="F419" s="27" t="s">
        <v>1768</v>
      </c>
      <c r="G419" s="26" t="s">
        <v>1297</v>
      </c>
      <c r="H419" s="26" t="s">
        <v>1769</v>
      </c>
      <c r="I419" s="26" t="s">
        <v>1770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4" t="s">
        <v>448</v>
      </c>
      <c r="B420" s="25">
        <v>9.19178945796E11</v>
      </c>
      <c r="C420" s="24" t="s">
        <v>303</v>
      </c>
      <c r="D420" s="24" t="s">
        <v>69</v>
      </c>
      <c r="E420" s="24" t="s">
        <v>9</v>
      </c>
      <c r="F420" s="27" t="s">
        <v>1771</v>
      </c>
      <c r="G420" s="26" t="s">
        <v>641</v>
      </c>
      <c r="H420" s="26" t="s">
        <v>1772</v>
      </c>
      <c r="I420" s="26" t="s">
        <v>1773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4" t="s">
        <v>449</v>
      </c>
      <c r="B421" s="25">
        <v>6.17175650841E11</v>
      </c>
      <c r="C421" s="24" t="s">
        <v>303</v>
      </c>
      <c r="D421" s="24" t="s">
        <v>69</v>
      </c>
      <c r="E421" s="24" t="s">
        <v>9</v>
      </c>
      <c r="F421" s="27" t="s">
        <v>1774</v>
      </c>
      <c r="G421" s="26" t="s">
        <v>776</v>
      </c>
      <c r="H421" s="26" t="s">
        <v>1775</v>
      </c>
      <c r="I421" s="26" t="s">
        <v>1776</v>
      </c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4" t="s">
        <v>450</v>
      </c>
      <c r="B422" s="25">
        <v>4.56173727324E11</v>
      </c>
      <c r="C422" s="24" t="s">
        <v>303</v>
      </c>
      <c r="D422" s="24" t="s">
        <v>69</v>
      </c>
      <c r="E422" s="24" t="s">
        <v>9</v>
      </c>
      <c r="F422" s="27" t="s">
        <v>1777</v>
      </c>
      <c r="G422" s="26" t="s">
        <v>1032</v>
      </c>
      <c r="H422" s="26" t="s">
        <v>1778</v>
      </c>
      <c r="I422" s="26" t="s">
        <v>1779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4" t="s">
        <v>451</v>
      </c>
      <c r="B423" s="25">
        <v>1.38195736921E11</v>
      </c>
      <c r="C423" s="24" t="s">
        <v>303</v>
      </c>
      <c r="D423" s="24" t="s">
        <v>69</v>
      </c>
      <c r="E423" s="24" t="s">
        <v>9</v>
      </c>
      <c r="F423" s="27" t="s">
        <v>1780</v>
      </c>
      <c r="G423" s="26" t="s">
        <v>1297</v>
      </c>
      <c r="H423" s="26" t="s">
        <v>1781</v>
      </c>
      <c r="I423" s="26" t="s">
        <v>1782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4" t="s">
        <v>452</v>
      </c>
      <c r="B424" s="25">
        <v>7.86170102324E11</v>
      </c>
      <c r="C424" s="24" t="s">
        <v>303</v>
      </c>
      <c r="D424" s="24" t="s">
        <v>69</v>
      </c>
      <c r="E424" s="24" t="s">
        <v>9</v>
      </c>
      <c r="F424" s="27" t="s">
        <v>1783</v>
      </c>
      <c r="G424" s="26" t="s">
        <v>1297</v>
      </c>
      <c r="H424" s="26" t="s">
        <v>1784</v>
      </c>
      <c r="I424" s="26" t="s">
        <v>1785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4" t="s">
        <v>453</v>
      </c>
      <c r="B425" s="25">
        <v>5.03107402589E11</v>
      </c>
      <c r="C425" s="24" t="s">
        <v>303</v>
      </c>
      <c r="D425" s="24" t="s">
        <v>69</v>
      </c>
      <c r="E425" s="24" t="s">
        <v>9</v>
      </c>
      <c r="F425" s="26">
        <v>2346.0</v>
      </c>
      <c r="G425" s="26" t="s">
        <v>1297</v>
      </c>
      <c r="H425" s="26" t="s">
        <v>1786</v>
      </c>
      <c r="I425" s="26" t="s">
        <v>1787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4" t="s">
        <v>454</v>
      </c>
      <c r="B426" s="25">
        <v>8.39190937852E11</v>
      </c>
      <c r="C426" s="24" t="s">
        <v>303</v>
      </c>
      <c r="D426" s="24" t="s">
        <v>69</v>
      </c>
      <c r="E426" s="25" t="s">
        <v>9</v>
      </c>
      <c r="F426" s="26">
        <v>2378.0</v>
      </c>
      <c r="G426" s="26" t="s">
        <v>641</v>
      </c>
      <c r="H426" s="26" t="s">
        <v>1788</v>
      </c>
      <c r="I426" s="26" t="s">
        <v>1789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4" t="s">
        <v>455</v>
      </c>
      <c r="B427" s="25">
        <v>2.50145985245E11</v>
      </c>
      <c r="C427" s="24" t="s">
        <v>303</v>
      </c>
      <c r="D427" s="24" t="s">
        <v>69</v>
      </c>
      <c r="E427" s="24" t="s">
        <v>9</v>
      </c>
      <c r="F427" s="26">
        <v>2374.0</v>
      </c>
      <c r="G427" s="26" t="s">
        <v>1297</v>
      </c>
      <c r="H427" s="26" t="s">
        <v>1790</v>
      </c>
      <c r="I427" s="26" t="s">
        <v>1791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4" t="s">
        <v>456</v>
      </c>
      <c r="B428" s="25">
        <v>4.98131373584E11</v>
      </c>
      <c r="C428" s="24" t="s">
        <v>303</v>
      </c>
      <c r="D428" s="24" t="s">
        <v>69</v>
      </c>
      <c r="E428" s="24" t="s">
        <v>9</v>
      </c>
      <c r="F428" s="26">
        <v>2394.0</v>
      </c>
      <c r="G428" s="26" t="s">
        <v>1032</v>
      </c>
      <c r="H428" s="26" t="s">
        <v>1792</v>
      </c>
      <c r="I428" s="26" t="s">
        <v>1793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4" t="s">
        <v>457</v>
      </c>
      <c r="B429" s="25">
        <v>6.08183854595E11</v>
      </c>
      <c r="C429" s="24" t="s">
        <v>303</v>
      </c>
      <c r="D429" s="24" t="s">
        <v>69</v>
      </c>
      <c r="E429" s="24" t="s">
        <v>13</v>
      </c>
      <c r="F429" s="26">
        <v>2415.0</v>
      </c>
      <c r="G429" s="26" t="s">
        <v>1794</v>
      </c>
      <c r="H429" s="26" t="s">
        <v>1795</v>
      </c>
      <c r="I429" s="26" t="s">
        <v>1796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4" t="s">
        <v>458</v>
      </c>
      <c r="B430" s="25">
        <v>4.16178416352E11</v>
      </c>
      <c r="C430" s="24" t="s">
        <v>303</v>
      </c>
      <c r="D430" s="24" t="s">
        <v>69</v>
      </c>
      <c r="E430" s="24" t="s">
        <v>9</v>
      </c>
      <c r="F430" s="26">
        <v>2410.0</v>
      </c>
      <c r="G430" s="26" t="s">
        <v>1032</v>
      </c>
      <c r="H430" s="26" t="s">
        <v>1797</v>
      </c>
      <c r="I430" s="26" t="s">
        <v>1798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4" t="s">
        <v>459</v>
      </c>
      <c r="B431" s="25">
        <v>1.93167923501E11</v>
      </c>
      <c r="C431" s="24" t="s">
        <v>303</v>
      </c>
      <c r="D431" s="24" t="s">
        <v>69</v>
      </c>
      <c r="E431" s="24" t="s">
        <v>9</v>
      </c>
      <c r="F431" s="26">
        <v>2451.0</v>
      </c>
      <c r="G431" s="26" t="s">
        <v>1094</v>
      </c>
      <c r="H431" s="26" t="s">
        <v>1799</v>
      </c>
      <c r="I431" s="26" t="s">
        <v>1800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4" t="s">
        <v>460</v>
      </c>
      <c r="B432" s="25">
        <v>7.35137965041E11</v>
      </c>
      <c r="C432" s="24" t="s">
        <v>303</v>
      </c>
      <c r="D432" s="24" t="s">
        <v>69</v>
      </c>
      <c r="E432" s="24" t="s">
        <v>9</v>
      </c>
      <c r="F432" s="26">
        <v>2469.0</v>
      </c>
      <c r="G432" s="26" t="s">
        <v>1032</v>
      </c>
      <c r="H432" s="26" t="s">
        <v>1801</v>
      </c>
      <c r="I432" s="26" t="s">
        <v>1802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4" t="s">
        <v>461</v>
      </c>
      <c r="B433" s="25">
        <v>3.58183213283E11</v>
      </c>
      <c r="C433" s="24" t="s">
        <v>303</v>
      </c>
      <c r="D433" s="24" t="s">
        <v>69</v>
      </c>
      <c r="E433" s="24" t="s">
        <v>9</v>
      </c>
      <c r="F433" s="26">
        <v>2463.0</v>
      </c>
      <c r="G433" s="26" t="s">
        <v>1297</v>
      </c>
      <c r="H433" s="26" t="s">
        <v>1803</v>
      </c>
      <c r="I433" s="26" t="s">
        <v>1804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4" t="s">
        <v>462</v>
      </c>
      <c r="B434" s="25">
        <v>1.84134281752E11</v>
      </c>
      <c r="C434" s="24" t="s">
        <v>303</v>
      </c>
      <c r="D434" s="24" t="s">
        <v>69</v>
      </c>
      <c r="E434" s="24" t="s">
        <v>9</v>
      </c>
      <c r="F434" s="26">
        <v>2418.0</v>
      </c>
      <c r="G434" s="26" t="s">
        <v>1297</v>
      </c>
      <c r="H434" s="26" t="s">
        <v>1805</v>
      </c>
      <c r="I434" s="26" t="s">
        <v>1806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4" t="s">
        <v>463</v>
      </c>
      <c r="B435" s="25">
        <v>8.72145824294E11</v>
      </c>
      <c r="C435" s="24" t="s">
        <v>303</v>
      </c>
      <c r="D435" s="24" t="s">
        <v>69</v>
      </c>
      <c r="E435" s="24" t="s">
        <v>13</v>
      </c>
      <c r="F435" s="26">
        <v>2464.0</v>
      </c>
      <c r="G435" s="26" t="s">
        <v>1807</v>
      </c>
      <c r="H435" s="26" t="s">
        <v>1808</v>
      </c>
      <c r="I435" s="26" t="s">
        <v>1809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4" t="s">
        <v>464</v>
      </c>
      <c r="B436" s="25">
        <v>7.24157458293E11</v>
      </c>
      <c r="C436" s="24" t="s">
        <v>303</v>
      </c>
      <c r="D436" s="24" t="s">
        <v>69</v>
      </c>
      <c r="E436" s="24" t="s">
        <v>9</v>
      </c>
      <c r="F436" s="26">
        <v>2460.0</v>
      </c>
      <c r="G436" s="26" t="s">
        <v>1467</v>
      </c>
      <c r="H436" s="26" t="s">
        <v>1810</v>
      </c>
      <c r="I436" s="26" t="s">
        <v>1811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4" t="s">
        <v>465</v>
      </c>
      <c r="B437" s="25">
        <v>6.0714082684E11</v>
      </c>
      <c r="C437" s="24" t="s">
        <v>303</v>
      </c>
      <c r="D437" s="24" t="s">
        <v>69</v>
      </c>
      <c r="E437" s="24" t="s">
        <v>9</v>
      </c>
      <c r="F437" s="26">
        <v>2828.0</v>
      </c>
      <c r="G437" s="26" t="s">
        <v>641</v>
      </c>
      <c r="H437" s="26" t="s">
        <v>1812</v>
      </c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4" t="s">
        <v>466</v>
      </c>
      <c r="B438" s="25">
        <v>1.96162052652E11</v>
      </c>
      <c r="C438" s="24" t="s">
        <v>303</v>
      </c>
      <c r="D438" s="24" t="s">
        <v>69</v>
      </c>
      <c r="E438" s="24" t="s">
        <v>9</v>
      </c>
      <c r="F438" s="26">
        <v>2494.0</v>
      </c>
      <c r="G438" s="26" t="s">
        <v>1032</v>
      </c>
      <c r="H438" s="26" t="s">
        <v>1813</v>
      </c>
      <c r="I438" s="26" t="s">
        <v>1814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4" t="s">
        <v>467</v>
      </c>
      <c r="B439" s="25">
        <v>8.63124634182E11</v>
      </c>
      <c r="C439" s="24" t="s">
        <v>303</v>
      </c>
      <c r="D439" s="24" t="s">
        <v>69</v>
      </c>
      <c r="E439" s="24" t="s">
        <v>9</v>
      </c>
      <c r="F439" s="26">
        <v>2598.0</v>
      </c>
      <c r="G439" s="26" t="s">
        <v>1032</v>
      </c>
      <c r="H439" s="26" t="s">
        <v>1815</v>
      </c>
      <c r="I439" s="26" t="s">
        <v>1816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4" t="s">
        <v>468</v>
      </c>
      <c r="B440" s="25">
        <v>6.79107028652E11</v>
      </c>
      <c r="C440" s="24" t="s">
        <v>303</v>
      </c>
      <c r="D440" s="24" t="s">
        <v>69</v>
      </c>
      <c r="E440" s="24" t="s">
        <v>9</v>
      </c>
      <c r="F440" s="26">
        <v>2607.0</v>
      </c>
      <c r="G440" s="26" t="s">
        <v>1032</v>
      </c>
      <c r="H440" s="26" t="s">
        <v>1817</v>
      </c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4" t="s">
        <v>469</v>
      </c>
      <c r="B441" s="25">
        <v>1.58121437132E11</v>
      </c>
      <c r="C441" s="24" t="s">
        <v>303</v>
      </c>
      <c r="D441" s="24" t="s">
        <v>69</v>
      </c>
      <c r="E441" s="25" t="s">
        <v>9</v>
      </c>
      <c r="F441" s="26">
        <v>2689.0</v>
      </c>
      <c r="G441" s="26" t="s">
        <v>1032</v>
      </c>
      <c r="H441" s="26" t="s">
        <v>1818</v>
      </c>
      <c r="I441" s="26" t="s">
        <v>1819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4" t="s">
        <v>470</v>
      </c>
      <c r="B442" s="25">
        <v>2.48108614245E11</v>
      </c>
      <c r="C442" s="24" t="s">
        <v>303</v>
      </c>
      <c r="D442" s="24" t="s">
        <v>69</v>
      </c>
      <c r="E442" s="25" t="s">
        <v>9</v>
      </c>
      <c r="F442" s="26">
        <v>2714.0</v>
      </c>
      <c r="G442" s="26" t="s">
        <v>1415</v>
      </c>
      <c r="H442" s="26" t="s">
        <v>1820</v>
      </c>
      <c r="I442" s="26" t="s">
        <v>1821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4" t="s">
        <v>471</v>
      </c>
      <c r="B443" s="25">
        <v>8.08120316039E11</v>
      </c>
      <c r="C443" s="24" t="s">
        <v>303</v>
      </c>
      <c r="D443" s="24" t="s">
        <v>69</v>
      </c>
      <c r="E443" s="24" t="s">
        <v>9</v>
      </c>
      <c r="F443" s="26">
        <v>2739.0</v>
      </c>
      <c r="G443" s="26" t="s">
        <v>1032</v>
      </c>
      <c r="H443" s="26" t="s">
        <v>1822</v>
      </c>
      <c r="I443" s="26" t="s">
        <v>1823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4" t="s">
        <v>472</v>
      </c>
      <c r="B444" s="25">
        <v>7.45160949182E11</v>
      </c>
      <c r="C444" s="24" t="s">
        <v>303</v>
      </c>
      <c r="D444" s="24" t="s">
        <v>69</v>
      </c>
      <c r="E444" s="24" t="s">
        <v>9</v>
      </c>
      <c r="F444" s="26">
        <v>2666.0</v>
      </c>
      <c r="G444" s="26" t="s">
        <v>1297</v>
      </c>
      <c r="H444" s="26" t="s">
        <v>1824</v>
      </c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4" t="s">
        <v>473</v>
      </c>
      <c r="B445" s="25">
        <v>9.45158431678E11</v>
      </c>
      <c r="C445" s="24" t="s">
        <v>303</v>
      </c>
      <c r="D445" s="24" t="s">
        <v>69</v>
      </c>
      <c r="E445" s="25" t="s">
        <v>9</v>
      </c>
      <c r="F445" s="26">
        <v>2683.0</v>
      </c>
      <c r="G445" s="26" t="s">
        <v>1032</v>
      </c>
      <c r="H445" s="26" t="s">
        <v>1825</v>
      </c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4" t="s">
        <v>474</v>
      </c>
      <c r="B446" s="25">
        <v>1.7316957372E11</v>
      </c>
      <c r="C446" s="24" t="s">
        <v>303</v>
      </c>
      <c r="D446" s="24" t="s">
        <v>69</v>
      </c>
      <c r="E446" s="25" t="s">
        <v>9</v>
      </c>
      <c r="F446" s="26">
        <v>2518.0</v>
      </c>
      <c r="G446" s="26" t="s">
        <v>641</v>
      </c>
      <c r="H446" s="26" t="s">
        <v>1826</v>
      </c>
      <c r="I446" s="26" t="s">
        <v>1827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4" t="s">
        <v>475</v>
      </c>
      <c r="B447" s="25">
        <v>8.02176250947E11</v>
      </c>
      <c r="C447" s="24" t="s">
        <v>303</v>
      </c>
      <c r="D447" s="24" t="s">
        <v>69</v>
      </c>
      <c r="E447" s="25" t="s">
        <v>9</v>
      </c>
      <c r="F447" s="26">
        <v>2636.0</v>
      </c>
      <c r="G447" s="26" t="s">
        <v>1297</v>
      </c>
      <c r="H447" s="26" t="s">
        <v>1828</v>
      </c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4" t="s">
        <v>476</v>
      </c>
      <c r="B448" s="25">
        <v>6.48193010591E11</v>
      </c>
      <c r="C448" s="24" t="s">
        <v>477</v>
      </c>
      <c r="D448" s="24" t="s">
        <v>478</v>
      </c>
      <c r="E448" s="24" t="s">
        <v>9</v>
      </c>
      <c r="F448" s="27" t="s">
        <v>1829</v>
      </c>
      <c r="G448" s="26" t="s">
        <v>596</v>
      </c>
      <c r="H448" s="26" t="s">
        <v>1830</v>
      </c>
      <c r="I448" s="26">
        <v>2.01119117049E11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4" t="s">
        <v>479</v>
      </c>
      <c r="B449" s="25">
        <v>5.35169041274E11</v>
      </c>
      <c r="C449" s="24" t="s">
        <v>477</v>
      </c>
      <c r="D449" s="24" t="s">
        <v>478</v>
      </c>
      <c r="E449" s="24" t="s">
        <v>13</v>
      </c>
      <c r="F449" s="27" t="s">
        <v>1831</v>
      </c>
      <c r="G449" s="26" t="s">
        <v>1832</v>
      </c>
      <c r="H449" s="26" t="s">
        <v>1833</v>
      </c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4" t="s">
        <v>480</v>
      </c>
      <c r="B450" s="25">
        <v>1.65178526464E11</v>
      </c>
      <c r="C450" s="24" t="s">
        <v>477</v>
      </c>
      <c r="D450" s="24" t="s">
        <v>478</v>
      </c>
      <c r="E450" s="24" t="s">
        <v>9</v>
      </c>
      <c r="F450" s="27" t="s">
        <v>1834</v>
      </c>
      <c r="G450" s="26" t="s">
        <v>596</v>
      </c>
      <c r="H450" s="26" t="s">
        <v>1835</v>
      </c>
      <c r="I450" s="26" t="s">
        <v>1836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4" t="s">
        <v>481</v>
      </c>
      <c r="B451" s="25">
        <v>5.76138787065E11</v>
      </c>
      <c r="C451" s="24" t="s">
        <v>477</v>
      </c>
      <c r="D451" s="24" t="s">
        <v>478</v>
      </c>
      <c r="E451" s="24" t="s">
        <v>9</v>
      </c>
      <c r="F451" s="27" t="s">
        <v>1837</v>
      </c>
      <c r="G451" s="26" t="s">
        <v>1832</v>
      </c>
      <c r="H451" s="26" t="s">
        <v>1838</v>
      </c>
      <c r="I451" s="26" t="s">
        <v>1839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4" t="s">
        <v>482</v>
      </c>
      <c r="B452" s="25">
        <v>1.59132748372E11</v>
      </c>
      <c r="C452" s="24" t="s">
        <v>477</v>
      </c>
      <c r="D452" s="24" t="s">
        <v>478</v>
      </c>
      <c r="E452" s="24" t="s">
        <v>13</v>
      </c>
      <c r="F452" s="26">
        <v>2679.0</v>
      </c>
      <c r="G452" s="26" t="s">
        <v>1297</v>
      </c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4" t="s">
        <v>483</v>
      </c>
      <c r="B453" s="25">
        <v>4.2718525845E11</v>
      </c>
      <c r="C453" s="24" t="s">
        <v>477</v>
      </c>
      <c r="D453" s="24" t="s">
        <v>478</v>
      </c>
      <c r="E453" s="24" t="s">
        <v>9</v>
      </c>
      <c r="F453" s="27" t="s">
        <v>1840</v>
      </c>
      <c r="G453" s="26" t="s">
        <v>1832</v>
      </c>
      <c r="H453" s="26" t="s">
        <v>1841</v>
      </c>
      <c r="I453" s="26" t="s">
        <v>1842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4" t="s">
        <v>484</v>
      </c>
      <c r="B454" s="25">
        <v>4.85105671631E11</v>
      </c>
      <c r="C454" s="24" t="s">
        <v>477</v>
      </c>
      <c r="D454" s="24" t="s">
        <v>478</v>
      </c>
      <c r="E454" s="24" t="s">
        <v>13</v>
      </c>
      <c r="F454" s="26" t="s">
        <v>1843</v>
      </c>
      <c r="G454" s="26" t="s">
        <v>1832</v>
      </c>
      <c r="H454" s="26" t="s">
        <v>1844</v>
      </c>
      <c r="I454" s="26" t="s">
        <v>1845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4" t="s">
        <v>485</v>
      </c>
      <c r="B455" s="25">
        <v>6.84136956389E11</v>
      </c>
      <c r="C455" s="24" t="s">
        <v>477</v>
      </c>
      <c r="D455" s="24" t="s">
        <v>478</v>
      </c>
      <c r="E455" s="24" t="s">
        <v>9</v>
      </c>
      <c r="F455" s="26">
        <v>2272.0</v>
      </c>
      <c r="G455" s="26" t="s">
        <v>596</v>
      </c>
      <c r="H455" s="26" t="s">
        <v>1846</v>
      </c>
      <c r="I455" s="26" t="s">
        <v>1847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4" t="s">
        <v>486</v>
      </c>
      <c r="B456" s="25">
        <v>5.35159767372E11</v>
      </c>
      <c r="C456" s="24" t="s">
        <v>477</v>
      </c>
      <c r="D456" s="24" t="s">
        <v>478</v>
      </c>
      <c r="E456" s="24" t="s">
        <v>9</v>
      </c>
      <c r="F456" s="26">
        <v>2268.0</v>
      </c>
      <c r="G456" s="26" t="s">
        <v>1699</v>
      </c>
      <c r="H456" s="26" t="s">
        <v>1848</v>
      </c>
      <c r="I456" s="26" t="s">
        <v>1849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4" t="s">
        <v>487</v>
      </c>
      <c r="B457" s="25">
        <v>2.74174108437E11</v>
      </c>
      <c r="C457" s="24" t="s">
        <v>477</v>
      </c>
      <c r="D457" s="24" t="s">
        <v>478</v>
      </c>
      <c r="E457" s="24" t="s">
        <v>35</v>
      </c>
      <c r="F457" s="26">
        <v>2343.0</v>
      </c>
      <c r="G457" s="26" t="s">
        <v>1832</v>
      </c>
      <c r="H457" s="26" t="s">
        <v>1850</v>
      </c>
      <c r="I457" s="26" t="s">
        <v>1851</v>
      </c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4" t="s">
        <v>488</v>
      </c>
      <c r="B458" s="25">
        <v>1.64139350921E11</v>
      </c>
      <c r="C458" s="24" t="s">
        <v>477</v>
      </c>
      <c r="D458" s="24" t="s">
        <v>489</v>
      </c>
      <c r="E458" s="24" t="s">
        <v>9</v>
      </c>
      <c r="F458" s="27" t="s">
        <v>1852</v>
      </c>
      <c r="G458" s="26" t="s">
        <v>596</v>
      </c>
      <c r="H458" s="26" t="s">
        <v>1853</v>
      </c>
      <c r="I458" s="26" t="s">
        <v>1854</v>
      </c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4" t="s">
        <v>490</v>
      </c>
      <c r="B459" s="25">
        <v>7.18157635385E11</v>
      </c>
      <c r="C459" s="24" t="s">
        <v>477</v>
      </c>
      <c r="D459" s="24" t="s">
        <v>489</v>
      </c>
      <c r="E459" s="24" t="s">
        <v>9</v>
      </c>
      <c r="F459" s="27" t="s">
        <v>1855</v>
      </c>
      <c r="G459" s="26" t="s">
        <v>596</v>
      </c>
      <c r="H459" s="26" t="s">
        <v>1856</v>
      </c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4" t="s">
        <v>491</v>
      </c>
      <c r="B460" s="25">
        <v>8.09169821473E11</v>
      </c>
      <c r="C460" s="24" t="s">
        <v>477</v>
      </c>
      <c r="D460" s="24" t="s">
        <v>489</v>
      </c>
      <c r="E460" s="24" t="s">
        <v>9</v>
      </c>
      <c r="F460" s="27" t="s">
        <v>1857</v>
      </c>
      <c r="G460" s="26" t="s">
        <v>1858</v>
      </c>
      <c r="H460" s="26" t="s">
        <v>1859</v>
      </c>
      <c r="I460" s="26" t="s">
        <v>1860</v>
      </c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4" t="s">
        <v>492</v>
      </c>
      <c r="B461" s="25">
        <v>4.84190812809E11</v>
      </c>
      <c r="C461" s="24" t="s">
        <v>477</v>
      </c>
      <c r="D461" s="24" t="s">
        <v>489</v>
      </c>
      <c r="E461" s="24" t="s">
        <v>9</v>
      </c>
      <c r="F461" s="26">
        <v>2465.0</v>
      </c>
      <c r="G461" s="26" t="s">
        <v>1861</v>
      </c>
      <c r="H461" s="26" t="s">
        <v>1862</v>
      </c>
      <c r="I461" s="26" t="s">
        <v>1863</v>
      </c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4" t="s">
        <v>493</v>
      </c>
      <c r="B462" s="25">
        <v>7.25121824513E11</v>
      </c>
      <c r="C462" s="24" t="s">
        <v>477</v>
      </c>
      <c r="D462" s="24" t="s">
        <v>489</v>
      </c>
      <c r="E462" s="24" t="s">
        <v>184</v>
      </c>
      <c r="F462" s="26">
        <v>2510.0</v>
      </c>
      <c r="G462" s="26" t="s">
        <v>1699</v>
      </c>
      <c r="H462" s="26" t="s">
        <v>1864</v>
      </c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4" t="s">
        <v>494</v>
      </c>
      <c r="B463" s="25">
        <v>3.68106936162E11</v>
      </c>
      <c r="C463" s="24" t="s">
        <v>477</v>
      </c>
      <c r="D463" s="24" t="s">
        <v>25</v>
      </c>
      <c r="E463" s="24" t="s">
        <v>9</v>
      </c>
      <c r="F463" s="27" t="s">
        <v>1865</v>
      </c>
      <c r="G463" s="26"/>
      <c r="H463" s="26" t="s">
        <v>1866</v>
      </c>
      <c r="I463" s="26">
        <v>2.01094446118E11</v>
      </c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4" t="s">
        <v>495</v>
      </c>
      <c r="B464" s="25">
        <v>7.36126951732E11</v>
      </c>
      <c r="C464" s="24" t="s">
        <v>477</v>
      </c>
      <c r="D464" s="24" t="s">
        <v>25</v>
      </c>
      <c r="E464" s="24" t="s">
        <v>13</v>
      </c>
      <c r="F464" s="27" t="s">
        <v>1867</v>
      </c>
      <c r="G464" s="26"/>
      <c r="H464" s="26" t="s">
        <v>1868</v>
      </c>
      <c r="I464" s="26" t="s">
        <v>1869</v>
      </c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4" t="s">
        <v>496</v>
      </c>
      <c r="B465" s="25">
        <v>1.26129384181E11</v>
      </c>
      <c r="C465" s="24" t="s">
        <v>477</v>
      </c>
      <c r="D465" s="24" t="s">
        <v>25</v>
      </c>
      <c r="E465" s="24" t="s">
        <v>13</v>
      </c>
      <c r="F465" s="27">
        <v>2305.0</v>
      </c>
      <c r="G465" s="26"/>
      <c r="H465" s="26" t="s">
        <v>1870</v>
      </c>
      <c r="I465" s="26" t="s">
        <v>1871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4" t="s">
        <v>497</v>
      </c>
      <c r="B466" s="25">
        <v>2.13182140457E11</v>
      </c>
      <c r="C466" s="24" t="s">
        <v>477</v>
      </c>
      <c r="D466" s="24" t="s">
        <v>25</v>
      </c>
      <c r="E466" s="25" t="s">
        <v>9</v>
      </c>
      <c r="F466" s="26">
        <v>2486.0</v>
      </c>
      <c r="G466" s="26" t="s">
        <v>641</v>
      </c>
      <c r="H466" s="26" t="s">
        <v>1872</v>
      </c>
      <c r="I466" s="26" t="s">
        <v>1873</v>
      </c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4" t="s">
        <v>498</v>
      </c>
      <c r="B467" s="25">
        <v>8.10152324716E11</v>
      </c>
      <c r="C467" s="24" t="s">
        <v>477</v>
      </c>
      <c r="D467" s="24" t="s">
        <v>25</v>
      </c>
      <c r="E467" s="24" t="s">
        <v>13</v>
      </c>
      <c r="F467" s="26"/>
      <c r="G467" s="26" t="s">
        <v>596</v>
      </c>
      <c r="H467" s="26" t="s">
        <v>1874</v>
      </c>
      <c r="I467" s="26" t="s">
        <v>1875</v>
      </c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4" t="s">
        <v>499</v>
      </c>
      <c r="B468" s="25">
        <v>5.03179175428E11</v>
      </c>
      <c r="C468" s="24" t="s">
        <v>477</v>
      </c>
      <c r="D468" s="24" t="s">
        <v>25</v>
      </c>
      <c r="E468" s="24" t="s">
        <v>9</v>
      </c>
      <c r="F468" s="26">
        <v>2726.0</v>
      </c>
      <c r="G468" s="26" t="s">
        <v>1699</v>
      </c>
      <c r="H468" s="26" t="s">
        <v>1876</v>
      </c>
      <c r="I468" s="26" t="s">
        <v>1877</v>
      </c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4" t="s">
        <v>500</v>
      </c>
      <c r="B469" s="25">
        <v>8.40108032761E11</v>
      </c>
      <c r="C469" s="24" t="s">
        <v>477</v>
      </c>
      <c r="D469" s="24" t="s">
        <v>25</v>
      </c>
      <c r="E469" s="25" t="s">
        <v>9</v>
      </c>
      <c r="F469" s="26">
        <v>2653.0</v>
      </c>
      <c r="G469" s="26" t="s">
        <v>1832</v>
      </c>
      <c r="H469" s="26" t="s">
        <v>1878</v>
      </c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4" t="s">
        <v>501</v>
      </c>
      <c r="B470" s="25">
        <v>8.98189620783E11</v>
      </c>
      <c r="C470" s="24" t="s">
        <v>477</v>
      </c>
      <c r="D470" s="24" t="s">
        <v>502</v>
      </c>
      <c r="E470" s="25" t="s">
        <v>9</v>
      </c>
      <c r="F470" s="26">
        <v>2711.0</v>
      </c>
      <c r="G470" s="26" t="s">
        <v>1879</v>
      </c>
      <c r="H470" s="26" t="s">
        <v>1880</v>
      </c>
      <c r="I470" s="26" t="s">
        <v>1881</v>
      </c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4" t="s">
        <v>503</v>
      </c>
      <c r="B471" s="25">
        <v>5.29120269683E11</v>
      </c>
      <c r="C471" s="24" t="s">
        <v>477</v>
      </c>
      <c r="D471" s="24" t="s">
        <v>502</v>
      </c>
      <c r="E471" s="24" t="s">
        <v>9</v>
      </c>
      <c r="F471" s="26">
        <v>2746.0</v>
      </c>
      <c r="G471" s="26" t="s">
        <v>1882</v>
      </c>
      <c r="H471" s="26" t="s">
        <v>1883</v>
      </c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4" t="s">
        <v>504</v>
      </c>
      <c r="B472" s="25">
        <v>8.95194823203E11</v>
      </c>
      <c r="C472" s="24" t="s">
        <v>477</v>
      </c>
      <c r="D472" s="24" t="s">
        <v>47</v>
      </c>
      <c r="E472" s="24" t="s">
        <v>9</v>
      </c>
      <c r="F472" s="27" t="s">
        <v>1884</v>
      </c>
      <c r="G472" s="26"/>
      <c r="H472" s="26" t="s">
        <v>1885</v>
      </c>
      <c r="I472" s="26">
        <v>2.0114648675E11</v>
      </c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4" t="s">
        <v>505</v>
      </c>
      <c r="B473" s="25">
        <v>8.53142059206E11</v>
      </c>
      <c r="C473" s="24" t="s">
        <v>477</v>
      </c>
      <c r="D473" s="24" t="s">
        <v>47</v>
      </c>
      <c r="E473" s="24" t="s">
        <v>13</v>
      </c>
      <c r="F473" s="27" t="s">
        <v>1886</v>
      </c>
      <c r="G473" s="26"/>
      <c r="H473" s="26" t="s">
        <v>1887</v>
      </c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4" t="s">
        <v>506</v>
      </c>
      <c r="B474" s="25">
        <v>6.9813171628E11</v>
      </c>
      <c r="C474" s="24" t="s">
        <v>477</v>
      </c>
      <c r="D474" s="24" t="s">
        <v>47</v>
      </c>
      <c r="E474" s="24" t="s">
        <v>9</v>
      </c>
      <c r="F474" s="27" t="s">
        <v>1888</v>
      </c>
      <c r="G474" s="26"/>
      <c r="H474" s="26" t="s">
        <v>1889</v>
      </c>
      <c r="I474" s="26">
        <v>1.204000519E9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4" t="s">
        <v>507</v>
      </c>
      <c r="B475" s="25">
        <v>1.08136563671E11</v>
      </c>
      <c r="C475" s="24" t="s">
        <v>477</v>
      </c>
      <c r="D475" s="24" t="s">
        <v>47</v>
      </c>
      <c r="E475" s="25" t="s">
        <v>9</v>
      </c>
      <c r="F475" s="27" t="s">
        <v>1890</v>
      </c>
      <c r="G475" s="26"/>
      <c r="H475" s="26" t="s">
        <v>1891</v>
      </c>
      <c r="I475" s="26" t="s">
        <v>1892</v>
      </c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4" t="s">
        <v>508</v>
      </c>
      <c r="B476" s="25">
        <v>9.87156102178E11</v>
      </c>
      <c r="C476" s="24" t="s">
        <v>477</v>
      </c>
      <c r="D476" s="24" t="s">
        <v>47</v>
      </c>
      <c r="E476" s="24" t="s">
        <v>9</v>
      </c>
      <c r="F476" s="26">
        <v>2481.0</v>
      </c>
      <c r="G476" s="26" t="s">
        <v>641</v>
      </c>
      <c r="H476" s="26" t="s">
        <v>1893</v>
      </c>
      <c r="I476" s="26" t="s">
        <v>1894</v>
      </c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4" t="s">
        <v>509</v>
      </c>
      <c r="B477" s="25">
        <v>5.30148208342E11</v>
      </c>
      <c r="C477" s="24" t="s">
        <v>477</v>
      </c>
      <c r="D477" s="24" t="s">
        <v>510</v>
      </c>
      <c r="E477" s="24" t="s">
        <v>13</v>
      </c>
      <c r="F477" s="27" t="s">
        <v>1895</v>
      </c>
      <c r="G477" s="26"/>
      <c r="H477" s="26" t="s">
        <v>1896</v>
      </c>
      <c r="I477" s="26">
        <v>1.111733923E9</v>
      </c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4" t="s">
        <v>511</v>
      </c>
      <c r="B478" s="25">
        <v>2.06152939465E11</v>
      </c>
      <c r="C478" s="24" t="s">
        <v>477</v>
      </c>
      <c r="D478" s="24" t="s">
        <v>510</v>
      </c>
      <c r="E478" s="24" t="s">
        <v>9</v>
      </c>
      <c r="F478" s="27" t="s">
        <v>1897</v>
      </c>
      <c r="G478" s="26" t="s">
        <v>1858</v>
      </c>
      <c r="H478" s="26" t="s">
        <v>1898</v>
      </c>
      <c r="I478" s="26" t="s">
        <v>1899</v>
      </c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4" t="s">
        <v>512</v>
      </c>
      <c r="B479" s="25">
        <v>9.20135701295E11</v>
      </c>
      <c r="C479" s="24" t="s">
        <v>477</v>
      </c>
      <c r="D479" s="24" t="s">
        <v>510</v>
      </c>
      <c r="E479" s="24" t="s">
        <v>9</v>
      </c>
      <c r="F479" s="27" t="s">
        <v>1900</v>
      </c>
      <c r="G479" s="26" t="s">
        <v>1858</v>
      </c>
      <c r="H479" s="26" t="s">
        <v>1901</v>
      </c>
      <c r="I479" s="26" t="s">
        <v>1902</v>
      </c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4" t="s">
        <v>513</v>
      </c>
      <c r="B480" s="25">
        <v>2.39195281814E11</v>
      </c>
      <c r="C480" s="24" t="s">
        <v>477</v>
      </c>
      <c r="D480" s="24" t="s">
        <v>510</v>
      </c>
      <c r="E480" s="24" t="s">
        <v>9</v>
      </c>
      <c r="F480" s="27" t="s">
        <v>1903</v>
      </c>
      <c r="G480" s="26" t="s">
        <v>1858</v>
      </c>
      <c r="H480" s="26" t="s">
        <v>1904</v>
      </c>
      <c r="I480" s="26" t="s">
        <v>1905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4" t="s">
        <v>514</v>
      </c>
      <c r="B481" s="25">
        <v>4.93105352632E11</v>
      </c>
      <c r="C481" s="24" t="s">
        <v>477</v>
      </c>
      <c r="D481" s="24" t="s">
        <v>510</v>
      </c>
      <c r="E481" s="24" t="s">
        <v>9</v>
      </c>
      <c r="F481" s="27" t="s">
        <v>1906</v>
      </c>
      <c r="G481" s="26" t="s">
        <v>1858</v>
      </c>
      <c r="H481" s="26" t="s">
        <v>1907</v>
      </c>
      <c r="I481" s="26" t="s">
        <v>1908</v>
      </c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4" t="s">
        <v>515</v>
      </c>
      <c r="B482" s="25">
        <v>6.97161098253E11</v>
      </c>
      <c r="C482" s="24" t="s">
        <v>477</v>
      </c>
      <c r="D482" s="24" t="s">
        <v>510</v>
      </c>
      <c r="E482" s="25" t="s">
        <v>9</v>
      </c>
      <c r="F482" s="27" t="s">
        <v>1909</v>
      </c>
      <c r="G482" s="26" t="s">
        <v>596</v>
      </c>
      <c r="H482" s="26" t="s">
        <v>1910</v>
      </c>
      <c r="I482" s="26" t="s">
        <v>1911</v>
      </c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4" t="s">
        <v>516</v>
      </c>
      <c r="B483" s="25">
        <v>6.06135373517E11</v>
      </c>
      <c r="C483" s="24" t="s">
        <v>477</v>
      </c>
      <c r="D483" s="24" t="s">
        <v>510</v>
      </c>
      <c r="E483" s="24" t="s">
        <v>9</v>
      </c>
      <c r="F483" s="26">
        <v>2372.0</v>
      </c>
      <c r="G483" s="26" t="s">
        <v>596</v>
      </c>
      <c r="H483" s="26" t="s">
        <v>1912</v>
      </c>
      <c r="I483" s="26" t="s">
        <v>1913</v>
      </c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4" t="s">
        <v>517</v>
      </c>
      <c r="B484" s="25">
        <v>5.38169672528E11</v>
      </c>
      <c r="C484" s="24" t="s">
        <v>477</v>
      </c>
      <c r="D484" s="24" t="s">
        <v>510</v>
      </c>
      <c r="E484" s="24" t="s">
        <v>13</v>
      </c>
      <c r="F484" s="26">
        <v>2369.0</v>
      </c>
      <c r="G484" s="26" t="s">
        <v>596</v>
      </c>
      <c r="H484" s="26" t="s">
        <v>1914</v>
      </c>
      <c r="I484" s="26" t="s">
        <v>1915</v>
      </c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4" t="s">
        <v>518</v>
      </c>
      <c r="B485" s="25">
        <v>1.56154179702E11</v>
      </c>
      <c r="C485" s="24" t="s">
        <v>477</v>
      </c>
      <c r="D485" s="24" t="s">
        <v>519</v>
      </c>
      <c r="E485" s="24" t="s">
        <v>13</v>
      </c>
      <c r="F485" s="27" t="s">
        <v>1916</v>
      </c>
      <c r="G485" s="26" t="s">
        <v>596</v>
      </c>
      <c r="H485" s="26" t="s">
        <v>1917</v>
      </c>
      <c r="I485" s="26">
        <v>2.01001344221E11</v>
      </c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4" t="s">
        <v>520</v>
      </c>
      <c r="B486" s="25">
        <v>1.60143206257E11</v>
      </c>
      <c r="C486" s="24" t="s">
        <v>477</v>
      </c>
      <c r="D486" s="24" t="s">
        <v>519</v>
      </c>
      <c r="E486" s="24" t="s">
        <v>9</v>
      </c>
      <c r="F486" s="27" t="s">
        <v>1918</v>
      </c>
      <c r="G486" s="26" t="s">
        <v>1832</v>
      </c>
      <c r="H486" s="26" t="s">
        <v>1919</v>
      </c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4" t="s">
        <v>521</v>
      </c>
      <c r="B487" s="25">
        <v>1.8517294629E11</v>
      </c>
      <c r="C487" s="24" t="s">
        <v>477</v>
      </c>
      <c r="D487" s="24" t="s">
        <v>519</v>
      </c>
      <c r="E487" s="24" t="s">
        <v>13</v>
      </c>
      <c r="F487" s="27" t="s">
        <v>1920</v>
      </c>
      <c r="G487" s="26" t="s">
        <v>596</v>
      </c>
      <c r="H487" s="26" t="s">
        <v>1921</v>
      </c>
      <c r="I487" s="26" t="s">
        <v>1922</v>
      </c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4" t="s">
        <v>522</v>
      </c>
      <c r="B488" s="25">
        <v>3.05108276197E11</v>
      </c>
      <c r="C488" s="24" t="s">
        <v>477</v>
      </c>
      <c r="D488" s="24" t="s">
        <v>519</v>
      </c>
      <c r="E488" s="24" t="s">
        <v>13</v>
      </c>
      <c r="F488" s="27" t="s">
        <v>1923</v>
      </c>
      <c r="G488" s="26" t="s">
        <v>596</v>
      </c>
      <c r="H488" s="26" t="s">
        <v>1924</v>
      </c>
      <c r="I488" s="26">
        <v>1.012274118E9</v>
      </c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4" t="s">
        <v>523</v>
      </c>
      <c r="B489" s="25">
        <v>9.64165080713E11</v>
      </c>
      <c r="C489" s="24" t="s">
        <v>477</v>
      </c>
      <c r="D489" s="24" t="s">
        <v>519</v>
      </c>
      <c r="E489" s="24" t="s">
        <v>9</v>
      </c>
      <c r="F489" s="27" t="s">
        <v>1925</v>
      </c>
      <c r="G489" s="26" t="s">
        <v>596</v>
      </c>
      <c r="H489" s="26" t="s">
        <v>1926</v>
      </c>
      <c r="I489" s="26" t="s">
        <v>1927</v>
      </c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4" t="s">
        <v>524</v>
      </c>
      <c r="B490" s="25">
        <v>8.50173474604E11</v>
      </c>
      <c r="C490" s="24" t="s">
        <v>477</v>
      </c>
      <c r="D490" s="24" t="s">
        <v>519</v>
      </c>
      <c r="E490" s="24" t="s">
        <v>13</v>
      </c>
      <c r="F490" s="26">
        <v>2235.0</v>
      </c>
      <c r="G490" s="26"/>
      <c r="H490" s="26" t="s">
        <v>1928</v>
      </c>
      <c r="I490" s="26" t="s">
        <v>1929</v>
      </c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4" t="s">
        <v>525</v>
      </c>
      <c r="B491" s="25">
        <v>9.32148693706E11</v>
      </c>
      <c r="C491" s="24" t="s">
        <v>477</v>
      </c>
      <c r="D491" s="24" t="s">
        <v>519</v>
      </c>
      <c r="E491" s="24" t="s">
        <v>9</v>
      </c>
      <c r="F491" s="26">
        <v>2233.0</v>
      </c>
      <c r="G491" s="26" t="s">
        <v>1930</v>
      </c>
      <c r="H491" s="26" t="s">
        <v>1931</v>
      </c>
      <c r="I491" s="26" t="s">
        <v>1932</v>
      </c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4" t="s">
        <v>526</v>
      </c>
      <c r="B492" s="25">
        <v>9.06184953437E11</v>
      </c>
      <c r="C492" s="24" t="s">
        <v>477</v>
      </c>
      <c r="D492" s="24" t="s">
        <v>527</v>
      </c>
      <c r="E492" s="24" t="s">
        <v>9</v>
      </c>
      <c r="F492" s="27" t="s">
        <v>1933</v>
      </c>
      <c r="G492" s="26"/>
      <c r="H492" s="26" t="s">
        <v>1934</v>
      </c>
      <c r="I492" s="26">
        <v>2.01129525491E11</v>
      </c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4" t="s">
        <v>528</v>
      </c>
      <c r="B493" s="25">
        <v>6.24104658072E11</v>
      </c>
      <c r="C493" s="24" t="s">
        <v>477</v>
      </c>
      <c r="D493" s="24" t="s">
        <v>527</v>
      </c>
      <c r="E493" s="24" t="s">
        <v>13</v>
      </c>
      <c r="F493" s="27" t="s">
        <v>1935</v>
      </c>
      <c r="G493" s="26"/>
      <c r="H493" s="26" t="s">
        <v>1936</v>
      </c>
      <c r="I493" s="26">
        <v>2.01018842229E11</v>
      </c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4" t="s">
        <v>529</v>
      </c>
      <c r="B494" s="25">
        <v>4.80103238452E11</v>
      </c>
      <c r="C494" s="24" t="s">
        <v>477</v>
      </c>
      <c r="D494" s="24" t="s">
        <v>527</v>
      </c>
      <c r="E494" s="24" t="s">
        <v>9</v>
      </c>
      <c r="F494" s="27" t="s">
        <v>1937</v>
      </c>
      <c r="G494" s="26"/>
      <c r="H494" s="26" t="s">
        <v>1938</v>
      </c>
      <c r="I494" s="26">
        <v>2.01007787118E11</v>
      </c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4" t="s">
        <v>530</v>
      </c>
      <c r="B495" s="25">
        <v>5.24151240185E11</v>
      </c>
      <c r="C495" s="24" t="s">
        <v>477</v>
      </c>
      <c r="D495" s="24" t="s">
        <v>527</v>
      </c>
      <c r="E495" s="24" t="s">
        <v>9</v>
      </c>
      <c r="F495" s="27" t="s">
        <v>1939</v>
      </c>
      <c r="G495" s="26"/>
      <c r="H495" s="26" t="s">
        <v>1940</v>
      </c>
      <c r="I495" s="26" t="s">
        <v>1941</v>
      </c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4" t="s">
        <v>531</v>
      </c>
      <c r="B496" s="25">
        <v>6.30193927137E11</v>
      </c>
      <c r="C496" s="24" t="s">
        <v>477</v>
      </c>
      <c r="D496" s="24" t="s">
        <v>47</v>
      </c>
      <c r="E496" s="24" t="s">
        <v>9</v>
      </c>
      <c r="F496" s="26">
        <v>1929.0</v>
      </c>
      <c r="G496" s="26" t="s">
        <v>1297</v>
      </c>
      <c r="H496" s="26" t="s">
        <v>1942</v>
      </c>
      <c r="I496" s="26" t="s">
        <v>1943</v>
      </c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4" t="s">
        <v>532</v>
      </c>
      <c r="B497" s="25">
        <v>5.09154312983E11</v>
      </c>
      <c r="C497" s="24" t="s">
        <v>477</v>
      </c>
      <c r="D497" s="24" t="s">
        <v>527</v>
      </c>
      <c r="E497" s="25" t="s">
        <v>9</v>
      </c>
      <c r="F497" s="27" t="s">
        <v>1944</v>
      </c>
      <c r="G497" s="26"/>
      <c r="H497" s="26" t="s">
        <v>1945</v>
      </c>
      <c r="I497" s="26" t="s">
        <v>1946</v>
      </c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4" t="s">
        <v>533</v>
      </c>
      <c r="B498" s="25">
        <v>5.06172862613E11</v>
      </c>
      <c r="C498" s="24" t="s">
        <v>477</v>
      </c>
      <c r="D498" s="24" t="s">
        <v>527</v>
      </c>
      <c r="E498" s="24" t="s">
        <v>9</v>
      </c>
      <c r="F498" s="27" t="s">
        <v>1947</v>
      </c>
      <c r="G498" s="26" t="s">
        <v>596</v>
      </c>
      <c r="H498" s="26" t="s">
        <v>1948</v>
      </c>
      <c r="I498" s="26" t="s">
        <v>1949</v>
      </c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4" t="s">
        <v>534</v>
      </c>
      <c r="B499" s="25">
        <v>7.89173210154E11</v>
      </c>
      <c r="C499" s="24" t="s">
        <v>477</v>
      </c>
      <c r="D499" s="24" t="s">
        <v>527</v>
      </c>
      <c r="E499" s="24" t="s">
        <v>13</v>
      </c>
      <c r="F499" s="27" t="s">
        <v>1950</v>
      </c>
      <c r="G499" s="26" t="s">
        <v>596</v>
      </c>
      <c r="H499" s="26" t="s">
        <v>1951</v>
      </c>
      <c r="I499" s="26" t="s">
        <v>1952</v>
      </c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4" t="s">
        <v>535</v>
      </c>
      <c r="B500" s="25">
        <v>3.12183290317E11</v>
      </c>
      <c r="C500" s="24" t="s">
        <v>477</v>
      </c>
      <c r="D500" s="24" t="s">
        <v>527</v>
      </c>
      <c r="E500" s="24" t="s">
        <v>9</v>
      </c>
      <c r="F500" s="27" t="s">
        <v>1953</v>
      </c>
      <c r="G500" s="26"/>
      <c r="H500" s="26" t="s">
        <v>1954</v>
      </c>
      <c r="I500" s="26" t="s">
        <v>1955</v>
      </c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4" t="s">
        <v>536</v>
      </c>
      <c r="B501" s="25">
        <v>3.79176206354E11</v>
      </c>
      <c r="C501" s="24" t="s">
        <v>477</v>
      </c>
      <c r="D501" s="24" t="s">
        <v>537</v>
      </c>
      <c r="E501" s="24" t="s">
        <v>13</v>
      </c>
      <c r="F501" s="27" t="s">
        <v>1956</v>
      </c>
      <c r="G501" s="26"/>
      <c r="H501" s="26" t="s">
        <v>1957</v>
      </c>
      <c r="I501" s="26">
        <v>2.01001599199E11</v>
      </c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4" t="s">
        <v>538</v>
      </c>
      <c r="B502" s="25">
        <v>4.15194597216E11</v>
      </c>
      <c r="C502" s="24" t="s">
        <v>477</v>
      </c>
      <c r="D502" s="24" t="s">
        <v>537</v>
      </c>
      <c r="E502" s="24" t="s">
        <v>9</v>
      </c>
      <c r="F502" s="27" t="s">
        <v>1958</v>
      </c>
      <c r="G502" s="26"/>
      <c r="H502" s="26" t="s">
        <v>1959</v>
      </c>
      <c r="I502" s="26" t="s">
        <v>1960</v>
      </c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4" t="s">
        <v>539</v>
      </c>
      <c r="B503" s="25">
        <v>5.95148942145E11</v>
      </c>
      <c r="C503" s="24" t="s">
        <v>477</v>
      </c>
      <c r="D503" s="24" t="s">
        <v>537</v>
      </c>
      <c r="E503" s="24" t="s">
        <v>13</v>
      </c>
      <c r="F503" s="27" t="s">
        <v>1961</v>
      </c>
      <c r="G503" s="26"/>
      <c r="H503" s="26" t="s">
        <v>1962</v>
      </c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4" t="s">
        <v>540</v>
      </c>
      <c r="B504" s="25">
        <v>3.57195672504E11</v>
      </c>
      <c r="C504" s="24" t="s">
        <v>477</v>
      </c>
      <c r="D504" s="24" t="s">
        <v>537</v>
      </c>
      <c r="E504" s="24" t="s">
        <v>13</v>
      </c>
      <c r="F504" s="27" t="s">
        <v>1963</v>
      </c>
      <c r="G504" s="26"/>
      <c r="H504" s="26" t="s">
        <v>1964</v>
      </c>
      <c r="I504" s="26" t="s">
        <v>1965</v>
      </c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4" t="s">
        <v>541</v>
      </c>
      <c r="B505" s="25">
        <v>1.76131232361E11</v>
      </c>
      <c r="C505" s="24" t="s">
        <v>477</v>
      </c>
      <c r="D505" s="24" t="s">
        <v>537</v>
      </c>
      <c r="E505" s="24" t="s">
        <v>13</v>
      </c>
      <c r="F505" s="27" t="s">
        <v>1966</v>
      </c>
      <c r="G505" s="26"/>
      <c r="H505" s="26" t="s">
        <v>1967</v>
      </c>
      <c r="I505" s="26" t="s">
        <v>1968</v>
      </c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4" t="s">
        <v>542</v>
      </c>
      <c r="B506" s="25">
        <v>6.95159151032E11</v>
      </c>
      <c r="C506" s="24" t="s">
        <v>477</v>
      </c>
      <c r="D506" s="24" t="s">
        <v>537</v>
      </c>
      <c r="E506" s="24" t="s">
        <v>9</v>
      </c>
      <c r="F506" s="27" t="s">
        <v>1969</v>
      </c>
      <c r="G506" s="26"/>
      <c r="H506" s="26" t="s">
        <v>1970</v>
      </c>
      <c r="I506" s="26" t="s">
        <v>1971</v>
      </c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4" t="s">
        <v>543</v>
      </c>
      <c r="B507" s="25">
        <v>1.48160160523E11</v>
      </c>
      <c r="C507" s="24" t="s">
        <v>477</v>
      </c>
      <c r="D507" s="24" t="s">
        <v>537</v>
      </c>
      <c r="E507" s="24" t="s">
        <v>13</v>
      </c>
      <c r="F507" s="26" t="s">
        <v>1972</v>
      </c>
      <c r="G507" s="26"/>
      <c r="H507" s="26" t="s">
        <v>1973</v>
      </c>
      <c r="I507" s="26">
        <v>1.14469709E9</v>
      </c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4" t="s">
        <v>544</v>
      </c>
      <c r="B508" s="25">
        <v>4.87134793715E11</v>
      </c>
      <c r="C508" s="24" t="s">
        <v>477</v>
      </c>
      <c r="D508" s="24" t="s">
        <v>537</v>
      </c>
      <c r="E508" s="24" t="s">
        <v>13</v>
      </c>
      <c r="F508" s="27" t="s">
        <v>1974</v>
      </c>
      <c r="G508" s="26"/>
      <c r="H508" s="26" t="s">
        <v>1975</v>
      </c>
      <c r="I508" s="26" t="s">
        <v>1976</v>
      </c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4" t="s">
        <v>545</v>
      </c>
      <c r="B509" s="25">
        <v>1.38131034206E11</v>
      </c>
      <c r="C509" s="24" t="s">
        <v>477</v>
      </c>
      <c r="D509" s="24" t="s">
        <v>537</v>
      </c>
      <c r="E509" s="24" t="s">
        <v>9</v>
      </c>
      <c r="F509" s="27">
        <v>2231.0</v>
      </c>
      <c r="G509" s="26" t="s">
        <v>596</v>
      </c>
      <c r="H509" s="26" t="s">
        <v>1977</v>
      </c>
      <c r="I509" s="26" t="s">
        <v>1978</v>
      </c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4" t="s">
        <v>546</v>
      </c>
      <c r="B510" s="25">
        <v>1.79169073012E11</v>
      </c>
      <c r="C510" s="24" t="s">
        <v>477</v>
      </c>
      <c r="D510" s="24" t="s">
        <v>63</v>
      </c>
      <c r="E510" s="24" t="s">
        <v>9</v>
      </c>
      <c r="F510" s="27" t="s">
        <v>1979</v>
      </c>
      <c r="G510" s="26"/>
      <c r="H510" s="26" t="s">
        <v>1980</v>
      </c>
      <c r="I510" s="26">
        <v>2.01156629949E11</v>
      </c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4" t="s">
        <v>547</v>
      </c>
      <c r="B511" s="25">
        <v>9.4018209041E11</v>
      </c>
      <c r="C511" s="24" t="s">
        <v>477</v>
      </c>
      <c r="D511" s="24" t="s">
        <v>63</v>
      </c>
      <c r="E511" s="24" t="s">
        <v>13</v>
      </c>
      <c r="F511" s="27" t="s">
        <v>1981</v>
      </c>
      <c r="G511" s="26"/>
      <c r="H511" s="26" t="s">
        <v>1982</v>
      </c>
      <c r="I511" s="26">
        <v>2.01025475475E11</v>
      </c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4" t="s">
        <v>548</v>
      </c>
      <c r="B512" s="25">
        <v>3.08137598241E11</v>
      </c>
      <c r="C512" s="24" t="s">
        <v>477</v>
      </c>
      <c r="D512" s="24" t="s">
        <v>63</v>
      </c>
      <c r="E512" s="24" t="s">
        <v>9</v>
      </c>
      <c r="F512" s="27" t="s">
        <v>1983</v>
      </c>
      <c r="G512" s="26"/>
      <c r="H512" s="26" t="s">
        <v>1984</v>
      </c>
      <c r="I512" s="26">
        <v>2.01098614126E11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4" t="s">
        <v>549</v>
      </c>
      <c r="B513" s="25">
        <v>5.80165926053E11</v>
      </c>
      <c r="C513" s="24" t="s">
        <v>477</v>
      </c>
      <c r="D513" s="24" t="s">
        <v>63</v>
      </c>
      <c r="E513" s="24" t="s">
        <v>9</v>
      </c>
      <c r="F513" s="27" t="s">
        <v>1985</v>
      </c>
      <c r="G513" s="26"/>
      <c r="H513" s="26" t="s">
        <v>1986</v>
      </c>
      <c r="I513" s="26" t="s">
        <v>1987</v>
      </c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4" t="s">
        <v>550</v>
      </c>
      <c r="B514" s="25">
        <v>5.0319035727E11</v>
      </c>
      <c r="C514" s="24" t="s">
        <v>477</v>
      </c>
      <c r="D514" s="24" t="s">
        <v>63</v>
      </c>
      <c r="E514" s="24" t="s">
        <v>13</v>
      </c>
      <c r="F514" s="27" t="s">
        <v>1988</v>
      </c>
      <c r="G514" s="26"/>
      <c r="H514" s="26" t="s">
        <v>1989</v>
      </c>
      <c r="I514" s="26" t="s">
        <v>1990</v>
      </c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4" t="s">
        <v>551</v>
      </c>
      <c r="B515" s="25">
        <v>1.38121769423E11</v>
      </c>
      <c r="C515" s="24" t="s">
        <v>477</v>
      </c>
      <c r="D515" s="24" t="s">
        <v>63</v>
      </c>
      <c r="E515" s="24" t="s">
        <v>9</v>
      </c>
      <c r="F515" s="27" t="s">
        <v>1991</v>
      </c>
      <c r="G515" s="26"/>
      <c r="H515" s="26" t="s">
        <v>1992</v>
      </c>
      <c r="I515" s="26">
        <v>1.020307471E9</v>
      </c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4" t="s">
        <v>552</v>
      </c>
      <c r="B516" s="25">
        <v>1.87120348783E11</v>
      </c>
      <c r="C516" s="24" t="s">
        <v>477</v>
      </c>
      <c r="D516" s="24" t="s">
        <v>63</v>
      </c>
      <c r="E516" s="24" t="s">
        <v>9</v>
      </c>
      <c r="F516" s="27" t="s">
        <v>1993</v>
      </c>
      <c r="G516" s="26"/>
      <c r="H516" s="26" t="s">
        <v>1994</v>
      </c>
      <c r="I516" s="26" t="s">
        <v>1995</v>
      </c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4" t="s">
        <v>553</v>
      </c>
      <c r="B517" s="25">
        <v>5.12161969162E11</v>
      </c>
      <c r="C517" s="24" t="s">
        <v>477</v>
      </c>
      <c r="D517" s="24" t="s">
        <v>63</v>
      </c>
      <c r="E517" s="24" t="s">
        <v>9</v>
      </c>
      <c r="F517" s="26">
        <v>2053.0</v>
      </c>
      <c r="G517" s="26"/>
      <c r="H517" s="26" t="s">
        <v>1996</v>
      </c>
      <c r="I517" s="26" t="s">
        <v>1997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4" t="s">
        <v>554</v>
      </c>
      <c r="B518" s="25">
        <v>7.26184376073E11</v>
      </c>
      <c r="C518" s="24" t="s">
        <v>477</v>
      </c>
      <c r="D518" s="24" t="s">
        <v>63</v>
      </c>
      <c r="E518" s="24" t="s">
        <v>9</v>
      </c>
      <c r="F518" s="26">
        <v>2522.0</v>
      </c>
      <c r="G518" s="26" t="s">
        <v>1699</v>
      </c>
      <c r="H518" s="26" t="s">
        <v>1998</v>
      </c>
      <c r="I518" s="26" t="s">
        <v>1999</v>
      </c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4" t="s">
        <v>555</v>
      </c>
      <c r="B519" s="25">
        <v>1.70181505929E11</v>
      </c>
      <c r="C519" s="24" t="s">
        <v>477</v>
      </c>
      <c r="D519" s="24" t="s">
        <v>556</v>
      </c>
      <c r="E519" s="24" t="s">
        <v>13</v>
      </c>
      <c r="F519" s="27" t="s">
        <v>2000</v>
      </c>
      <c r="G519" s="26"/>
      <c r="H519" s="26" t="s">
        <v>2001</v>
      </c>
      <c r="I519" s="26" t="s">
        <v>2002</v>
      </c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4" t="s">
        <v>557</v>
      </c>
      <c r="B520" s="25">
        <v>6.80190738426E11</v>
      </c>
      <c r="C520" s="24" t="s">
        <v>477</v>
      </c>
      <c r="D520" s="24" t="s">
        <v>556</v>
      </c>
      <c r="E520" s="24" t="s">
        <v>9</v>
      </c>
      <c r="F520" s="27" t="s">
        <v>2003</v>
      </c>
      <c r="G520" s="26"/>
      <c r="H520" s="26" t="s">
        <v>2004</v>
      </c>
      <c r="I520" s="26" t="s">
        <v>2005</v>
      </c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4" t="s">
        <v>558</v>
      </c>
      <c r="B521" s="25">
        <v>3.52179823813E11</v>
      </c>
      <c r="C521" s="24" t="s">
        <v>477</v>
      </c>
      <c r="D521" s="24" t="s">
        <v>556</v>
      </c>
      <c r="E521" s="24" t="s">
        <v>9</v>
      </c>
      <c r="F521" s="27" t="s">
        <v>2006</v>
      </c>
      <c r="G521" s="26"/>
      <c r="H521" s="26" t="s">
        <v>2007</v>
      </c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4" t="s">
        <v>559</v>
      </c>
      <c r="B522" s="25">
        <v>9.83164352707E11</v>
      </c>
      <c r="C522" s="24" t="s">
        <v>477</v>
      </c>
      <c r="D522" s="24" t="s">
        <v>556</v>
      </c>
      <c r="E522" s="25" t="s">
        <v>9</v>
      </c>
      <c r="F522" s="27" t="s">
        <v>2008</v>
      </c>
      <c r="G522" s="26"/>
      <c r="H522" s="26" t="s">
        <v>2009</v>
      </c>
      <c r="I522" s="26" t="s">
        <v>2010</v>
      </c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4" t="s">
        <v>560</v>
      </c>
      <c r="B523" s="25">
        <v>6.94184180652E11</v>
      </c>
      <c r="C523" s="24" t="s">
        <v>477</v>
      </c>
      <c r="D523" s="24" t="s">
        <v>556</v>
      </c>
      <c r="E523" s="24" t="s">
        <v>13</v>
      </c>
      <c r="F523" s="27" t="s">
        <v>2011</v>
      </c>
      <c r="G523" s="26"/>
      <c r="H523" s="26" t="s">
        <v>2012</v>
      </c>
      <c r="I523" s="26" t="s">
        <v>2013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4" t="s">
        <v>561</v>
      </c>
      <c r="B524" s="25">
        <v>1.79134063021E11</v>
      </c>
      <c r="C524" s="24" t="s">
        <v>477</v>
      </c>
      <c r="D524" s="24" t="s">
        <v>556</v>
      </c>
      <c r="E524" s="24" t="s">
        <v>9</v>
      </c>
      <c r="F524" s="27" t="s">
        <v>2014</v>
      </c>
      <c r="G524" s="26"/>
      <c r="H524" s="26" t="s">
        <v>2015</v>
      </c>
      <c r="I524" s="26" t="s">
        <v>2016</v>
      </c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4" t="s">
        <v>562</v>
      </c>
      <c r="B525" s="25">
        <v>4.35127547073E11</v>
      </c>
      <c r="C525" s="24" t="s">
        <v>477</v>
      </c>
      <c r="D525" s="24" t="s">
        <v>556</v>
      </c>
      <c r="E525" s="24" t="s">
        <v>9</v>
      </c>
      <c r="F525" s="27" t="s">
        <v>2017</v>
      </c>
      <c r="G525" s="26"/>
      <c r="H525" s="26" t="s">
        <v>2018</v>
      </c>
      <c r="I525" s="26" t="s">
        <v>2019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4" t="s">
        <v>563</v>
      </c>
      <c r="B526" s="25">
        <v>8.74140534821E11</v>
      </c>
      <c r="C526" s="24" t="s">
        <v>477</v>
      </c>
      <c r="D526" s="24" t="s">
        <v>556</v>
      </c>
      <c r="E526" s="24" t="s">
        <v>9</v>
      </c>
      <c r="F526" s="27" t="s">
        <v>2020</v>
      </c>
      <c r="G526" s="26" t="s">
        <v>596</v>
      </c>
      <c r="H526" s="26" t="s">
        <v>2021</v>
      </c>
      <c r="I526" s="26" t="s">
        <v>2022</v>
      </c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4" t="s">
        <v>564</v>
      </c>
      <c r="B527" s="25">
        <v>3.74175473593E11</v>
      </c>
      <c r="C527" s="24" t="s">
        <v>477</v>
      </c>
      <c r="D527" s="24" t="s">
        <v>556</v>
      </c>
      <c r="E527" s="24" t="s">
        <v>9</v>
      </c>
      <c r="F527" s="27" t="s">
        <v>2023</v>
      </c>
      <c r="G527" s="26" t="s">
        <v>596</v>
      </c>
      <c r="H527" s="26" t="s">
        <v>2024</v>
      </c>
      <c r="I527" s="26" t="s">
        <v>2025</v>
      </c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4" t="s">
        <v>565</v>
      </c>
      <c r="B528" s="25">
        <v>5.60135012165E11</v>
      </c>
      <c r="C528" s="24" t="s">
        <v>477</v>
      </c>
      <c r="D528" s="24" t="s">
        <v>566</v>
      </c>
      <c r="E528" s="24" t="s">
        <v>9</v>
      </c>
      <c r="F528" s="27" t="s">
        <v>2026</v>
      </c>
      <c r="G528" s="26" t="s">
        <v>596</v>
      </c>
      <c r="H528" s="26" t="s">
        <v>2027</v>
      </c>
      <c r="I528" s="26">
        <v>2.01069555347E11</v>
      </c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4" t="s">
        <v>567</v>
      </c>
      <c r="B529" s="25">
        <v>5.13102701368E11</v>
      </c>
      <c r="C529" s="24" t="s">
        <v>477</v>
      </c>
      <c r="D529" s="24" t="s">
        <v>566</v>
      </c>
      <c r="E529" s="24" t="s">
        <v>9</v>
      </c>
      <c r="F529" s="27" t="s">
        <v>2028</v>
      </c>
      <c r="G529" s="26" t="s">
        <v>1858</v>
      </c>
      <c r="H529" s="26" t="s">
        <v>2029</v>
      </c>
      <c r="I529" s="26" t="s">
        <v>2030</v>
      </c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4" t="s">
        <v>568</v>
      </c>
      <c r="B530" s="25">
        <v>9.70121862482E11</v>
      </c>
      <c r="C530" s="24" t="s">
        <v>477</v>
      </c>
      <c r="D530" s="24" t="s">
        <v>566</v>
      </c>
      <c r="E530" s="24" t="s">
        <v>13</v>
      </c>
      <c r="F530" s="26">
        <v>1908.0</v>
      </c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4" t="s">
        <v>569</v>
      </c>
      <c r="B531" s="25">
        <v>3.89173598098E11</v>
      </c>
      <c r="C531" s="24" t="s">
        <v>477</v>
      </c>
      <c r="D531" s="24" t="s">
        <v>566</v>
      </c>
      <c r="E531" s="24" t="s">
        <v>9</v>
      </c>
      <c r="F531" s="27" t="s">
        <v>2031</v>
      </c>
      <c r="G531" s="26" t="s">
        <v>596</v>
      </c>
      <c r="H531" s="26" t="s">
        <v>2032</v>
      </c>
      <c r="I531" s="26" t="s">
        <v>2033</v>
      </c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4" t="s">
        <v>570</v>
      </c>
      <c r="B532" s="25">
        <v>5.27193759458E11</v>
      </c>
      <c r="C532" s="24" t="s">
        <v>477</v>
      </c>
      <c r="D532" s="24" t="s">
        <v>566</v>
      </c>
      <c r="E532" s="24" t="s">
        <v>9</v>
      </c>
      <c r="F532" s="27" t="s">
        <v>2034</v>
      </c>
      <c r="G532" s="26" t="s">
        <v>1858</v>
      </c>
      <c r="H532" s="26" t="s">
        <v>2035</v>
      </c>
      <c r="I532" s="26" t="s">
        <v>2036</v>
      </c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4" t="s">
        <v>571</v>
      </c>
      <c r="B533" s="25">
        <v>7.50108154243E11</v>
      </c>
      <c r="C533" s="24" t="s">
        <v>477</v>
      </c>
      <c r="D533" s="24" t="s">
        <v>566</v>
      </c>
      <c r="E533" s="24" t="s">
        <v>13</v>
      </c>
      <c r="F533" s="26">
        <v>2335.0</v>
      </c>
      <c r="G533" s="26" t="s">
        <v>596</v>
      </c>
      <c r="H533" s="26" t="s">
        <v>2037</v>
      </c>
      <c r="I533" s="26" t="s">
        <v>2038</v>
      </c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4" t="s">
        <v>572</v>
      </c>
      <c r="B534" s="25">
        <v>8.30132652879E11</v>
      </c>
      <c r="C534" s="24" t="s">
        <v>477</v>
      </c>
      <c r="D534" s="24" t="s">
        <v>566</v>
      </c>
      <c r="E534" s="24" t="s">
        <v>9</v>
      </c>
      <c r="F534" s="26">
        <v>2368.0</v>
      </c>
      <c r="G534" s="26" t="s">
        <v>596</v>
      </c>
      <c r="H534" s="26" t="s">
        <v>2039</v>
      </c>
      <c r="I534" s="26" t="s">
        <v>2040</v>
      </c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4" t="s">
        <v>573</v>
      </c>
      <c r="B535" s="25">
        <v>2.42109375309E11</v>
      </c>
      <c r="C535" s="24" t="s">
        <v>477</v>
      </c>
      <c r="D535" s="24" t="s">
        <v>574</v>
      </c>
      <c r="E535" s="24" t="s">
        <v>9</v>
      </c>
      <c r="F535" s="27" t="s">
        <v>2041</v>
      </c>
      <c r="G535" s="26" t="s">
        <v>596</v>
      </c>
      <c r="H535" s="26" t="s">
        <v>2042</v>
      </c>
      <c r="I535" s="26">
        <v>1.220508424E9</v>
      </c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4" t="s">
        <v>575</v>
      </c>
      <c r="B536" s="25">
        <v>5.10198282648E11</v>
      </c>
      <c r="C536" s="24" t="s">
        <v>477</v>
      </c>
      <c r="D536" s="24" t="s">
        <v>574</v>
      </c>
      <c r="E536" s="24" t="s">
        <v>9</v>
      </c>
      <c r="F536" s="27" t="s">
        <v>2043</v>
      </c>
      <c r="G536" s="26" t="s">
        <v>596</v>
      </c>
      <c r="H536" s="26" t="s">
        <v>2044</v>
      </c>
      <c r="I536" s="26" t="s">
        <v>2045</v>
      </c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4" t="s">
        <v>576</v>
      </c>
      <c r="B537" s="25">
        <v>8.19130827826E11</v>
      </c>
      <c r="C537" s="24" t="s">
        <v>477</v>
      </c>
      <c r="D537" s="24" t="s">
        <v>574</v>
      </c>
      <c r="E537" s="24" t="s">
        <v>9</v>
      </c>
      <c r="F537" s="27" t="s">
        <v>2046</v>
      </c>
      <c r="G537" s="26" t="s">
        <v>596</v>
      </c>
      <c r="H537" s="26" t="s">
        <v>2047</v>
      </c>
      <c r="I537" s="26" t="s">
        <v>2048</v>
      </c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4" t="s">
        <v>577</v>
      </c>
      <c r="B538" s="25">
        <v>1.96184054323E11</v>
      </c>
      <c r="C538" s="24" t="s">
        <v>477</v>
      </c>
      <c r="D538" s="24" t="s">
        <v>69</v>
      </c>
      <c r="E538" s="24" t="s">
        <v>9</v>
      </c>
      <c r="F538" s="27" t="s">
        <v>2049</v>
      </c>
      <c r="G538" s="26" t="s">
        <v>1699</v>
      </c>
      <c r="H538" s="26" t="s">
        <v>2050</v>
      </c>
      <c r="I538" s="26" t="s">
        <v>2051</v>
      </c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4" t="s">
        <v>578</v>
      </c>
      <c r="B539" s="25">
        <v>1.28156935718E11</v>
      </c>
      <c r="C539" s="24" t="s">
        <v>477</v>
      </c>
      <c r="D539" s="24" t="s">
        <v>69</v>
      </c>
      <c r="E539" s="24" t="s">
        <v>9</v>
      </c>
      <c r="F539" s="27" t="s">
        <v>2052</v>
      </c>
      <c r="G539" s="26" t="s">
        <v>1699</v>
      </c>
      <c r="H539" s="26" t="s">
        <v>2053</v>
      </c>
      <c r="I539" s="26" t="s">
        <v>2054</v>
      </c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4" t="s">
        <v>579</v>
      </c>
      <c r="B540" s="25">
        <v>8.97176765424E11</v>
      </c>
      <c r="C540" s="24" t="s">
        <v>477</v>
      </c>
      <c r="D540" s="24" t="s">
        <v>69</v>
      </c>
      <c r="E540" s="24" t="s">
        <v>9</v>
      </c>
      <c r="F540" s="27" t="s">
        <v>2055</v>
      </c>
      <c r="G540" s="26" t="s">
        <v>776</v>
      </c>
      <c r="H540" s="26" t="s">
        <v>2056</v>
      </c>
      <c r="I540" s="26" t="s">
        <v>2057</v>
      </c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4" t="s">
        <v>580</v>
      </c>
      <c r="B541" s="25">
        <v>6.95171650641E11</v>
      </c>
      <c r="C541" s="24" t="s">
        <v>477</v>
      </c>
      <c r="D541" s="24" t="s">
        <v>69</v>
      </c>
      <c r="E541" s="24" t="s">
        <v>9</v>
      </c>
      <c r="F541" s="27" t="s">
        <v>2058</v>
      </c>
      <c r="G541" s="26" t="s">
        <v>1699</v>
      </c>
      <c r="H541" s="26" t="s">
        <v>2059</v>
      </c>
      <c r="I541" s="26" t="s">
        <v>2060</v>
      </c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4" t="s">
        <v>581</v>
      </c>
      <c r="B542" s="25">
        <v>5.30179690959E11</v>
      </c>
      <c r="C542" s="24" t="s">
        <v>477</v>
      </c>
      <c r="D542" s="24" t="s">
        <v>69</v>
      </c>
      <c r="E542" s="24" t="s">
        <v>13</v>
      </c>
      <c r="F542" s="26">
        <v>2168.0</v>
      </c>
      <c r="G542" s="26" t="s">
        <v>2061</v>
      </c>
      <c r="H542" s="26" t="s">
        <v>2062</v>
      </c>
      <c r="I542" s="26" t="s">
        <v>2063</v>
      </c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4" t="s">
        <v>582</v>
      </c>
      <c r="B543" s="25">
        <v>9.43123080878E11</v>
      </c>
      <c r="C543" s="24" t="s">
        <v>477</v>
      </c>
      <c r="D543" s="24" t="s">
        <v>69</v>
      </c>
      <c r="E543" s="24" t="s">
        <v>9</v>
      </c>
      <c r="F543" s="26">
        <v>2408.0</v>
      </c>
      <c r="G543" s="26" t="s">
        <v>1699</v>
      </c>
      <c r="H543" s="26" t="s">
        <v>2064</v>
      </c>
      <c r="I543" s="26" t="s">
        <v>2065</v>
      </c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4" t="s">
        <v>583</v>
      </c>
      <c r="B544" s="25">
        <v>3.42131504062E11</v>
      </c>
      <c r="C544" s="24" t="s">
        <v>477</v>
      </c>
      <c r="D544" s="24" t="s">
        <v>69</v>
      </c>
      <c r="E544" s="24" t="s">
        <v>13</v>
      </c>
      <c r="F544" s="26">
        <v>2414.0</v>
      </c>
      <c r="G544" s="26" t="s">
        <v>2061</v>
      </c>
      <c r="H544" s="26" t="s">
        <v>2066</v>
      </c>
      <c r="I544" s="26" t="s">
        <v>2067</v>
      </c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4" t="s">
        <v>584</v>
      </c>
      <c r="B545" s="25">
        <v>4.04145973415E11</v>
      </c>
      <c r="C545" s="24" t="s">
        <v>477</v>
      </c>
      <c r="D545" s="24" t="s">
        <v>69</v>
      </c>
      <c r="E545" s="24" t="s">
        <v>9</v>
      </c>
      <c r="F545" s="26">
        <v>2419.0</v>
      </c>
      <c r="G545" s="26" t="s">
        <v>1699</v>
      </c>
      <c r="H545" s="26" t="s">
        <v>2068</v>
      </c>
      <c r="I545" s="26" t="s">
        <v>2069</v>
      </c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4" t="s">
        <v>585</v>
      </c>
      <c r="B546" s="25">
        <v>4.95158084197E11</v>
      </c>
      <c r="C546" s="24" t="s">
        <v>477</v>
      </c>
      <c r="D546" s="24" t="s">
        <v>69</v>
      </c>
      <c r="E546" s="24" t="s">
        <v>9</v>
      </c>
      <c r="F546" s="26">
        <v>2552.0</v>
      </c>
      <c r="G546" s="26" t="s">
        <v>1807</v>
      </c>
      <c r="H546" s="26" t="s">
        <v>2070</v>
      </c>
      <c r="I546" s="26" t="s">
        <v>2071</v>
      </c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4" t="s">
        <v>586</v>
      </c>
      <c r="B547" s="25">
        <v>2.04176435205E11</v>
      </c>
      <c r="C547" s="24" t="s">
        <v>477</v>
      </c>
      <c r="D547" s="24" t="s">
        <v>69</v>
      </c>
      <c r="E547" s="24" t="s">
        <v>13</v>
      </c>
      <c r="F547" s="26">
        <v>2651.0</v>
      </c>
      <c r="G547" s="26" t="s">
        <v>2061</v>
      </c>
      <c r="H547" s="26" t="s">
        <v>2072</v>
      </c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4" t="s">
        <v>587</v>
      </c>
      <c r="B548" s="25">
        <v>2.40145743263E11</v>
      </c>
      <c r="C548" s="24" t="s">
        <v>477</v>
      </c>
      <c r="D548" s="24" t="s">
        <v>69</v>
      </c>
      <c r="E548" s="24" t="s">
        <v>13</v>
      </c>
      <c r="F548" s="26">
        <v>2417.0</v>
      </c>
      <c r="G548" s="26" t="s">
        <v>2061</v>
      </c>
      <c r="H548" s="26" t="s">
        <v>2073</v>
      </c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4" t="s">
        <v>588</v>
      </c>
      <c r="B549" s="25">
        <v>7.30108091781E11</v>
      </c>
      <c r="C549" s="24" t="s">
        <v>477</v>
      </c>
      <c r="D549" s="24" t="s">
        <v>589</v>
      </c>
      <c r="E549" s="24" t="s">
        <v>9</v>
      </c>
      <c r="F549" s="27" t="s">
        <v>2074</v>
      </c>
      <c r="G549" s="26"/>
      <c r="H549" s="26" t="s">
        <v>2075</v>
      </c>
      <c r="I549" s="26">
        <v>1.223356596E9</v>
      </c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4" t="s">
        <v>590</v>
      </c>
      <c r="B550" s="25">
        <v>5.78168047263E11</v>
      </c>
      <c r="C550" s="24" t="s">
        <v>477</v>
      </c>
      <c r="D550" s="24" t="s">
        <v>589</v>
      </c>
      <c r="E550" s="24" t="s">
        <v>13</v>
      </c>
      <c r="F550" s="27">
        <v>1906.0</v>
      </c>
      <c r="G550" s="26"/>
      <c r="H550" s="26" t="s">
        <v>2076</v>
      </c>
      <c r="I550" s="26" t="s">
        <v>2077</v>
      </c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4" t="s">
        <v>591</v>
      </c>
      <c r="B551" s="25">
        <v>8.29179380761E11</v>
      </c>
      <c r="C551" s="24" t="s">
        <v>477</v>
      </c>
      <c r="D551" s="24" t="s">
        <v>589</v>
      </c>
      <c r="E551" s="24" t="s">
        <v>13</v>
      </c>
      <c r="F551" s="27">
        <v>1915.0</v>
      </c>
      <c r="G551" s="26"/>
      <c r="H551" s="26" t="s">
        <v>2078</v>
      </c>
      <c r="I551" s="26" t="s">
        <v>2079</v>
      </c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4" t="s">
        <v>592</v>
      </c>
      <c r="B552" s="25">
        <v>5.07191054317E11</v>
      </c>
      <c r="C552" s="24" t="s">
        <v>477</v>
      </c>
      <c r="D552" s="24" t="s">
        <v>589</v>
      </c>
      <c r="E552" s="24" t="s">
        <v>13</v>
      </c>
      <c r="F552" s="27" t="s">
        <v>2080</v>
      </c>
      <c r="G552" s="26"/>
      <c r="H552" s="26" t="s">
        <v>2081</v>
      </c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4" t="s">
        <v>593</v>
      </c>
      <c r="B553" s="25">
        <v>9.64127341684E11</v>
      </c>
      <c r="C553" s="24" t="s">
        <v>477</v>
      </c>
      <c r="D553" s="24" t="s">
        <v>589</v>
      </c>
      <c r="E553" s="24" t="s">
        <v>9</v>
      </c>
      <c r="F553" s="27" t="s">
        <v>2082</v>
      </c>
      <c r="G553" s="26"/>
      <c r="H553" s="26" t="s">
        <v>2083</v>
      </c>
      <c r="I553" s="26" t="s">
        <v>2084</v>
      </c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4" t="s">
        <v>594</v>
      </c>
      <c r="B554" s="25">
        <v>7.09139503259E11</v>
      </c>
      <c r="C554" s="24" t="s">
        <v>477</v>
      </c>
      <c r="D554" s="24" t="s">
        <v>566</v>
      </c>
      <c r="E554" s="24" t="s">
        <v>13</v>
      </c>
      <c r="F554" s="26">
        <v>2096.0</v>
      </c>
      <c r="G554" s="26" t="s">
        <v>596</v>
      </c>
      <c r="H554" s="26" t="s">
        <v>2085</v>
      </c>
      <c r="I554" s="26" t="s">
        <v>2086</v>
      </c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4" t="s">
        <v>595</v>
      </c>
      <c r="B555" s="25"/>
      <c r="C555" s="24" t="s">
        <v>477</v>
      </c>
      <c r="D555" s="24" t="s">
        <v>589</v>
      </c>
      <c r="E555" s="24" t="s">
        <v>184</v>
      </c>
      <c r="F555" s="26"/>
      <c r="G555" s="25" t="s">
        <v>596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4" t="s">
        <v>597</v>
      </c>
      <c r="B556" s="25">
        <v>8.93140536419E11</v>
      </c>
      <c r="C556" s="24" t="s">
        <v>477</v>
      </c>
      <c r="D556" s="24" t="s">
        <v>589</v>
      </c>
      <c r="E556" s="24" t="s">
        <v>13</v>
      </c>
      <c r="F556" s="27" t="s">
        <v>2087</v>
      </c>
      <c r="G556" s="26" t="s">
        <v>596</v>
      </c>
      <c r="H556" s="26" t="s">
        <v>2088</v>
      </c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4" t="s">
        <v>598</v>
      </c>
      <c r="B557" s="25">
        <v>9.42138286345E11</v>
      </c>
      <c r="C557" s="24" t="s">
        <v>477</v>
      </c>
      <c r="D557" s="24" t="s">
        <v>574</v>
      </c>
      <c r="E557" s="24" t="s">
        <v>35</v>
      </c>
      <c r="F557" s="27" t="s">
        <v>2089</v>
      </c>
      <c r="G557" s="26" t="s">
        <v>596</v>
      </c>
      <c r="H557" s="26" t="s">
        <v>2090</v>
      </c>
      <c r="I557" s="26" t="s">
        <v>2091</v>
      </c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4" t="s">
        <v>599</v>
      </c>
      <c r="B558" s="25">
        <v>4.52123973904E11</v>
      </c>
      <c r="C558" s="24" t="s">
        <v>477</v>
      </c>
      <c r="D558" s="24" t="s">
        <v>489</v>
      </c>
      <c r="E558" s="24" t="s">
        <v>35</v>
      </c>
      <c r="F558" s="27" t="s">
        <v>2092</v>
      </c>
      <c r="G558" s="26"/>
      <c r="H558" s="26" t="s">
        <v>2093</v>
      </c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4" t="s">
        <v>600</v>
      </c>
      <c r="B559" s="25">
        <v>4.24154524098E11</v>
      </c>
      <c r="C559" s="24" t="s">
        <v>477</v>
      </c>
      <c r="D559" s="24" t="s">
        <v>25</v>
      </c>
      <c r="E559" s="24" t="s">
        <v>35</v>
      </c>
      <c r="F559" s="27" t="s">
        <v>2094</v>
      </c>
      <c r="G559" s="26"/>
      <c r="H559" s="26" t="s">
        <v>2095</v>
      </c>
      <c r="I559" s="26" t="s">
        <v>2096</v>
      </c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4" t="s">
        <v>601</v>
      </c>
      <c r="B560" s="25">
        <v>6.36182508414E11</v>
      </c>
      <c r="C560" s="24" t="s">
        <v>303</v>
      </c>
      <c r="D560" s="24" t="s">
        <v>63</v>
      </c>
      <c r="E560" s="24" t="s">
        <v>184</v>
      </c>
      <c r="F560" s="27" t="s">
        <v>2097</v>
      </c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4" t="s">
        <v>602</v>
      </c>
      <c r="B561" s="25">
        <v>6.26126867906E11</v>
      </c>
      <c r="C561" s="24" t="s">
        <v>303</v>
      </c>
      <c r="D561" s="24" t="s">
        <v>25</v>
      </c>
      <c r="E561" s="24" t="s">
        <v>35</v>
      </c>
      <c r="F561" s="27" t="s">
        <v>2098</v>
      </c>
      <c r="G561" s="26"/>
      <c r="H561" s="26" t="s">
        <v>2099</v>
      </c>
      <c r="I561" s="26" t="s">
        <v>2100</v>
      </c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4" t="s">
        <v>603</v>
      </c>
      <c r="B562" s="25">
        <v>6.75168783816E11</v>
      </c>
      <c r="C562" s="24" t="s">
        <v>477</v>
      </c>
      <c r="D562" s="24" t="s">
        <v>489</v>
      </c>
      <c r="E562" s="24" t="s">
        <v>35</v>
      </c>
      <c r="F562" s="27" t="s">
        <v>2101</v>
      </c>
      <c r="G562" s="26" t="s">
        <v>596</v>
      </c>
      <c r="H562" s="26" t="s">
        <v>2102</v>
      </c>
      <c r="I562" s="26" t="s">
        <v>2103</v>
      </c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4" t="s">
        <v>604</v>
      </c>
      <c r="B563" s="25">
        <v>1.98159430149E11</v>
      </c>
      <c r="C563" s="24" t="s">
        <v>477</v>
      </c>
      <c r="D563" s="24" t="s">
        <v>69</v>
      </c>
      <c r="E563" s="24" t="s">
        <v>35</v>
      </c>
      <c r="F563" s="27" t="s">
        <v>2104</v>
      </c>
      <c r="G563" s="26" t="s">
        <v>1699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4" t="s">
        <v>605</v>
      </c>
      <c r="B564" s="25">
        <v>9.63158235375E11</v>
      </c>
      <c r="C564" s="24" t="s">
        <v>477</v>
      </c>
      <c r="D564" s="24" t="s">
        <v>606</v>
      </c>
      <c r="E564" s="24" t="s">
        <v>35</v>
      </c>
      <c r="F564" s="27" t="s">
        <v>2105</v>
      </c>
      <c r="G564" s="26"/>
      <c r="H564" s="26" t="s">
        <v>2106</v>
      </c>
      <c r="I564" s="26" t="s">
        <v>2107</v>
      </c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4" t="s">
        <v>607</v>
      </c>
      <c r="B565" s="25">
        <v>1.94141237816E11</v>
      </c>
      <c r="C565" s="24" t="s">
        <v>477</v>
      </c>
      <c r="D565" s="24" t="s">
        <v>608</v>
      </c>
      <c r="E565" s="24" t="s">
        <v>35</v>
      </c>
      <c r="F565" s="27" t="s">
        <v>2108</v>
      </c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4" t="s">
        <v>609</v>
      </c>
      <c r="B566" s="25">
        <v>1.94194607634E11</v>
      </c>
      <c r="C566" s="24" t="s">
        <v>477</v>
      </c>
      <c r="D566" s="24" t="s">
        <v>610</v>
      </c>
      <c r="E566" s="24" t="s">
        <v>13</v>
      </c>
      <c r="F566" s="27" t="s">
        <v>2109</v>
      </c>
      <c r="G566" s="26"/>
      <c r="H566" s="26" t="s">
        <v>2110</v>
      </c>
      <c r="I566" s="26" t="s">
        <v>2111</v>
      </c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4" t="s">
        <v>611</v>
      </c>
      <c r="B567" s="25">
        <v>9.73132386263E11</v>
      </c>
      <c r="C567" s="24" t="s">
        <v>477</v>
      </c>
      <c r="D567" s="24" t="s">
        <v>606</v>
      </c>
      <c r="E567" s="24" t="s">
        <v>13</v>
      </c>
      <c r="F567" s="27" t="s">
        <v>2112</v>
      </c>
      <c r="G567" s="26"/>
      <c r="H567" s="26" t="s">
        <v>2113</v>
      </c>
      <c r="I567" s="26" t="s">
        <v>2114</v>
      </c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4" t="s">
        <v>612</v>
      </c>
      <c r="B568" s="25">
        <v>5.2410307803E11</v>
      </c>
      <c r="C568" s="24" t="s">
        <v>477</v>
      </c>
      <c r="D568" s="24" t="s">
        <v>608</v>
      </c>
      <c r="E568" s="24" t="s">
        <v>184</v>
      </c>
      <c r="F568" s="27" t="s">
        <v>2115</v>
      </c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4" t="s">
        <v>613</v>
      </c>
      <c r="B569" s="25">
        <v>4.92152627064E11</v>
      </c>
      <c r="C569" s="24" t="s">
        <v>477</v>
      </c>
      <c r="D569" s="24" t="s">
        <v>610</v>
      </c>
      <c r="E569" s="24" t="s">
        <v>13</v>
      </c>
      <c r="F569" s="27" t="s">
        <v>2116</v>
      </c>
      <c r="G569" s="26"/>
      <c r="H569" s="26" t="s">
        <v>2117</v>
      </c>
      <c r="I569" s="26" t="s">
        <v>2118</v>
      </c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4" t="s">
        <v>614</v>
      </c>
      <c r="B570" s="25">
        <v>8.72163032543E11</v>
      </c>
      <c r="C570" s="24" t="s">
        <v>477</v>
      </c>
      <c r="D570" s="24" t="s">
        <v>615</v>
      </c>
      <c r="E570" s="24" t="s">
        <v>13</v>
      </c>
      <c r="F570" s="27" t="s">
        <v>2119</v>
      </c>
      <c r="G570" s="26"/>
      <c r="H570" s="26" t="s">
        <v>2120</v>
      </c>
      <c r="I570" s="26">
        <v>1.115125755E9</v>
      </c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4" t="s">
        <v>616</v>
      </c>
      <c r="B571" s="25">
        <v>7.94135291842E11</v>
      </c>
      <c r="C571" s="24" t="s">
        <v>303</v>
      </c>
      <c r="D571" s="24" t="s">
        <v>615</v>
      </c>
      <c r="E571" s="24" t="s">
        <v>13</v>
      </c>
      <c r="F571" s="27" t="s">
        <v>2121</v>
      </c>
      <c r="G571" s="26"/>
      <c r="H571" s="26" t="s">
        <v>2122</v>
      </c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4" t="s">
        <v>617</v>
      </c>
      <c r="B572" s="25">
        <v>2.32180108363E11</v>
      </c>
      <c r="C572" s="24" t="s">
        <v>477</v>
      </c>
      <c r="D572" s="24" t="s">
        <v>47</v>
      </c>
      <c r="E572" s="24" t="s">
        <v>35</v>
      </c>
      <c r="F572" s="27" t="s">
        <v>2123</v>
      </c>
      <c r="G572" s="26"/>
      <c r="H572" s="26" t="s">
        <v>2124</v>
      </c>
      <c r="I572" s="26" t="s">
        <v>2125</v>
      </c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4" t="s">
        <v>618</v>
      </c>
      <c r="B573" s="25">
        <v>5.17143909782E11</v>
      </c>
      <c r="C573" s="24" t="s">
        <v>477</v>
      </c>
      <c r="D573" s="24" t="s">
        <v>478</v>
      </c>
      <c r="E573" s="24" t="s">
        <v>35</v>
      </c>
      <c r="F573" s="27" t="s">
        <v>2126</v>
      </c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4" t="s">
        <v>619</v>
      </c>
      <c r="B574" s="25">
        <v>2.87167641716E11</v>
      </c>
      <c r="C574" s="24" t="s">
        <v>477</v>
      </c>
      <c r="D574" s="24" t="s">
        <v>574</v>
      </c>
      <c r="E574" s="24" t="s">
        <v>35</v>
      </c>
      <c r="F574" s="27" t="s">
        <v>2127</v>
      </c>
      <c r="G574" s="26" t="s">
        <v>596</v>
      </c>
      <c r="H574" s="26" t="s">
        <v>2128</v>
      </c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4" t="s">
        <v>620</v>
      </c>
      <c r="B575" s="25">
        <v>1.2817528506E11</v>
      </c>
      <c r="C575" s="24" t="s">
        <v>477</v>
      </c>
      <c r="D575" s="24" t="s">
        <v>606</v>
      </c>
      <c r="E575" s="24" t="s">
        <v>13</v>
      </c>
      <c r="F575" s="27" t="s">
        <v>2129</v>
      </c>
      <c r="G575" s="26"/>
      <c r="H575" s="26" t="s">
        <v>2130</v>
      </c>
      <c r="I575" s="26" t="s">
        <v>2131</v>
      </c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4" t="s">
        <v>621</v>
      </c>
      <c r="B576" s="25">
        <v>2.92171703567E11</v>
      </c>
      <c r="C576" s="24" t="s">
        <v>477</v>
      </c>
      <c r="D576" s="24" t="s">
        <v>615</v>
      </c>
      <c r="E576" s="24" t="s">
        <v>184</v>
      </c>
      <c r="F576" s="27" t="s">
        <v>2132</v>
      </c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4" t="s">
        <v>622</v>
      </c>
      <c r="B577" s="25">
        <v>9.28120793742E11</v>
      </c>
      <c r="C577" s="24" t="s">
        <v>303</v>
      </c>
      <c r="D577" s="24" t="s">
        <v>25</v>
      </c>
      <c r="E577" s="24" t="s">
        <v>35</v>
      </c>
      <c r="F577" s="27" t="s">
        <v>2133</v>
      </c>
      <c r="G577" s="26"/>
      <c r="H577" s="26" t="s">
        <v>2134</v>
      </c>
      <c r="I577" s="26" t="s">
        <v>2135</v>
      </c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4" t="s">
        <v>623</v>
      </c>
      <c r="B578" s="25">
        <v>8.7010213251E11</v>
      </c>
      <c r="C578" s="24" t="s">
        <v>303</v>
      </c>
      <c r="D578" s="24" t="s">
        <v>203</v>
      </c>
      <c r="E578" s="24" t="s">
        <v>35</v>
      </c>
      <c r="F578" s="27" t="s">
        <v>2136</v>
      </c>
      <c r="G578" s="26"/>
      <c r="H578" s="26" t="s">
        <v>2137</v>
      </c>
      <c r="I578" s="26" t="s">
        <v>2138</v>
      </c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4" t="s">
        <v>624</v>
      </c>
      <c r="B579" s="25">
        <v>1.42159241646E11</v>
      </c>
      <c r="C579" s="24" t="s">
        <v>303</v>
      </c>
      <c r="D579" s="24" t="s">
        <v>47</v>
      </c>
      <c r="E579" s="24" t="s">
        <v>625</v>
      </c>
      <c r="F579" s="27" t="s">
        <v>2139</v>
      </c>
      <c r="G579" s="26"/>
      <c r="H579" s="26" t="s">
        <v>2140</v>
      </c>
      <c r="I579" s="26">
        <v>2.01113618461E11</v>
      </c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4" t="s">
        <v>626</v>
      </c>
      <c r="B580" s="25">
        <v>1.23132196047E11</v>
      </c>
      <c r="C580" s="24" t="s">
        <v>303</v>
      </c>
      <c r="D580" s="24" t="s">
        <v>25</v>
      </c>
      <c r="E580" s="24" t="s">
        <v>35</v>
      </c>
      <c r="F580" s="27" t="s">
        <v>2141</v>
      </c>
      <c r="G580" s="26"/>
      <c r="H580" s="26" t="s">
        <v>2142</v>
      </c>
      <c r="I580" s="26" t="s">
        <v>2143</v>
      </c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4" t="s">
        <v>627</v>
      </c>
      <c r="B581" s="25">
        <v>1.79171592097E11</v>
      </c>
      <c r="C581" s="24" t="s">
        <v>477</v>
      </c>
      <c r="D581" s="24" t="s">
        <v>606</v>
      </c>
      <c r="E581" s="24" t="s">
        <v>35</v>
      </c>
      <c r="F581" s="27" t="s">
        <v>2144</v>
      </c>
      <c r="G581" s="26"/>
      <c r="H581" s="26" t="s">
        <v>2145</v>
      </c>
      <c r="I581" s="26" t="s">
        <v>2146</v>
      </c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4" t="s">
        <v>628</v>
      </c>
      <c r="B582" s="25">
        <v>3.08176953497E11</v>
      </c>
      <c r="C582" s="24" t="s">
        <v>477</v>
      </c>
      <c r="D582" s="24" t="s">
        <v>608</v>
      </c>
      <c r="E582" s="24" t="s">
        <v>13</v>
      </c>
      <c r="F582" s="27" t="s">
        <v>2147</v>
      </c>
      <c r="G582" s="26"/>
      <c r="H582" s="26" t="s">
        <v>2148</v>
      </c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4" t="s">
        <v>629</v>
      </c>
      <c r="B583" s="25">
        <v>6.95180376491E11</v>
      </c>
      <c r="C583" s="24" t="s">
        <v>477</v>
      </c>
      <c r="D583" s="24" t="s">
        <v>610</v>
      </c>
      <c r="E583" s="24" t="s">
        <v>35</v>
      </c>
      <c r="F583" s="27" t="s">
        <v>2149</v>
      </c>
      <c r="G583" s="26"/>
      <c r="H583" s="26" t="s">
        <v>2150</v>
      </c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4" t="s">
        <v>630</v>
      </c>
      <c r="B584" s="25">
        <v>4.19198614751E11</v>
      </c>
      <c r="C584" s="24" t="s">
        <v>86</v>
      </c>
      <c r="D584" s="24" t="s">
        <v>126</v>
      </c>
      <c r="E584" s="24" t="s">
        <v>35</v>
      </c>
      <c r="F584" s="27" t="s">
        <v>2151</v>
      </c>
      <c r="G584" s="25" t="s">
        <v>127</v>
      </c>
      <c r="H584" s="26" t="s">
        <v>2152</v>
      </c>
      <c r="I584" s="26" t="s">
        <v>2153</v>
      </c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4" t="s">
        <v>631</v>
      </c>
      <c r="B585" s="25">
        <v>4.35164906319E11</v>
      </c>
      <c r="C585" s="24" t="s">
        <v>477</v>
      </c>
      <c r="D585" s="24" t="s">
        <v>615</v>
      </c>
      <c r="E585" s="24" t="s">
        <v>35</v>
      </c>
      <c r="F585" s="27" t="s">
        <v>2154</v>
      </c>
      <c r="G585" s="26"/>
      <c r="H585" s="26" t="s">
        <v>2155</v>
      </c>
      <c r="I585" s="26" t="s">
        <v>2156</v>
      </c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4" t="s">
        <v>632</v>
      </c>
      <c r="B586" s="25">
        <v>8.62194859079E11</v>
      </c>
      <c r="C586" s="24" t="s">
        <v>11</v>
      </c>
      <c r="D586" s="24" t="s">
        <v>25</v>
      </c>
      <c r="E586" s="24" t="s">
        <v>35</v>
      </c>
      <c r="F586" s="27" t="s">
        <v>2157</v>
      </c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4" t="s">
        <v>633</v>
      </c>
      <c r="B587" s="25">
        <v>4.78141716532E11</v>
      </c>
      <c r="C587" s="24" t="s">
        <v>477</v>
      </c>
      <c r="D587" s="24" t="s">
        <v>606</v>
      </c>
      <c r="E587" s="24" t="s">
        <v>13</v>
      </c>
      <c r="F587" s="27" t="s">
        <v>2158</v>
      </c>
      <c r="G587" s="26"/>
      <c r="H587" s="26" t="s">
        <v>2159</v>
      </c>
      <c r="I587" s="26" t="s">
        <v>2160</v>
      </c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4" t="s">
        <v>634</v>
      </c>
      <c r="B588" s="25">
        <v>4.59127286142E11</v>
      </c>
      <c r="C588" s="24" t="s">
        <v>477</v>
      </c>
      <c r="D588" s="24" t="s">
        <v>610</v>
      </c>
      <c r="E588" s="24" t="s">
        <v>35</v>
      </c>
      <c r="F588" s="27" t="s">
        <v>2161</v>
      </c>
      <c r="G588" s="26"/>
      <c r="H588" s="26" t="s">
        <v>2162</v>
      </c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4" t="s">
        <v>635</v>
      </c>
      <c r="B589" s="25">
        <v>8.54101526124E11</v>
      </c>
      <c r="C589" s="24" t="s">
        <v>303</v>
      </c>
      <c r="D589" s="24" t="s">
        <v>69</v>
      </c>
      <c r="E589" s="24" t="s">
        <v>35</v>
      </c>
      <c r="F589" s="27" t="s">
        <v>2163</v>
      </c>
      <c r="G589" s="26" t="s">
        <v>641</v>
      </c>
      <c r="H589" s="26" t="s">
        <v>2164</v>
      </c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4" t="s">
        <v>636</v>
      </c>
      <c r="B590" s="25">
        <v>9.13169734907E11</v>
      </c>
      <c r="C590" s="24" t="s">
        <v>477</v>
      </c>
      <c r="D590" s="24" t="s">
        <v>489</v>
      </c>
      <c r="E590" s="24" t="s">
        <v>35</v>
      </c>
      <c r="F590" s="27" t="s">
        <v>2165</v>
      </c>
      <c r="G590" s="26" t="s">
        <v>596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4" t="s">
        <v>637</v>
      </c>
      <c r="B591" s="25">
        <v>7.08179253837E11</v>
      </c>
      <c r="C591" s="24" t="s">
        <v>477</v>
      </c>
      <c r="D591" s="24" t="s">
        <v>615</v>
      </c>
      <c r="E591" s="24" t="s">
        <v>13</v>
      </c>
      <c r="F591" s="27" t="s">
        <v>2166</v>
      </c>
      <c r="G591" s="26"/>
      <c r="H591" s="26" t="s">
        <v>2167</v>
      </c>
      <c r="I591" s="26" t="s">
        <v>2168</v>
      </c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4" t="s">
        <v>638</v>
      </c>
      <c r="B592" s="25">
        <v>1.03196870689E11</v>
      </c>
      <c r="C592" s="24" t="s">
        <v>477</v>
      </c>
      <c r="D592" s="24" t="s">
        <v>615</v>
      </c>
      <c r="E592" s="24" t="s">
        <v>13</v>
      </c>
      <c r="F592" s="27" t="s">
        <v>2169</v>
      </c>
      <c r="G592" s="26"/>
      <c r="H592" s="26" t="s">
        <v>2170</v>
      </c>
      <c r="I592" s="26" t="s">
        <v>2171</v>
      </c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4" t="s">
        <v>639</v>
      </c>
      <c r="B593" s="25">
        <v>5.68186930704E11</v>
      </c>
      <c r="C593" s="24" t="s">
        <v>477</v>
      </c>
      <c r="D593" s="24" t="s">
        <v>608</v>
      </c>
      <c r="E593" s="24" t="s">
        <v>184</v>
      </c>
      <c r="F593" s="27" t="s">
        <v>2172</v>
      </c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4" t="s">
        <v>640</v>
      </c>
      <c r="B594" s="25">
        <v>4.92145757573E11</v>
      </c>
      <c r="C594" s="24" t="s">
        <v>477</v>
      </c>
      <c r="D594" s="24" t="s">
        <v>69</v>
      </c>
      <c r="E594" s="24" t="s">
        <v>184</v>
      </c>
      <c r="F594" s="27" t="s">
        <v>2173</v>
      </c>
      <c r="G594" s="25" t="s">
        <v>641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4" t="s">
        <v>642</v>
      </c>
      <c r="B595" s="25">
        <v>8.93170457017E11</v>
      </c>
      <c r="C595" s="24" t="s">
        <v>477</v>
      </c>
      <c r="D595" s="24" t="s">
        <v>537</v>
      </c>
      <c r="E595" s="24" t="s">
        <v>184</v>
      </c>
      <c r="F595" s="27" t="s">
        <v>2174</v>
      </c>
      <c r="G595" s="26"/>
      <c r="H595" s="26" t="s">
        <v>2175</v>
      </c>
      <c r="I595" s="26">
        <v>2.01090406534E11</v>
      </c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4" t="s">
        <v>643</v>
      </c>
      <c r="B596" s="25">
        <v>3.47126195768E11</v>
      </c>
      <c r="C596" s="24" t="s">
        <v>477</v>
      </c>
      <c r="D596" s="24" t="s">
        <v>510</v>
      </c>
      <c r="E596" s="24" t="s">
        <v>35</v>
      </c>
      <c r="F596" s="27" t="s">
        <v>2176</v>
      </c>
      <c r="G596" s="26" t="s">
        <v>2177</v>
      </c>
      <c r="H596" s="26" t="s">
        <v>2178</v>
      </c>
      <c r="I596" s="26" t="s">
        <v>2179</v>
      </c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4" t="s">
        <v>644</v>
      </c>
      <c r="B597" s="25">
        <v>4.58157430479E11</v>
      </c>
      <c r="C597" s="24" t="s">
        <v>303</v>
      </c>
      <c r="D597" s="24" t="s">
        <v>615</v>
      </c>
      <c r="E597" s="24" t="s">
        <v>35</v>
      </c>
      <c r="F597" s="27" t="s">
        <v>2180</v>
      </c>
      <c r="G597" s="26"/>
      <c r="H597" s="26" t="s">
        <v>2181</v>
      </c>
      <c r="I597" s="26" t="s">
        <v>2182</v>
      </c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4" t="s">
        <v>645</v>
      </c>
      <c r="B598" s="25">
        <v>8.37194029802E11</v>
      </c>
      <c r="C598" s="24" t="s">
        <v>477</v>
      </c>
      <c r="D598" s="24" t="s">
        <v>519</v>
      </c>
      <c r="E598" s="24" t="s">
        <v>35</v>
      </c>
      <c r="F598" s="27" t="s">
        <v>2183</v>
      </c>
      <c r="G598" s="26" t="s">
        <v>1858</v>
      </c>
      <c r="H598" s="26" t="s">
        <v>2184</v>
      </c>
      <c r="I598" s="26" t="s">
        <v>2185</v>
      </c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4" t="s">
        <v>646</v>
      </c>
      <c r="B599" s="25">
        <v>4.86174535434E11</v>
      </c>
      <c r="C599" s="24" t="s">
        <v>477</v>
      </c>
      <c r="D599" s="24" t="s">
        <v>527</v>
      </c>
      <c r="E599" s="24" t="s">
        <v>184</v>
      </c>
      <c r="F599" s="27" t="s">
        <v>2186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4" t="s">
        <v>647</v>
      </c>
      <c r="B600" s="25">
        <v>2.39130462525E11</v>
      </c>
      <c r="C600" s="24" t="s">
        <v>86</v>
      </c>
      <c r="D600" s="24" t="s">
        <v>47</v>
      </c>
      <c r="E600" s="24" t="s">
        <v>35</v>
      </c>
      <c r="F600" s="27" t="s">
        <v>2187</v>
      </c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4" t="s">
        <v>648</v>
      </c>
      <c r="B601" s="25">
        <v>3.07134532301E11</v>
      </c>
      <c r="C601" s="24" t="s">
        <v>477</v>
      </c>
      <c r="D601" s="24" t="s">
        <v>489</v>
      </c>
      <c r="E601" s="24" t="s">
        <v>184</v>
      </c>
      <c r="F601" s="27" t="s">
        <v>2188</v>
      </c>
      <c r="G601" s="26" t="s">
        <v>2189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4" t="s">
        <v>649</v>
      </c>
      <c r="B602" s="25">
        <v>6.58171357514E11</v>
      </c>
      <c r="C602" s="24" t="s">
        <v>303</v>
      </c>
      <c r="D602" s="24" t="s">
        <v>69</v>
      </c>
      <c r="E602" s="24" t="s">
        <v>13</v>
      </c>
      <c r="F602" s="27" t="s">
        <v>2190</v>
      </c>
      <c r="G602" s="26" t="s">
        <v>1297</v>
      </c>
      <c r="H602" s="26" t="s">
        <v>2191</v>
      </c>
      <c r="I602" s="26" t="s">
        <v>2192</v>
      </c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4" t="s">
        <v>650</v>
      </c>
      <c r="B603" s="25">
        <v>4.0310378701E11</v>
      </c>
      <c r="C603" s="24" t="s">
        <v>303</v>
      </c>
      <c r="D603" s="24" t="s">
        <v>69</v>
      </c>
      <c r="E603" s="24" t="s">
        <v>184</v>
      </c>
      <c r="F603" s="27" t="s">
        <v>2193</v>
      </c>
      <c r="G603" s="26"/>
      <c r="H603" s="26" t="s">
        <v>2194</v>
      </c>
      <c r="I603" s="26" t="s">
        <v>2195</v>
      </c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4" t="s">
        <v>651</v>
      </c>
      <c r="B604" s="25">
        <v>4.18196047464E11</v>
      </c>
      <c r="C604" s="24" t="s">
        <v>477</v>
      </c>
      <c r="D604" s="24" t="s">
        <v>615</v>
      </c>
      <c r="E604" s="24" t="s">
        <v>35</v>
      </c>
      <c r="F604" s="27" t="s">
        <v>2196</v>
      </c>
      <c r="G604" s="26"/>
      <c r="H604" s="26" t="s">
        <v>2197</v>
      </c>
      <c r="I604" s="26" t="s">
        <v>2198</v>
      </c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4" t="s">
        <v>652</v>
      </c>
      <c r="B605" s="25">
        <v>2.84105320408E11</v>
      </c>
      <c r="C605" s="24" t="s">
        <v>477</v>
      </c>
      <c r="D605" s="24" t="s">
        <v>610</v>
      </c>
      <c r="E605" s="24" t="s">
        <v>184</v>
      </c>
      <c r="F605" s="27" t="s">
        <v>2199</v>
      </c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4" t="s">
        <v>653</v>
      </c>
      <c r="B606" s="25">
        <v>4.15159138915E11</v>
      </c>
      <c r="C606" s="24" t="s">
        <v>477</v>
      </c>
      <c r="D606" s="24" t="s">
        <v>610</v>
      </c>
      <c r="E606" s="24" t="s">
        <v>184</v>
      </c>
      <c r="F606" s="27" t="s">
        <v>2200</v>
      </c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4" t="s">
        <v>654</v>
      </c>
      <c r="B607" s="25">
        <v>8.1219575405E11</v>
      </c>
      <c r="C607" s="24" t="s">
        <v>86</v>
      </c>
      <c r="D607" s="24" t="s">
        <v>47</v>
      </c>
      <c r="E607" s="24" t="s">
        <v>184</v>
      </c>
      <c r="F607" s="27" t="s">
        <v>2201</v>
      </c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4" t="s">
        <v>655</v>
      </c>
      <c r="B608" s="25">
        <v>1.59150394389E11</v>
      </c>
      <c r="C608" s="24" t="s">
        <v>86</v>
      </c>
      <c r="D608" s="24" t="s">
        <v>47</v>
      </c>
      <c r="E608" s="24" t="s">
        <v>184</v>
      </c>
      <c r="F608" s="27" t="s">
        <v>2202</v>
      </c>
      <c r="G608" s="26"/>
      <c r="H608" s="26" t="s">
        <v>2203</v>
      </c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4" t="s">
        <v>656</v>
      </c>
      <c r="B609" s="25">
        <v>4.08124082075E11</v>
      </c>
      <c r="C609" s="24" t="s">
        <v>86</v>
      </c>
      <c r="D609" s="24" t="s">
        <v>63</v>
      </c>
      <c r="E609" s="24" t="s">
        <v>35</v>
      </c>
      <c r="F609" s="27">
        <v>1363.0</v>
      </c>
      <c r="G609" s="26"/>
      <c r="H609" s="26" t="s">
        <v>2204</v>
      </c>
      <c r="I609" s="26">
        <v>2.01112094005E11</v>
      </c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4" t="s">
        <v>657</v>
      </c>
      <c r="B610" s="25">
        <v>9.74193190698E11</v>
      </c>
      <c r="C610" s="24" t="s">
        <v>303</v>
      </c>
      <c r="D610" s="24" t="s">
        <v>47</v>
      </c>
      <c r="E610" s="24" t="s">
        <v>35</v>
      </c>
      <c r="F610" s="27">
        <v>2038.0</v>
      </c>
      <c r="G610" s="26"/>
      <c r="H610" s="26" t="s">
        <v>2205</v>
      </c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4" t="s">
        <v>658</v>
      </c>
      <c r="B611" s="25">
        <v>3.43102940549E11</v>
      </c>
      <c r="C611" s="24" t="s">
        <v>11</v>
      </c>
      <c r="D611" s="24" t="s">
        <v>25</v>
      </c>
      <c r="E611" s="24" t="s">
        <v>184</v>
      </c>
      <c r="F611" s="27">
        <v>2312.0</v>
      </c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4" t="s">
        <v>659</v>
      </c>
      <c r="B612" s="25">
        <v>9.57149214309E11</v>
      </c>
      <c r="C612" s="24" t="s">
        <v>477</v>
      </c>
      <c r="D612" s="24" t="s">
        <v>608</v>
      </c>
      <c r="E612" s="24" t="s">
        <v>184</v>
      </c>
      <c r="F612" s="27">
        <v>1995.0</v>
      </c>
      <c r="G612" s="26"/>
      <c r="H612" s="26" t="s">
        <v>2206</v>
      </c>
      <c r="I612" s="26" t="s">
        <v>2207</v>
      </c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4" t="s">
        <v>660</v>
      </c>
      <c r="B613" s="25">
        <v>2.95194323854E11</v>
      </c>
      <c r="C613" s="24" t="s">
        <v>477</v>
      </c>
      <c r="D613" s="24" t="s">
        <v>606</v>
      </c>
      <c r="E613" s="24" t="s">
        <v>184</v>
      </c>
      <c r="F613" s="27">
        <v>2167.0</v>
      </c>
      <c r="G613" s="26"/>
      <c r="H613" s="26" t="s">
        <v>2208</v>
      </c>
      <c r="I613" s="26" t="s">
        <v>2209</v>
      </c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4" t="s">
        <v>661</v>
      </c>
      <c r="B614" s="25">
        <v>9.26164261364E11</v>
      </c>
      <c r="C614" s="24" t="s">
        <v>477</v>
      </c>
      <c r="D614" s="24" t="s">
        <v>556</v>
      </c>
      <c r="E614" s="24" t="s">
        <v>35</v>
      </c>
      <c r="F614" s="27">
        <v>2217.0</v>
      </c>
      <c r="G614" s="26" t="s">
        <v>2210</v>
      </c>
      <c r="H614" s="26" t="s">
        <v>2211</v>
      </c>
      <c r="I614" s="26" t="s">
        <v>2212</v>
      </c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4" t="s">
        <v>662</v>
      </c>
      <c r="B615" s="25">
        <v>1.98137454262E11</v>
      </c>
      <c r="C615" s="24" t="s">
        <v>477</v>
      </c>
      <c r="D615" s="24" t="s">
        <v>589</v>
      </c>
      <c r="E615" s="24" t="s">
        <v>13</v>
      </c>
      <c r="F615" s="27" t="s">
        <v>2213</v>
      </c>
      <c r="G615" s="26" t="s">
        <v>1858</v>
      </c>
      <c r="H615" s="26" t="s">
        <v>2214</v>
      </c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4" t="s">
        <v>663</v>
      </c>
      <c r="B616" s="25">
        <v>3.95193419294E11</v>
      </c>
      <c r="C616" s="24" t="s">
        <v>477</v>
      </c>
      <c r="D616" s="24" t="s">
        <v>556</v>
      </c>
      <c r="E616" s="24" t="s">
        <v>184</v>
      </c>
      <c r="F616" s="27" t="s">
        <v>2215</v>
      </c>
      <c r="G616" s="26"/>
      <c r="H616" s="26" t="s">
        <v>2216</v>
      </c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4" t="s">
        <v>664</v>
      </c>
      <c r="B617" s="25">
        <v>6.15158327698E11</v>
      </c>
      <c r="C617" s="24" t="s">
        <v>86</v>
      </c>
      <c r="D617" s="24" t="s">
        <v>250</v>
      </c>
      <c r="E617" s="24" t="s">
        <v>35</v>
      </c>
      <c r="F617" s="26" t="s">
        <v>2217</v>
      </c>
      <c r="G617" s="26" t="s">
        <v>1032</v>
      </c>
      <c r="H617" s="26" t="s">
        <v>2218</v>
      </c>
      <c r="I617" s="26">
        <v>2.01063570903E11</v>
      </c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4" t="s">
        <v>665</v>
      </c>
      <c r="B618" s="25">
        <v>5.18185761828E11</v>
      </c>
      <c r="C618" s="24" t="s">
        <v>303</v>
      </c>
      <c r="D618" s="24" t="s">
        <v>172</v>
      </c>
      <c r="E618" s="24" t="s">
        <v>184</v>
      </c>
      <c r="F618" s="26">
        <v>1850.0</v>
      </c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4" t="s">
        <v>666</v>
      </c>
      <c r="B619" s="25">
        <v>9.28179812341E11</v>
      </c>
      <c r="C619" s="24" t="s">
        <v>477</v>
      </c>
      <c r="D619" s="24" t="s">
        <v>510</v>
      </c>
      <c r="E619" s="24" t="s">
        <v>184</v>
      </c>
      <c r="F619" s="26">
        <v>1945.0</v>
      </c>
      <c r="G619" s="26"/>
      <c r="H619" s="26" t="s">
        <v>2219</v>
      </c>
      <c r="I619" s="26" t="s">
        <v>2220</v>
      </c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4" t="s">
        <v>667</v>
      </c>
      <c r="B620" s="25">
        <v>6.02141491647E11</v>
      </c>
      <c r="C620" s="24" t="s">
        <v>477</v>
      </c>
      <c r="D620" s="24" t="s">
        <v>519</v>
      </c>
      <c r="E620" s="24" t="s">
        <v>35</v>
      </c>
      <c r="F620" s="26">
        <v>2237.0</v>
      </c>
      <c r="G620" s="26" t="s">
        <v>596</v>
      </c>
      <c r="H620" s="26" t="s">
        <v>2221</v>
      </c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4" t="s">
        <v>668</v>
      </c>
      <c r="B621" s="25">
        <v>8.60125604984E11</v>
      </c>
      <c r="C621" s="24" t="s">
        <v>303</v>
      </c>
      <c r="D621" s="24" t="s">
        <v>615</v>
      </c>
      <c r="E621" s="24" t="s">
        <v>35</v>
      </c>
      <c r="F621" s="26">
        <v>1961.0</v>
      </c>
      <c r="G621" s="26"/>
      <c r="H621" s="26" t="s">
        <v>2222</v>
      </c>
      <c r="I621" s="26" t="s">
        <v>2223</v>
      </c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4" t="s">
        <v>669</v>
      </c>
      <c r="B622" s="25">
        <v>7.02160894872E11</v>
      </c>
      <c r="C622" s="24" t="s">
        <v>303</v>
      </c>
      <c r="D622" s="24" t="s">
        <v>610</v>
      </c>
      <c r="E622" s="24" t="s">
        <v>184</v>
      </c>
      <c r="F622" s="26">
        <v>2028.0</v>
      </c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4" t="s">
        <v>670</v>
      </c>
      <c r="B623" s="25">
        <v>4.24149471034E11</v>
      </c>
      <c r="C623" s="24" t="s">
        <v>303</v>
      </c>
      <c r="D623" s="24" t="s">
        <v>25</v>
      </c>
      <c r="E623" s="24" t="s">
        <v>184</v>
      </c>
      <c r="F623" s="26">
        <v>1989.0</v>
      </c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4" t="s">
        <v>671</v>
      </c>
      <c r="B624" s="25">
        <v>8.95196457504E11</v>
      </c>
      <c r="C624" s="24" t="s">
        <v>86</v>
      </c>
      <c r="D624" s="24" t="s">
        <v>25</v>
      </c>
      <c r="E624" s="24" t="s">
        <v>184</v>
      </c>
      <c r="F624" s="26">
        <v>1886.0</v>
      </c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4" t="s">
        <v>672</v>
      </c>
      <c r="B625" s="25">
        <v>9.45182868176E11</v>
      </c>
      <c r="C625" s="24" t="s">
        <v>86</v>
      </c>
      <c r="D625" s="24" t="s">
        <v>47</v>
      </c>
      <c r="E625" s="24" t="s">
        <v>184</v>
      </c>
      <c r="F625" s="26">
        <v>2074.0</v>
      </c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4" t="s">
        <v>673</v>
      </c>
      <c r="B626" s="25"/>
      <c r="C626" s="24" t="s">
        <v>477</v>
      </c>
      <c r="D626" s="24" t="s">
        <v>566</v>
      </c>
      <c r="E626" s="24" t="s">
        <v>674</v>
      </c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4" t="s">
        <v>675</v>
      </c>
      <c r="B627" s="25">
        <v>1.37159402437E11</v>
      </c>
      <c r="C627" s="24" t="s">
        <v>477</v>
      </c>
      <c r="D627" s="24" t="s">
        <v>566</v>
      </c>
      <c r="E627" s="24" t="s">
        <v>184</v>
      </c>
      <c r="F627" s="26">
        <v>2336.0</v>
      </c>
      <c r="G627" s="26" t="s">
        <v>1858</v>
      </c>
      <c r="H627" s="26" t="s">
        <v>2224</v>
      </c>
      <c r="I627" s="26" t="s">
        <v>2225</v>
      </c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4" t="s">
        <v>676</v>
      </c>
      <c r="B628" s="25">
        <v>4.54134237907E11</v>
      </c>
      <c r="C628" s="24" t="s">
        <v>477</v>
      </c>
      <c r="D628" s="24" t="s">
        <v>615</v>
      </c>
      <c r="E628" s="24" t="s">
        <v>13</v>
      </c>
      <c r="F628" s="26">
        <v>2341.0</v>
      </c>
      <c r="G628" s="26"/>
      <c r="H628" s="26" t="s">
        <v>2226</v>
      </c>
      <c r="I628" s="26" t="s">
        <v>2227</v>
      </c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4" t="s">
        <v>677</v>
      </c>
      <c r="B629" s="25">
        <v>9.3718627971E11</v>
      </c>
      <c r="C629" s="24" t="s">
        <v>477</v>
      </c>
      <c r="D629" s="24" t="s">
        <v>615</v>
      </c>
      <c r="E629" s="24" t="s">
        <v>13</v>
      </c>
      <c r="F629" s="26">
        <v>2338.0</v>
      </c>
      <c r="G629" s="26"/>
      <c r="H629" s="26" t="s">
        <v>2228</v>
      </c>
      <c r="I629" s="26" t="s">
        <v>2229</v>
      </c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4" t="s">
        <v>678</v>
      </c>
      <c r="B630" s="25">
        <v>8.57181851641E11</v>
      </c>
      <c r="C630" s="24" t="s">
        <v>477</v>
      </c>
      <c r="D630" s="24" t="s">
        <v>69</v>
      </c>
      <c r="E630" s="24" t="s">
        <v>184</v>
      </c>
      <c r="F630" s="26">
        <v>2263.0</v>
      </c>
      <c r="G630" s="26" t="s">
        <v>776</v>
      </c>
      <c r="H630" s="26" t="s">
        <v>2230</v>
      </c>
      <c r="I630" s="26" t="s">
        <v>2231</v>
      </c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4" t="s">
        <v>679</v>
      </c>
      <c r="B631" s="25" t="s">
        <v>2232</v>
      </c>
      <c r="C631" s="24" t="s">
        <v>11</v>
      </c>
      <c r="D631" s="24" t="s">
        <v>25</v>
      </c>
      <c r="E631" s="24" t="s">
        <v>184</v>
      </c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4" t="s">
        <v>680</v>
      </c>
      <c r="B632" s="25">
        <v>7.16141713108E11</v>
      </c>
      <c r="C632" s="24" t="s">
        <v>303</v>
      </c>
      <c r="D632" s="24" t="s">
        <v>172</v>
      </c>
      <c r="E632" s="24" t="s">
        <v>35</v>
      </c>
      <c r="F632" s="26">
        <v>2355.0</v>
      </c>
      <c r="G632" s="26" t="s">
        <v>1297</v>
      </c>
      <c r="H632" s="26" t="s">
        <v>2233</v>
      </c>
      <c r="I632" s="26" t="s">
        <v>2234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4" t="s">
        <v>681</v>
      </c>
      <c r="B633" s="25">
        <v>9.05158654524E11</v>
      </c>
      <c r="C633" s="24" t="s">
        <v>86</v>
      </c>
      <c r="D633" s="24" t="s">
        <v>203</v>
      </c>
      <c r="E633" s="24" t="s">
        <v>674</v>
      </c>
      <c r="F633" s="26"/>
      <c r="G633" s="26"/>
      <c r="H633" s="26" t="s">
        <v>2235</v>
      </c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4" t="s">
        <v>682</v>
      </c>
      <c r="B634" s="25">
        <v>7.83123583101E11</v>
      </c>
      <c r="C634" s="24" t="s">
        <v>477</v>
      </c>
      <c r="D634" s="24" t="s">
        <v>25</v>
      </c>
      <c r="E634" s="24" t="s">
        <v>35</v>
      </c>
      <c r="F634" s="26">
        <v>2376.0</v>
      </c>
      <c r="G634" s="26" t="s">
        <v>1807</v>
      </c>
      <c r="H634" s="26" t="s">
        <v>2236</v>
      </c>
      <c r="I634" s="26">
        <v>9.1111734555E10</v>
      </c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4" t="s">
        <v>683</v>
      </c>
      <c r="B635" s="25">
        <v>5.29183826745E11</v>
      </c>
      <c r="C635" s="24" t="s">
        <v>477</v>
      </c>
      <c r="D635" s="24" t="s">
        <v>615</v>
      </c>
      <c r="E635" s="24" t="s">
        <v>13</v>
      </c>
      <c r="F635" s="26">
        <v>2379.0</v>
      </c>
      <c r="G635" s="26"/>
      <c r="H635" s="26" t="s">
        <v>2237</v>
      </c>
      <c r="I635" s="26" t="s">
        <v>2238</v>
      </c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4" t="s">
        <v>684</v>
      </c>
      <c r="B636" s="25">
        <v>7.9417574232E11</v>
      </c>
      <c r="C636" s="24" t="s">
        <v>86</v>
      </c>
      <c r="D636" s="24" t="s">
        <v>69</v>
      </c>
      <c r="E636" s="24" t="s">
        <v>184</v>
      </c>
      <c r="F636" s="26">
        <v>2370.0</v>
      </c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4" t="s">
        <v>685</v>
      </c>
      <c r="B637" s="25">
        <v>5.87173545189E11</v>
      </c>
      <c r="C637" s="24" t="s">
        <v>477</v>
      </c>
      <c r="D637" s="24" t="s">
        <v>69</v>
      </c>
      <c r="E637" s="24" t="s">
        <v>35</v>
      </c>
      <c r="F637" s="26">
        <v>2371.0</v>
      </c>
      <c r="G637" s="26" t="s">
        <v>776</v>
      </c>
      <c r="H637" s="26" t="s">
        <v>2239</v>
      </c>
      <c r="I637" s="26" t="s">
        <v>2240</v>
      </c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4" t="s">
        <v>686</v>
      </c>
      <c r="B638" s="25">
        <v>1.40157603065E11</v>
      </c>
      <c r="C638" s="24" t="s">
        <v>86</v>
      </c>
      <c r="D638" s="24" t="s">
        <v>47</v>
      </c>
      <c r="E638" s="24" t="s">
        <v>184</v>
      </c>
      <c r="F638" s="26">
        <v>2380.0</v>
      </c>
      <c r="G638" s="26" t="s">
        <v>2241</v>
      </c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4" t="s">
        <v>687</v>
      </c>
      <c r="B639" s="25">
        <v>8.39185648325E11</v>
      </c>
      <c r="C639" s="24" t="s">
        <v>86</v>
      </c>
      <c r="D639" s="24" t="s">
        <v>203</v>
      </c>
      <c r="E639" s="24" t="s">
        <v>35</v>
      </c>
      <c r="F639" s="26">
        <v>2399.0</v>
      </c>
      <c r="G639" s="26" t="s">
        <v>2242</v>
      </c>
      <c r="H639" s="26" t="s">
        <v>2243</v>
      </c>
      <c r="I639" s="26" t="s">
        <v>2244</v>
      </c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4" t="s">
        <v>688</v>
      </c>
      <c r="B640" s="25">
        <v>9.75141754312E11</v>
      </c>
      <c r="C640" s="24" t="s">
        <v>477</v>
      </c>
      <c r="D640" s="24" t="s">
        <v>478</v>
      </c>
      <c r="E640" s="24" t="s">
        <v>674</v>
      </c>
      <c r="F640" s="26">
        <v>1999.0</v>
      </c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4" t="s">
        <v>689</v>
      </c>
      <c r="B641" s="25">
        <v>8.46101762818E11</v>
      </c>
      <c r="C641" s="24" t="s">
        <v>477</v>
      </c>
      <c r="D641" s="24" t="s">
        <v>489</v>
      </c>
      <c r="E641" s="24" t="s">
        <v>184</v>
      </c>
      <c r="F641" s="26">
        <v>1781.0</v>
      </c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4" t="s">
        <v>690</v>
      </c>
      <c r="B642" s="25" t="s">
        <v>2232</v>
      </c>
      <c r="C642" s="24" t="s">
        <v>477</v>
      </c>
      <c r="D642" s="24" t="s">
        <v>691</v>
      </c>
      <c r="E642" s="24" t="s">
        <v>674</v>
      </c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4" t="s">
        <v>692</v>
      </c>
      <c r="B643" s="25" t="s">
        <v>2232</v>
      </c>
      <c r="C643" s="26"/>
      <c r="D643" s="24" t="s">
        <v>47</v>
      </c>
      <c r="E643" s="24" t="s">
        <v>384</v>
      </c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4" t="s">
        <v>693</v>
      </c>
      <c r="B644" s="25">
        <v>8.76163930275E11</v>
      </c>
      <c r="C644" s="24" t="s">
        <v>303</v>
      </c>
      <c r="D644" s="24" t="s">
        <v>47</v>
      </c>
      <c r="E644" s="24" t="s">
        <v>35</v>
      </c>
      <c r="F644" s="26">
        <v>1374.0</v>
      </c>
      <c r="G644" s="26"/>
      <c r="H644" s="26" t="s">
        <v>2245</v>
      </c>
      <c r="I644" s="26" t="s">
        <v>2246</v>
      </c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4" t="s">
        <v>694</v>
      </c>
      <c r="B645" s="25">
        <v>9.62104368108E11</v>
      </c>
      <c r="C645" s="24" t="s">
        <v>86</v>
      </c>
      <c r="D645" s="24" t="s">
        <v>47</v>
      </c>
      <c r="E645" s="24" t="s">
        <v>35</v>
      </c>
      <c r="F645" s="26">
        <v>1928.0</v>
      </c>
      <c r="G645" s="26" t="s">
        <v>1032</v>
      </c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4" t="s">
        <v>695</v>
      </c>
      <c r="B646" s="25" t="s">
        <v>2232</v>
      </c>
      <c r="C646" s="24" t="s">
        <v>303</v>
      </c>
      <c r="D646" s="24" t="s">
        <v>69</v>
      </c>
      <c r="E646" s="24" t="s">
        <v>35</v>
      </c>
      <c r="F646" s="26"/>
      <c r="G646" s="26" t="s">
        <v>1482</v>
      </c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4" t="s">
        <v>696</v>
      </c>
      <c r="B647" s="25" t="s">
        <v>2232</v>
      </c>
      <c r="C647" s="24" t="s">
        <v>303</v>
      </c>
      <c r="D647" s="24" t="s">
        <v>172</v>
      </c>
      <c r="E647" s="24" t="s">
        <v>184</v>
      </c>
      <c r="F647" s="26"/>
      <c r="G647" s="26" t="s">
        <v>1297</v>
      </c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4" t="s">
        <v>697</v>
      </c>
      <c r="B648" s="25">
        <v>1.94168206386E11</v>
      </c>
      <c r="C648" s="24" t="s">
        <v>477</v>
      </c>
      <c r="D648" s="24" t="s">
        <v>69</v>
      </c>
      <c r="E648" s="24" t="s">
        <v>35</v>
      </c>
      <c r="F648" s="26">
        <v>2412.0</v>
      </c>
      <c r="G648" s="26" t="s">
        <v>1699</v>
      </c>
      <c r="H648" s="26" t="s">
        <v>2247</v>
      </c>
      <c r="I648" s="26" t="s">
        <v>2248</v>
      </c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4" t="s">
        <v>698</v>
      </c>
      <c r="B649" s="25">
        <v>9.04157297454E11</v>
      </c>
      <c r="C649" s="24" t="s">
        <v>11</v>
      </c>
      <c r="D649" s="24" t="s">
        <v>25</v>
      </c>
      <c r="E649" s="24" t="s">
        <v>184</v>
      </c>
      <c r="F649" s="26">
        <v>2425.0</v>
      </c>
      <c r="G649" s="26" t="s">
        <v>74</v>
      </c>
      <c r="H649" s="26" t="s">
        <v>2249</v>
      </c>
      <c r="I649" s="26" t="s">
        <v>2250</v>
      </c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4" t="s">
        <v>699</v>
      </c>
      <c r="B650" s="25">
        <v>1.39146351896E11</v>
      </c>
      <c r="C650" s="24" t="s">
        <v>86</v>
      </c>
      <c r="D650" s="24" t="s">
        <v>203</v>
      </c>
      <c r="E650" s="24" t="s">
        <v>35</v>
      </c>
      <c r="F650" s="26">
        <v>2435.0</v>
      </c>
      <c r="G650" s="26" t="s">
        <v>759</v>
      </c>
      <c r="H650" s="26" t="s">
        <v>2251</v>
      </c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4" t="s">
        <v>700</v>
      </c>
      <c r="B651" s="25">
        <v>9.69151976052E11</v>
      </c>
      <c r="C651" s="24" t="s">
        <v>86</v>
      </c>
      <c r="D651" s="24" t="s">
        <v>47</v>
      </c>
      <c r="E651" s="24" t="s">
        <v>184</v>
      </c>
      <c r="F651" s="26">
        <v>2468.0</v>
      </c>
      <c r="G651" s="26" t="s">
        <v>759</v>
      </c>
      <c r="H651" s="26" t="s">
        <v>2252</v>
      </c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4" t="s">
        <v>701</v>
      </c>
      <c r="B652" s="25">
        <v>4.58171934281E11</v>
      </c>
      <c r="C652" s="24" t="s">
        <v>86</v>
      </c>
      <c r="D652" s="24" t="s">
        <v>25</v>
      </c>
      <c r="E652" s="24" t="s">
        <v>184</v>
      </c>
      <c r="F652" s="26">
        <v>2472.0</v>
      </c>
      <c r="G652" s="26" t="s">
        <v>1032</v>
      </c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4" t="s">
        <v>702</v>
      </c>
      <c r="B653" s="25">
        <v>9.25193924973E11</v>
      </c>
      <c r="C653" s="24" t="s">
        <v>11</v>
      </c>
      <c r="D653" s="24" t="s">
        <v>25</v>
      </c>
      <c r="E653" s="24" t="s">
        <v>35</v>
      </c>
      <c r="F653" s="26">
        <v>2487.0</v>
      </c>
      <c r="G653" s="26" t="s">
        <v>74</v>
      </c>
      <c r="H653" s="26" t="s">
        <v>2253</v>
      </c>
      <c r="I653" s="26" t="s">
        <v>2254</v>
      </c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4" t="s">
        <v>703</v>
      </c>
      <c r="B654" s="25">
        <v>6.75158027827E11</v>
      </c>
      <c r="C654" s="24" t="s">
        <v>303</v>
      </c>
      <c r="D654" s="24" t="s">
        <v>203</v>
      </c>
      <c r="E654" s="24" t="s">
        <v>35</v>
      </c>
      <c r="F654" s="26">
        <v>2492.0</v>
      </c>
      <c r="G654" s="26" t="s">
        <v>1297</v>
      </c>
      <c r="H654" s="26" t="s">
        <v>2255</v>
      </c>
      <c r="I654" s="26" t="s">
        <v>2256</v>
      </c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4" t="s">
        <v>704</v>
      </c>
      <c r="B655" s="25">
        <v>8.03173848636E11</v>
      </c>
      <c r="C655" s="24" t="s">
        <v>86</v>
      </c>
      <c r="D655" s="24" t="s">
        <v>126</v>
      </c>
      <c r="E655" s="24" t="s">
        <v>184</v>
      </c>
      <c r="F655" s="26">
        <v>2498.0</v>
      </c>
      <c r="G655" s="26" t="s">
        <v>759</v>
      </c>
      <c r="H655" s="26" t="s">
        <v>2257</v>
      </c>
      <c r="I655" s="26" t="s">
        <v>2258</v>
      </c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4" t="s">
        <v>705</v>
      </c>
      <c r="B656" s="25">
        <v>8.27159763903E11</v>
      </c>
      <c r="C656" s="24" t="s">
        <v>86</v>
      </c>
      <c r="D656" s="24" t="s">
        <v>250</v>
      </c>
      <c r="E656" s="24" t="s">
        <v>184</v>
      </c>
      <c r="F656" s="26">
        <v>2488.0</v>
      </c>
      <c r="G656" s="26" t="s">
        <v>1041</v>
      </c>
      <c r="H656" s="26" t="s">
        <v>2259</v>
      </c>
      <c r="I656" s="26" t="s">
        <v>2260</v>
      </c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4" t="s">
        <v>706</v>
      </c>
      <c r="B657" s="25" t="s">
        <v>2232</v>
      </c>
      <c r="C657" s="24" t="s">
        <v>11</v>
      </c>
      <c r="D657" s="24" t="s">
        <v>63</v>
      </c>
      <c r="E657" s="24" t="s">
        <v>184</v>
      </c>
      <c r="F657" s="26"/>
      <c r="G657" s="26" t="s">
        <v>905</v>
      </c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4" t="s">
        <v>707</v>
      </c>
      <c r="B658" s="25">
        <v>7.95161084548E11</v>
      </c>
      <c r="C658" s="24" t="s">
        <v>477</v>
      </c>
      <c r="D658" s="24" t="s">
        <v>608</v>
      </c>
      <c r="E658" s="24" t="s">
        <v>13</v>
      </c>
      <c r="F658" s="26">
        <v>2532.0</v>
      </c>
      <c r="G658" s="26"/>
      <c r="H658" s="26" t="s">
        <v>2261</v>
      </c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4" t="s">
        <v>708</v>
      </c>
      <c r="B659" s="25" t="s">
        <v>2232</v>
      </c>
      <c r="C659" s="24" t="s">
        <v>477</v>
      </c>
      <c r="D659" s="24" t="s">
        <v>25</v>
      </c>
      <c r="E659" s="24" t="s">
        <v>184</v>
      </c>
      <c r="F659" s="26"/>
      <c r="G659" s="26" t="s">
        <v>1807</v>
      </c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4" t="s">
        <v>709</v>
      </c>
      <c r="B660" s="25" t="s">
        <v>2232</v>
      </c>
      <c r="C660" s="24" t="s">
        <v>11</v>
      </c>
      <c r="D660" s="24" t="s">
        <v>63</v>
      </c>
      <c r="E660" s="24" t="s">
        <v>13</v>
      </c>
      <c r="F660" s="26"/>
      <c r="G660" s="26" t="s">
        <v>902</v>
      </c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4" t="s">
        <v>710</v>
      </c>
      <c r="B661" s="25">
        <v>6.38195271502E11</v>
      </c>
      <c r="C661" s="24" t="s">
        <v>303</v>
      </c>
      <c r="D661" s="24" t="s">
        <v>203</v>
      </c>
      <c r="E661" s="24" t="s">
        <v>13</v>
      </c>
      <c r="F661" s="26">
        <v>2559.0</v>
      </c>
      <c r="G661" s="26" t="s">
        <v>1297</v>
      </c>
      <c r="H661" s="26" t="s">
        <v>2262</v>
      </c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4" t="s">
        <v>711</v>
      </c>
      <c r="B662" s="25" t="s">
        <v>2232</v>
      </c>
      <c r="C662" s="24" t="s">
        <v>303</v>
      </c>
      <c r="D662" s="24" t="s">
        <v>25</v>
      </c>
      <c r="E662" s="24" t="s">
        <v>13</v>
      </c>
      <c r="F662" s="26"/>
      <c r="G662" s="26" t="s">
        <v>641</v>
      </c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4" t="s">
        <v>712</v>
      </c>
      <c r="B663" s="25">
        <v>3.67106989606E11</v>
      </c>
      <c r="C663" s="24" t="s">
        <v>303</v>
      </c>
      <c r="D663" s="24" t="s">
        <v>25</v>
      </c>
      <c r="E663" s="24" t="s">
        <v>184</v>
      </c>
      <c r="F663" s="26">
        <v>2585.0</v>
      </c>
      <c r="G663" s="26" t="s">
        <v>641</v>
      </c>
      <c r="H663" s="26" t="s">
        <v>2263</v>
      </c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4" t="s">
        <v>713</v>
      </c>
      <c r="B664" s="25">
        <v>7.46149714625E11</v>
      </c>
      <c r="C664" s="24" t="s">
        <v>86</v>
      </c>
      <c r="D664" s="24" t="s">
        <v>25</v>
      </c>
      <c r="E664" s="24" t="s">
        <v>184</v>
      </c>
      <c r="F664" s="26">
        <v>2591.0</v>
      </c>
      <c r="G664" s="26" t="s">
        <v>759</v>
      </c>
      <c r="H664" s="26" t="s">
        <v>2264</v>
      </c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4" t="s">
        <v>714</v>
      </c>
      <c r="B665" s="25">
        <v>2.35192420945E11</v>
      </c>
      <c r="C665" s="24" t="s">
        <v>303</v>
      </c>
      <c r="D665" s="24" t="s">
        <v>25</v>
      </c>
      <c r="E665" s="24" t="s">
        <v>35</v>
      </c>
      <c r="F665" s="26">
        <v>2606.0</v>
      </c>
      <c r="G665" s="26" t="s">
        <v>641</v>
      </c>
      <c r="H665" s="26" t="s">
        <v>2265</v>
      </c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4" t="s">
        <v>715</v>
      </c>
      <c r="B666" s="25">
        <v>1.75142750434E11</v>
      </c>
      <c r="C666" s="24" t="s">
        <v>11</v>
      </c>
      <c r="D666" s="24" t="s">
        <v>69</v>
      </c>
      <c r="E666" s="24" t="s">
        <v>184</v>
      </c>
      <c r="F666" s="26">
        <v>2600.0</v>
      </c>
      <c r="G666" s="26" t="s">
        <v>74</v>
      </c>
      <c r="H666" s="26" t="s">
        <v>2266</v>
      </c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4" t="s">
        <v>716</v>
      </c>
      <c r="B667" s="25">
        <v>1.5616543606E11</v>
      </c>
      <c r="C667" s="24" t="s">
        <v>303</v>
      </c>
      <c r="D667" s="24" t="s">
        <v>69</v>
      </c>
      <c r="E667" s="24" t="s">
        <v>184</v>
      </c>
      <c r="F667" s="26">
        <v>2599.0</v>
      </c>
      <c r="G667" s="26" t="s">
        <v>1794</v>
      </c>
      <c r="H667" s="26" t="s">
        <v>2267</v>
      </c>
      <c r="I667" s="26" t="s">
        <v>2268</v>
      </c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4" t="s">
        <v>717</v>
      </c>
      <c r="B668" s="25">
        <v>6.96138691285E11</v>
      </c>
      <c r="C668" s="24" t="s">
        <v>86</v>
      </c>
      <c r="D668" s="24" t="s">
        <v>47</v>
      </c>
      <c r="E668" s="24" t="s">
        <v>35</v>
      </c>
      <c r="F668" s="26">
        <v>2258.0</v>
      </c>
      <c r="G668" s="26" t="s">
        <v>759</v>
      </c>
      <c r="H668" s="26" t="s">
        <v>2269</v>
      </c>
      <c r="I668" s="26" t="s">
        <v>2270</v>
      </c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4" t="s">
        <v>718</v>
      </c>
      <c r="B669" s="25">
        <v>5.9616063024E11</v>
      </c>
      <c r="C669" s="24" t="s">
        <v>86</v>
      </c>
      <c r="D669" s="24" t="s">
        <v>47</v>
      </c>
      <c r="E669" s="24" t="s">
        <v>13</v>
      </c>
      <c r="F669" s="26">
        <v>2622.0</v>
      </c>
      <c r="G669" s="26" t="s">
        <v>759</v>
      </c>
      <c r="H669" s="26" t="s">
        <v>2271</v>
      </c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4" t="s">
        <v>719</v>
      </c>
      <c r="B670" s="25" t="s">
        <v>2232</v>
      </c>
      <c r="C670" s="24" t="s">
        <v>86</v>
      </c>
      <c r="D670" s="24" t="s">
        <v>69</v>
      </c>
      <c r="E670" s="24" t="s">
        <v>35</v>
      </c>
      <c r="F670" s="26"/>
      <c r="G670" s="26" t="s">
        <v>759</v>
      </c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4" t="s">
        <v>720</v>
      </c>
      <c r="B671" s="25">
        <v>8.28156185164E11</v>
      </c>
      <c r="C671" s="24" t="s">
        <v>86</v>
      </c>
      <c r="D671" s="24" t="s">
        <v>25</v>
      </c>
      <c r="E671" s="24" t="s">
        <v>35</v>
      </c>
      <c r="F671" s="26">
        <v>2646.0</v>
      </c>
      <c r="G671" s="26" t="s">
        <v>759</v>
      </c>
      <c r="H671" s="26" t="s">
        <v>2272</v>
      </c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4" t="s">
        <v>721</v>
      </c>
      <c r="B672" s="25">
        <v>3.05106396548E11</v>
      </c>
      <c r="C672" s="24" t="s">
        <v>303</v>
      </c>
      <c r="D672" s="24" t="s">
        <v>25</v>
      </c>
      <c r="E672" s="24" t="s">
        <v>35</v>
      </c>
      <c r="F672" s="26">
        <v>2641.0</v>
      </c>
      <c r="G672" s="26" t="s">
        <v>1297</v>
      </c>
      <c r="H672" s="26" t="s">
        <v>2273</v>
      </c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4" t="s">
        <v>722</v>
      </c>
      <c r="B673" s="25">
        <v>6.30141786235E11</v>
      </c>
      <c r="C673" s="24" t="s">
        <v>86</v>
      </c>
      <c r="D673" s="24" t="s">
        <v>69</v>
      </c>
      <c r="E673" s="24" t="s">
        <v>35</v>
      </c>
      <c r="F673" s="26">
        <v>2662.0</v>
      </c>
      <c r="G673" s="26" t="s">
        <v>759</v>
      </c>
      <c r="H673" s="26" t="s">
        <v>2274</v>
      </c>
      <c r="I673" s="26" t="s">
        <v>2275</v>
      </c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4" t="s">
        <v>723</v>
      </c>
      <c r="B674" s="25">
        <v>8.68143149757E11</v>
      </c>
      <c r="C674" s="24" t="s">
        <v>303</v>
      </c>
      <c r="D674" s="24" t="s">
        <v>63</v>
      </c>
      <c r="E674" s="24" t="s">
        <v>35</v>
      </c>
      <c r="F674" s="26">
        <v>2672.0</v>
      </c>
      <c r="G674" s="26" t="s">
        <v>1297</v>
      </c>
      <c r="H674" s="26" t="s">
        <v>2276</v>
      </c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4" t="s">
        <v>724</v>
      </c>
      <c r="B675" s="25" t="s">
        <v>2232</v>
      </c>
      <c r="C675" s="24" t="s">
        <v>303</v>
      </c>
      <c r="D675" s="24" t="s">
        <v>47</v>
      </c>
      <c r="E675" s="24" t="s">
        <v>13</v>
      </c>
      <c r="F675" s="26"/>
      <c r="G675" s="26" t="s">
        <v>1297</v>
      </c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4" t="s">
        <v>725</v>
      </c>
      <c r="B676" s="25">
        <v>6.43165236429E11</v>
      </c>
      <c r="C676" s="24" t="s">
        <v>303</v>
      </c>
      <c r="D676" s="24" t="s">
        <v>172</v>
      </c>
      <c r="E676" s="24" t="s">
        <v>35</v>
      </c>
      <c r="F676" s="26">
        <v>2655.0</v>
      </c>
      <c r="G676" s="26" t="s">
        <v>1297</v>
      </c>
      <c r="H676" s="26" t="s">
        <v>2277</v>
      </c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4" t="s">
        <v>726</v>
      </c>
      <c r="B677" s="25">
        <v>6.89156982321E11</v>
      </c>
      <c r="C677" s="24" t="s">
        <v>86</v>
      </c>
      <c r="D677" s="24" t="s">
        <v>172</v>
      </c>
      <c r="E677" s="24" t="s">
        <v>35</v>
      </c>
      <c r="F677" s="26">
        <v>2690.0</v>
      </c>
      <c r="G677" s="26" t="s">
        <v>759</v>
      </c>
      <c r="H677" s="26" t="s">
        <v>2278</v>
      </c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4" t="s">
        <v>727</v>
      </c>
      <c r="B678" s="25" t="s">
        <v>2232</v>
      </c>
      <c r="C678" s="24" t="s">
        <v>11</v>
      </c>
      <c r="D678" s="24" t="s">
        <v>69</v>
      </c>
      <c r="E678" s="24" t="s">
        <v>13</v>
      </c>
      <c r="F678" s="26"/>
      <c r="G678" s="26" t="s">
        <v>905</v>
      </c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4" t="s">
        <v>728</v>
      </c>
      <c r="B679" s="25">
        <v>7.67182953239E11</v>
      </c>
      <c r="C679" s="24" t="s">
        <v>11</v>
      </c>
      <c r="D679" s="24" t="s">
        <v>69</v>
      </c>
      <c r="E679" s="25" t="s">
        <v>9</v>
      </c>
      <c r="F679" s="26">
        <v>2688.0</v>
      </c>
      <c r="G679" s="26" t="s">
        <v>902</v>
      </c>
      <c r="H679" s="26" t="s">
        <v>2279</v>
      </c>
      <c r="I679" s="26" t="s">
        <v>2280</v>
      </c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4" t="s">
        <v>729</v>
      </c>
      <c r="B680" s="25" t="s">
        <v>2232</v>
      </c>
      <c r="C680" s="24" t="s">
        <v>11</v>
      </c>
      <c r="D680" s="24" t="s">
        <v>63</v>
      </c>
      <c r="E680" s="24" t="s">
        <v>13</v>
      </c>
      <c r="F680" s="26"/>
      <c r="G680" s="26" t="s">
        <v>902</v>
      </c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4" t="s">
        <v>730</v>
      </c>
      <c r="B681" s="25">
        <v>6.78163084015E11</v>
      </c>
      <c r="C681" s="24" t="s">
        <v>86</v>
      </c>
      <c r="D681" s="24" t="s">
        <v>172</v>
      </c>
      <c r="E681" s="24" t="s">
        <v>184</v>
      </c>
      <c r="F681" s="26">
        <v>2719.0</v>
      </c>
      <c r="G681" s="26" t="s">
        <v>759</v>
      </c>
      <c r="H681" s="26" t="s">
        <v>2281</v>
      </c>
      <c r="I681" s="26" t="s">
        <v>2282</v>
      </c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4" t="s">
        <v>731</v>
      </c>
      <c r="B682" s="25">
        <v>9.38102694209E11</v>
      </c>
      <c r="C682" s="24" t="s">
        <v>86</v>
      </c>
      <c r="D682" s="24" t="s">
        <v>47</v>
      </c>
      <c r="E682" s="24" t="s">
        <v>35</v>
      </c>
      <c r="F682" s="26">
        <v>2728.0</v>
      </c>
      <c r="G682" s="26" t="s">
        <v>2283</v>
      </c>
      <c r="H682" s="26" t="s">
        <v>2284</v>
      </c>
      <c r="I682" s="26" t="s">
        <v>2285</v>
      </c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4" t="s">
        <v>732</v>
      </c>
      <c r="B683" s="25">
        <v>9.13159713718E11</v>
      </c>
      <c r="C683" s="24" t="s">
        <v>477</v>
      </c>
      <c r="D683" s="24" t="s">
        <v>63</v>
      </c>
      <c r="E683" s="24" t="s">
        <v>35</v>
      </c>
      <c r="F683" s="26">
        <v>2738.0</v>
      </c>
      <c r="G683" s="26" t="s">
        <v>1807</v>
      </c>
      <c r="H683" s="26" t="s">
        <v>2286</v>
      </c>
      <c r="I683" s="26" t="s">
        <v>2287</v>
      </c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4" t="s">
        <v>733</v>
      </c>
      <c r="B684" s="25">
        <v>4.87176043708E11</v>
      </c>
      <c r="C684" s="24" t="s">
        <v>86</v>
      </c>
      <c r="D684" s="24" t="s">
        <v>172</v>
      </c>
      <c r="E684" s="24" t="s">
        <v>184</v>
      </c>
      <c r="F684" s="26">
        <v>2744.0</v>
      </c>
      <c r="G684" s="26" t="s">
        <v>759</v>
      </c>
      <c r="H684" s="26" t="s">
        <v>2288</v>
      </c>
      <c r="I684" s="26" t="s">
        <v>2289</v>
      </c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4" t="s">
        <v>734</v>
      </c>
      <c r="B685" s="25" t="s">
        <v>2232</v>
      </c>
      <c r="C685" s="24" t="s">
        <v>11</v>
      </c>
      <c r="D685" s="24" t="s">
        <v>69</v>
      </c>
      <c r="E685" s="24" t="s">
        <v>13</v>
      </c>
      <c r="F685" s="26"/>
      <c r="G685" s="26" t="s">
        <v>74</v>
      </c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4" t="s">
        <v>735</v>
      </c>
      <c r="B686" s="25" t="s">
        <v>2232</v>
      </c>
      <c r="C686" s="24" t="s">
        <v>303</v>
      </c>
      <c r="D686" s="24" t="s">
        <v>172</v>
      </c>
      <c r="E686" s="24" t="s">
        <v>35</v>
      </c>
      <c r="F686" s="26"/>
      <c r="G686" s="26" t="s">
        <v>1032</v>
      </c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4" t="s">
        <v>736</v>
      </c>
      <c r="B687" s="25" t="s">
        <v>2232</v>
      </c>
      <c r="C687" s="24" t="s">
        <v>303</v>
      </c>
      <c r="D687" s="24" t="s">
        <v>172</v>
      </c>
      <c r="E687" s="24" t="s">
        <v>13</v>
      </c>
      <c r="F687" s="26"/>
      <c r="G687" s="26" t="s">
        <v>1032</v>
      </c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4" t="s">
        <v>737</v>
      </c>
      <c r="B688" s="25">
        <v>5.97190609069E11</v>
      </c>
      <c r="C688" s="24" t="s">
        <v>86</v>
      </c>
      <c r="D688" s="24" t="s">
        <v>25</v>
      </c>
      <c r="E688" s="24" t="s">
        <v>184</v>
      </c>
      <c r="F688" s="26">
        <v>2769.0</v>
      </c>
      <c r="G688" s="26" t="s">
        <v>1041</v>
      </c>
      <c r="H688" s="26" t="s">
        <v>2290</v>
      </c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4" t="s">
        <v>738</v>
      </c>
      <c r="B689" s="25" t="s">
        <v>2232</v>
      </c>
      <c r="C689" s="24" t="s">
        <v>86</v>
      </c>
      <c r="D689" s="24" t="s">
        <v>126</v>
      </c>
      <c r="E689" s="24" t="s">
        <v>13</v>
      </c>
      <c r="F689" s="26"/>
      <c r="G689" s="26" t="s">
        <v>759</v>
      </c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4" t="s">
        <v>739</v>
      </c>
      <c r="B690" s="25" t="s">
        <v>2232</v>
      </c>
      <c r="C690" s="24" t="s">
        <v>303</v>
      </c>
      <c r="D690" s="24" t="s">
        <v>69</v>
      </c>
      <c r="E690" s="24" t="s">
        <v>13</v>
      </c>
      <c r="F690" s="26"/>
      <c r="G690" s="26" t="s">
        <v>641</v>
      </c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4" t="s">
        <v>740</v>
      </c>
      <c r="B691" s="25">
        <v>8.37150415794E11</v>
      </c>
      <c r="C691" s="24" t="s">
        <v>11</v>
      </c>
      <c r="D691" s="24" t="s">
        <v>47</v>
      </c>
      <c r="E691" s="24" t="s">
        <v>35</v>
      </c>
      <c r="F691" s="26">
        <v>2776.0</v>
      </c>
      <c r="G691" s="26" t="s">
        <v>902</v>
      </c>
      <c r="H691" s="26" t="s">
        <v>2291</v>
      </c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4" t="s">
        <v>741</v>
      </c>
      <c r="B692" s="25">
        <v>5.40154691675E11</v>
      </c>
      <c r="C692" s="24" t="s">
        <v>86</v>
      </c>
      <c r="D692" s="24" t="s">
        <v>172</v>
      </c>
      <c r="E692" s="24" t="s">
        <v>184</v>
      </c>
      <c r="F692" s="26">
        <v>2788.0</v>
      </c>
      <c r="G692" s="26" t="s">
        <v>1046</v>
      </c>
      <c r="H692" s="26" t="s">
        <v>2292</v>
      </c>
      <c r="I692" s="26" t="s">
        <v>2293</v>
      </c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4" t="s">
        <v>742</v>
      </c>
      <c r="B693" s="25">
        <v>7.8212454179E11</v>
      </c>
      <c r="C693" s="24" t="s">
        <v>11</v>
      </c>
      <c r="D693" s="24" t="s">
        <v>25</v>
      </c>
      <c r="E693" s="24" t="s">
        <v>184</v>
      </c>
      <c r="F693" s="26">
        <v>2789.0</v>
      </c>
      <c r="G693" s="26" t="s">
        <v>891</v>
      </c>
      <c r="H693" s="26" t="s">
        <v>2294</v>
      </c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4" t="s">
        <v>743</v>
      </c>
      <c r="B694" s="25" t="s">
        <v>2232</v>
      </c>
      <c r="C694" s="24" t="s">
        <v>11</v>
      </c>
      <c r="D694" s="24" t="s">
        <v>25</v>
      </c>
      <c r="E694" s="24" t="s">
        <v>13</v>
      </c>
      <c r="F694" s="26"/>
      <c r="G694" s="26" t="s">
        <v>902</v>
      </c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4" t="s">
        <v>744</v>
      </c>
      <c r="B695" s="25" t="s">
        <v>2232</v>
      </c>
      <c r="C695" s="24" t="s">
        <v>86</v>
      </c>
      <c r="D695" s="24" t="s">
        <v>63</v>
      </c>
      <c r="E695" s="24" t="s">
        <v>13</v>
      </c>
      <c r="F695" s="26"/>
      <c r="G695" s="26" t="s">
        <v>1046</v>
      </c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4" t="s">
        <v>745</v>
      </c>
      <c r="B696" s="25" t="s">
        <v>2232</v>
      </c>
      <c r="C696" s="24" t="s">
        <v>303</v>
      </c>
      <c r="D696" s="24" t="s">
        <v>63</v>
      </c>
      <c r="E696" s="24" t="s">
        <v>13</v>
      </c>
      <c r="F696" s="26"/>
      <c r="G696" s="26" t="s">
        <v>1297</v>
      </c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4" t="s">
        <v>746</v>
      </c>
      <c r="B697" s="25">
        <v>9.60189502368E11</v>
      </c>
      <c r="C697" s="24" t="s">
        <v>11</v>
      </c>
      <c r="D697" s="24" t="s">
        <v>25</v>
      </c>
      <c r="E697" s="24" t="s">
        <v>184</v>
      </c>
      <c r="F697" s="26">
        <v>2786.0</v>
      </c>
      <c r="G697" s="26" t="s">
        <v>74</v>
      </c>
      <c r="H697" s="26" t="s">
        <v>2295</v>
      </c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4" t="s">
        <v>747</v>
      </c>
      <c r="B698" s="25" t="s">
        <v>2232</v>
      </c>
      <c r="C698" s="24" t="s">
        <v>11</v>
      </c>
      <c r="D698" s="24" t="s">
        <v>60</v>
      </c>
      <c r="E698" s="24" t="s">
        <v>13</v>
      </c>
      <c r="F698" s="26"/>
      <c r="G698" s="26" t="s">
        <v>74</v>
      </c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4" t="s">
        <v>748</v>
      </c>
      <c r="B699" s="25" t="s">
        <v>2232</v>
      </c>
      <c r="C699" s="24" t="s">
        <v>11</v>
      </c>
      <c r="D699" s="24" t="s">
        <v>12</v>
      </c>
      <c r="E699" s="24" t="s">
        <v>13</v>
      </c>
      <c r="F699" s="26"/>
      <c r="G699" s="26" t="s">
        <v>74</v>
      </c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4" t="s">
        <v>749</v>
      </c>
      <c r="B700" s="25">
        <v>8.0310494674E11</v>
      </c>
      <c r="C700" s="24" t="s">
        <v>86</v>
      </c>
      <c r="D700" s="24" t="s">
        <v>126</v>
      </c>
      <c r="E700" s="25" t="s">
        <v>9</v>
      </c>
      <c r="F700" s="26">
        <v>2754.0</v>
      </c>
      <c r="G700" s="26" t="s">
        <v>759</v>
      </c>
      <c r="H700" s="26" t="s">
        <v>2296</v>
      </c>
      <c r="I700" s="26" t="s">
        <v>2297</v>
      </c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4" t="s">
        <v>750</v>
      </c>
      <c r="B701" s="25">
        <v>4.07151345617E11</v>
      </c>
      <c r="C701" s="24" t="s">
        <v>11</v>
      </c>
      <c r="D701" s="24" t="s">
        <v>47</v>
      </c>
      <c r="E701" s="25" t="s">
        <v>9</v>
      </c>
      <c r="F701" s="26">
        <v>2819.0</v>
      </c>
      <c r="G701" s="26" t="s">
        <v>74</v>
      </c>
      <c r="H701" s="26" t="s">
        <v>2298</v>
      </c>
      <c r="I701" s="26" t="s">
        <v>2299</v>
      </c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4" t="s">
        <v>751</v>
      </c>
      <c r="B702" s="25">
        <v>4.74179052159E11</v>
      </c>
      <c r="C702" s="24" t="s">
        <v>86</v>
      </c>
      <c r="D702" s="24" t="s">
        <v>25</v>
      </c>
      <c r="E702" s="24" t="s">
        <v>13</v>
      </c>
      <c r="F702" s="26">
        <v>2829.0</v>
      </c>
      <c r="G702" s="26" t="s">
        <v>1032</v>
      </c>
      <c r="H702" s="26" t="s">
        <v>2300</v>
      </c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4" t="s">
        <v>752</v>
      </c>
      <c r="B703" s="25">
        <v>4.0514039285E11</v>
      </c>
      <c r="C703" s="24" t="s">
        <v>86</v>
      </c>
      <c r="D703" s="24" t="s">
        <v>203</v>
      </c>
      <c r="E703" s="25" t="s">
        <v>9</v>
      </c>
      <c r="F703" s="26">
        <v>2820.0</v>
      </c>
      <c r="G703" s="26" t="s">
        <v>1046</v>
      </c>
      <c r="H703" s="26" t="s">
        <v>2301</v>
      </c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4" t="s">
        <v>753</v>
      </c>
      <c r="B704" s="25">
        <v>4.64168323849E11</v>
      </c>
      <c r="C704" s="24" t="s">
        <v>11</v>
      </c>
      <c r="D704" s="24" t="s">
        <v>12</v>
      </c>
      <c r="E704" s="24" t="s">
        <v>13</v>
      </c>
      <c r="F704" s="26">
        <v>2822.0</v>
      </c>
      <c r="G704" s="26" t="s">
        <v>74</v>
      </c>
      <c r="H704" s="26" t="s">
        <v>2302</v>
      </c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4" t="s">
        <v>754</v>
      </c>
      <c r="B705" s="25">
        <v>5.13101076505E11</v>
      </c>
      <c r="C705" s="24" t="s">
        <v>86</v>
      </c>
      <c r="D705" s="24" t="s">
        <v>203</v>
      </c>
      <c r="E705" s="25" t="s">
        <v>9</v>
      </c>
      <c r="F705" s="26">
        <v>2821.0</v>
      </c>
      <c r="G705" s="26" t="s">
        <v>1046</v>
      </c>
      <c r="H705" s="26" t="s">
        <v>2303</v>
      </c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4" t="s">
        <v>755</v>
      </c>
      <c r="B706" s="25">
        <v>6.09181324791E11</v>
      </c>
      <c r="C706" s="24" t="s">
        <v>11</v>
      </c>
      <c r="D706" s="24" t="s">
        <v>25</v>
      </c>
      <c r="E706" s="24" t="s">
        <v>184</v>
      </c>
      <c r="F706" s="26">
        <v>2512.0</v>
      </c>
      <c r="G706" s="26" t="s">
        <v>74</v>
      </c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4" t="s">
        <v>756</v>
      </c>
      <c r="B707" s="25">
        <v>1.89136923623E11</v>
      </c>
      <c r="C707" s="24" t="s">
        <v>86</v>
      </c>
      <c r="D707" s="24" t="s">
        <v>250</v>
      </c>
      <c r="E707" s="24" t="s">
        <v>13</v>
      </c>
      <c r="F707" s="26">
        <v>2542.0</v>
      </c>
      <c r="G707" s="26" t="s">
        <v>759</v>
      </c>
      <c r="H707" s="26" t="s">
        <v>2304</v>
      </c>
      <c r="I707" s="26" t="s">
        <v>2305</v>
      </c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4" t="s">
        <v>757</v>
      </c>
      <c r="B708" s="25">
        <v>8.78128791902E11</v>
      </c>
      <c r="C708" s="24" t="s">
        <v>303</v>
      </c>
      <c r="D708" s="24" t="s">
        <v>69</v>
      </c>
      <c r="E708" s="25" t="s">
        <v>9</v>
      </c>
      <c r="F708" s="26">
        <v>2638.0</v>
      </c>
      <c r="G708" s="26" t="s">
        <v>1032</v>
      </c>
      <c r="H708" s="26" t="s">
        <v>2306</v>
      </c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4" t="s">
        <v>758</v>
      </c>
      <c r="B709" s="25">
        <v>5.16103937369E11</v>
      </c>
      <c r="C709" s="24" t="s">
        <v>86</v>
      </c>
      <c r="D709" s="24" t="s">
        <v>126</v>
      </c>
      <c r="E709" s="24" t="s">
        <v>35</v>
      </c>
      <c r="F709" s="25">
        <v>2079.0</v>
      </c>
      <c r="G709" s="25" t="s">
        <v>759</v>
      </c>
      <c r="H709" s="26" t="s">
        <v>2307</v>
      </c>
      <c r="I709" s="26" t="s">
        <v>2308</v>
      </c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4" t="s">
        <v>760</v>
      </c>
      <c r="B710" s="25">
        <v>5.1612308538E11</v>
      </c>
      <c r="C710" s="26"/>
      <c r="D710" s="26"/>
      <c r="E710" s="24" t="s">
        <v>35</v>
      </c>
      <c r="F710" s="26"/>
      <c r="G710" s="26"/>
      <c r="H710" s="26" t="s">
        <v>2309</v>
      </c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4" t="s">
        <v>761</v>
      </c>
      <c r="B711" s="25">
        <v>3.24151012329E11</v>
      </c>
      <c r="C711" s="26"/>
      <c r="D711" s="26"/>
      <c r="E711" s="24" t="s">
        <v>35</v>
      </c>
      <c r="F711" s="26"/>
      <c r="G711" s="26"/>
      <c r="H711" s="26" t="s">
        <v>2310</v>
      </c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4" t="s">
        <v>762</v>
      </c>
      <c r="B712" s="25">
        <v>4.16167232707E11</v>
      </c>
      <c r="C712" s="26" t="s">
        <v>86</v>
      </c>
      <c r="D712" s="26" t="s">
        <v>126</v>
      </c>
      <c r="E712" s="24" t="s">
        <v>9</v>
      </c>
      <c r="F712" s="27" t="s">
        <v>2311</v>
      </c>
      <c r="G712" s="25" t="s">
        <v>127</v>
      </c>
      <c r="H712" s="26" t="s">
        <v>2312</v>
      </c>
      <c r="I712" s="26" t="s">
        <v>2313</v>
      </c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4" t="s">
        <v>763</v>
      </c>
      <c r="B713" s="25">
        <v>8.73160320409E11</v>
      </c>
      <c r="C713" s="26"/>
      <c r="D713" s="26"/>
      <c r="E713" s="24" t="s">
        <v>184</v>
      </c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4" t="s">
        <v>764</v>
      </c>
      <c r="B714" s="25">
        <v>4.82158476754E11</v>
      </c>
      <c r="C714" s="26"/>
      <c r="D714" s="26"/>
      <c r="E714" s="24" t="s">
        <v>184</v>
      </c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4" t="s">
        <v>765</v>
      </c>
      <c r="B715" s="25">
        <v>7.85160848368E11</v>
      </c>
      <c r="C715" s="26"/>
      <c r="D715" s="26"/>
      <c r="E715" s="24" t="s">
        <v>184</v>
      </c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4" t="s">
        <v>766</v>
      </c>
      <c r="B716" s="25">
        <v>9.56195390908E11</v>
      </c>
      <c r="C716" s="26"/>
      <c r="D716" s="26"/>
      <c r="E716" s="24" t="s">
        <v>184</v>
      </c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4" t="s">
        <v>767</v>
      </c>
      <c r="B717" s="25">
        <v>8.02195734191E11</v>
      </c>
      <c r="C717" s="26"/>
      <c r="D717" s="26"/>
      <c r="E717" s="24" t="s">
        <v>184</v>
      </c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4" t="s">
        <v>768</v>
      </c>
      <c r="B718" s="25">
        <v>5.42163764786E11</v>
      </c>
      <c r="C718" s="26"/>
      <c r="D718" s="26"/>
      <c r="E718" s="24" t="s">
        <v>184</v>
      </c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4" t="s">
        <v>769</v>
      </c>
      <c r="B719" s="25">
        <v>9.43182573596E11</v>
      </c>
      <c r="C719" s="26"/>
      <c r="D719" s="26"/>
      <c r="E719" s="24" t="s">
        <v>35</v>
      </c>
      <c r="F719" s="26"/>
      <c r="G719" s="26"/>
      <c r="H719" s="26" t="s">
        <v>2314</v>
      </c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4" t="s">
        <v>770</v>
      </c>
      <c r="B720" s="25">
        <v>9.63108518023E11</v>
      </c>
      <c r="C720" s="26"/>
      <c r="D720" s="26"/>
      <c r="E720" s="24" t="s">
        <v>35</v>
      </c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4" t="s">
        <v>771</v>
      </c>
      <c r="B721" s="25">
        <v>5.14126712393E11</v>
      </c>
      <c r="C721" s="26" t="s">
        <v>11</v>
      </c>
      <c r="D721" s="26" t="s">
        <v>25</v>
      </c>
      <c r="E721" s="25" t="s">
        <v>9</v>
      </c>
      <c r="F721" s="26">
        <v>2827.0</v>
      </c>
      <c r="G721" s="26" t="s">
        <v>74</v>
      </c>
      <c r="H721" s="26" t="s">
        <v>2315</v>
      </c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4" t="s">
        <v>772</v>
      </c>
      <c r="B722" s="25">
        <v>3.52134305787E11</v>
      </c>
      <c r="C722" s="26"/>
      <c r="D722" s="26"/>
      <c r="E722" s="24" t="s">
        <v>384</v>
      </c>
      <c r="F722" s="27" t="s">
        <v>2316</v>
      </c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4" t="s">
        <v>773</v>
      </c>
      <c r="B723" s="25">
        <v>4.37189298603E11</v>
      </c>
      <c r="C723" s="26"/>
      <c r="D723" s="26"/>
      <c r="E723" s="24" t="s">
        <v>384</v>
      </c>
      <c r="F723" s="27" t="s">
        <v>2317</v>
      </c>
      <c r="G723" s="26" t="s">
        <v>1858</v>
      </c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4" t="s">
        <v>774</v>
      </c>
      <c r="B724" s="25">
        <v>5.94131489651E11</v>
      </c>
      <c r="C724" s="26"/>
      <c r="D724" s="26"/>
      <c r="E724" s="24" t="s">
        <v>384</v>
      </c>
      <c r="F724" s="26">
        <v>1926.0</v>
      </c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4" t="s">
        <v>775</v>
      </c>
      <c r="B725" s="25">
        <v>8.48146561605E11</v>
      </c>
      <c r="C725" s="26"/>
      <c r="D725" s="26"/>
      <c r="E725" s="24" t="s">
        <v>384</v>
      </c>
      <c r="F725" s="27" t="s">
        <v>2318</v>
      </c>
      <c r="G725" s="25" t="s">
        <v>776</v>
      </c>
      <c r="H725" s="26" t="s">
        <v>2319</v>
      </c>
      <c r="I725" s="26" t="s">
        <v>2320</v>
      </c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4" t="s">
        <v>777</v>
      </c>
      <c r="B726" s="25">
        <v>2.58141760167E11</v>
      </c>
      <c r="C726" s="26"/>
      <c r="D726" s="26"/>
      <c r="E726" s="24" t="s">
        <v>384</v>
      </c>
      <c r="F726" s="27" t="s">
        <v>2321</v>
      </c>
      <c r="G726" s="26" t="s">
        <v>596</v>
      </c>
      <c r="H726" s="26" t="s">
        <v>2322</v>
      </c>
      <c r="I726" s="26" t="s">
        <v>2323</v>
      </c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4" t="s">
        <v>778</v>
      </c>
      <c r="B727" s="25">
        <v>5.35169286572E11</v>
      </c>
      <c r="C727" s="26"/>
      <c r="D727" s="26"/>
      <c r="E727" s="24" t="s">
        <v>384</v>
      </c>
      <c r="F727" s="27">
        <v>1980.0</v>
      </c>
      <c r="G727" s="26"/>
      <c r="H727" s="26" t="s">
        <v>2324</v>
      </c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4" t="s">
        <v>779</v>
      </c>
      <c r="B728" s="25">
        <v>2.85163691768E11</v>
      </c>
      <c r="C728" s="26"/>
      <c r="D728" s="26"/>
      <c r="E728" s="24" t="s">
        <v>384</v>
      </c>
      <c r="F728" s="27" t="s">
        <v>2325</v>
      </c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4" t="s">
        <v>780</v>
      </c>
      <c r="B729" s="25">
        <v>1.0217930543E11</v>
      </c>
      <c r="C729" s="26"/>
      <c r="D729" s="26"/>
      <c r="E729" s="24" t="s">
        <v>384</v>
      </c>
      <c r="F729" s="26">
        <v>2022.0</v>
      </c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4" t="s">
        <v>781</v>
      </c>
      <c r="B730" s="25">
        <v>7.97194713202E11</v>
      </c>
      <c r="C730" s="26"/>
      <c r="D730" s="26"/>
      <c r="E730" s="24" t="s">
        <v>384</v>
      </c>
      <c r="F730" s="27" t="s">
        <v>2326</v>
      </c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4" t="s">
        <v>782</v>
      </c>
      <c r="B731" s="25">
        <v>1.07149593948E11</v>
      </c>
      <c r="C731" s="26"/>
      <c r="D731" s="26"/>
      <c r="E731" s="24" t="s">
        <v>384</v>
      </c>
      <c r="F731" s="26">
        <v>2095.0</v>
      </c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4" t="s">
        <v>783</v>
      </c>
      <c r="B732" s="25">
        <v>4.35147575802E11</v>
      </c>
      <c r="C732" s="26"/>
      <c r="D732" s="26"/>
      <c r="E732" s="24" t="s">
        <v>384</v>
      </c>
      <c r="F732" s="27" t="s">
        <v>2327</v>
      </c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4" t="s">
        <v>784</v>
      </c>
      <c r="B733" s="25">
        <v>4.72109857194E11</v>
      </c>
      <c r="C733" s="26"/>
      <c r="D733" s="26"/>
      <c r="E733" s="24" t="s">
        <v>384</v>
      </c>
      <c r="F733" s="27" t="s">
        <v>2328</v>
      </c>
      <c r="G733" s="26" t="s">
        <v>596</v>
      </c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4" t="s">
        <v>785</v>
      </c>
      <c r="B734" s="25">
        <v>4.80107524608E11</v>
      </c>
      <c r="C734" s="26"/>
      <c r="D734" s="26"/>
      <c r="E734" s="24" t="s">
        <v>384</v>
      </c>
      <c r="F734" s="27" t="s">
        <v>2329</v>
      </c>
      <c r="G734" s="26" t="s">
        <v>1041</v>
      </c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4" t="s">
        <v>786</v>
      </c>
      <c r="B735" s="25">
        <v>2.79185808176E11</v>
      </c>
      <c r="C735" s="26"/>
      <c r="D735" s="26"/>
      <c r="E735" s="24" t="s">
        <v>384</v>
      </c>
      <c r="F735" s="27" t="s">
        <v>2330</v>
      </c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4" t="s">
        <v>787</v>
      </c>
      <c r="B736" s="25">
        <v>2.38140327279E11</v>
      </c>
      <c r="C736" s="26"/>
      <c r="D736" s="26"/>
      <c r="E736" s="24" t="s">
        <v>384</v>
      </c>
      <c r="F736" s="26">
        <v>2350.0</v>
      </c>
      <c r="G736" s="26" t="s">
        <v>1297</v>
      </c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4" t="s">
        <v>788</v>
      </c>
      <c r="B737" s="25">
        <v>8.04162065074E11</v>
      </c>
      <c r="C737" s="26"/>
      <c r="D737" s="26"/>
      <c r="E737" s="24" t="s">
        <v>384</v>
      </c>
      <c r="F737" s="26">
        <v>2453.0</v>
      </c>
      <c r="G737" s="26" t="s">
        <v>1297</v>
      </c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4" t="s">
        <v>789</v>
      </c>
      <c r="B738" s="25">
        <v>7.4216490696E11</v>
      </c>
      <c r="C738" s="26"/>
      <c r="D738" s="26"/>
      <c r="E738" s="24" t="s">
        <v>384</v>
      </c>
      <c r="F738" s="26">
        <v>2051.0</v>
      </c>
      <c r="G738" s="26"/>
      <c r="H738" s="26" t="s">
        <v>2331</v>
      </c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4" t="s">
        <v>790</v>
      </c>
      <c r="B739" s="25">
        <v>9.6018609539E11</v>
      </c>
      <c r="C739" s="26"/>
      <c r="D739" s="26"/>
      <c r="E739" s="24" t="s">
        <v>384</v>
      </c>
      <c r="F739" s="26">
        <v>2587.0</v>
      </c>
      <c r="G739" s="26" t="s">
        <v>74</v>
      </c>
      <c r="H739" s="26" t="s">
        <v>2332</v>
      </c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4" t="s">
        <v>791</v>
      </c>
      <c r="B740" s="25">
        <v>3.89136139475E11</v>
      </c>
      <c r="C740" s="26" t="s">
        <v>11</v>
      </c>
      <c r="D740" s="26" t="s">
        <v>47</v>
      </c>
      <c r="E740" s="25" t="s">
        <v>9</v>
      </c>
      <c r="F740" s="26">
        <v>2834.0</v>
      </c>
      <c r="G740" s="26" t="s">
        <v>74</v>
      </c>
      <c r="H740" s="26" t="s">
        <v>2333</v>
      </c>
      <c r="I740" s="25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8" t="s">
        <v>792</v>
      </c>
      <c r="B741" s="25">
        <v>5.84170187314E11</v>
      </c>
      <c r="C741" s="26" t="s">
        <v>86</v>
      </c>
      <c r="D741" s="26" t="s">
        <v>25</v>
      </c>
      <c r="E741" s="25" t="s">
        <v>9</v>
      </c>
      <c r="F741" s="25">
        <v>2823.0</v>
      </c>
      <c r="G741" s="25" t="s">
        <v>1032</v>
      </c>
      <c r="H741" s="25" t="s">
        <v>2334</v>
      </c>
      <c r="I741" s="25">
        <v>1.28255595E9</v>
      </c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4" t="s">
        <v>793</v>
      </c>
      <c r="B742" s="25">
        <v>4.18150453208E11</v>
      </c>
      <c r="C742" s="26" t="s">
        <v>11</v>
      </c>
      <c r="D742" s="26" t="s">
        <v>25</v>
      </c>
      <c r="E742" s="25" t="s">
        <v>9</v>
      </c>
      <c r="F742" s="26">
        <v>2840.0</v>
      </c>
      <c r="G742" s="26" t="s">
        <v>74</v>
      </c>
      <c r="H742" s="26" t="s">
        <v>2335</v>
      </c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4" t="s">
        <v>794</v>
      </c>
      <c r="B743" s="25">
        <v>5.9210284371E11</v>
      </c>
      <c r="C743" s="24" t="s">
        <v>303</v>
      </c>
      <c r="D743" s="24" t="s">
        <v>63</v>
      </c>
      <c r="E743" s="24" t="s">
        <v>13</v>
      </c>
      <c r="F743" s="26">
        <v>2841.0</v>
      </c>
      <c r="G743" s="26" t="s">
        <v>1297</v>
      </c>
      <c r="H743" s="26" t="s">
        <v>2336</v>
      </c>
      <c r="I743" s="26">
        <v>1.003571622E9</v>
      </c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4" t="s">
        <v>795</v>
      </c>
      <c r="B744" s="25">
        <v>6.53130960231E11</v>
      </c>
      <c r="C744" s="24" t="s">
        <v>303</v>
      </c>
      <c r="D744" s="24" t="s">
        <v>63</v>
      </c>
      <c r="E744" s="25" t="s">
        <v>9</v>
      </c>
      <c r="F744" s="26">
        <v>2839.0</v>
      </c>
      <c r="G744" s="26" t="s">
        <v>1297</v>
      </c>
      <c r="H744" s="26" t="s">
        <v>2337</v>
      </c>
      <c r="I744" s="26" t="s">
        <v>2338</v>
      </c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4" t="s">
        <v>796</v>
      </c>
      <c r="B745" s="25">
        <v>1.27152579046E11</v>
      </c>
      <c r="C745" s="24" t="s">
        <v>86</v>
      </c>
      <c r="D745" s="24" t="s">
        <v>25</v>
      </c>
      <c r="E745" s="25" t="s">
        <v>9</v>
      </c>
      <c r="F745" s="26">
        <v>2842.0</v>
      </c>
      <c r="G745" s="26" t="s">
        <v>1046</v>
      </c>
      <c r="H745" s="26" t="s">
        <v>2339</v>
      </c>
      <c r="I745" s="26" t="s">
        <v>2340</v>
      </c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4" t="s">
        <v>797</v>
      </c>
      <c r="B746" s="25">
        <v>6.85194251845E11</v>
      </c>
      <c r="C746" s="26" t="s">
        <v>11</v>
      </c>
      <c r="D746" s="24" t="s">
        <v>63</v>
      </c>
      <c r="E746" s="24" t="s">
        <v>13</v>
      </c>
      <c r="F746" s="26">
        <v>2846.0</v>
      </c>
      <c r="G746" s="26" t="s">
        <v>74</v>
      </c>
      <c r="H746" s="26" t="s">
        <v>2341</v>
      </c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4" t="s">
        <v>798</v>
      </c>
      <c r="B747" s="25"/>
      <c r="C747" s="26" t="s">
        <v>303</v>
      </c>
      <c r="D747" s="24" t="s">
        <v>25</v>
      </c>
      <c r="E747" s="24" t="s">
        <v>35</v>
      </c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4" t="s">
        <v>799</v>
      </c>
      <c r="B748" s="25">
        <v>6.35140735816E11</v>
      </c>
      <c r="C748" s="24" t="s">
        <v>303</v>
      </c>
      <c r="D748" s="24" t="s">
        <v>25</v>
      </c>
      <c r="E748" s="25" t="s">
        <v>9</v>
      </c>
      <c r="F748" s="26">
        <v>2848.0</v>
      </c>
      <c r="G748" s="26" t="s">
        <v>641</v>
      </c>
      <c r="H748" s="26" t="s">
        <v>2342</v>
      </c>
      <c r="I748" s="26" t="s">
        <v>2343</v>
      </c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4" t="s">
        <v>800</v>
      </c>
      <c r="B749" s="25"/>
      <c r="C749" s="26" t="s">
        <v>303</v>
      </c>
      <c r="D749" s="24" t="s">
        <v>25</v>
      </c>
      <c r="E749" s="24" t="s">
        <v>13</v>
      </c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4" t="s">
        <v>801</v>
      </c>
      <c r="B750" s="25">
        <v>4.58108584108E11</v>
      </c>
      <c r="C750" s="24" t="s">
        <v>477</v>
      </c>
      <c r="D750" s="24" t="s">
        <v>802</v>
      </c>
      <c r="E750" s="24" t="s">
        <v>13</v>
      </c>
      <c r="F750" s="26">
        <v>2851.0</v>
      </c>
      <c r="G750" s="26" t="s">
        <v>2344</v>
      </c>
      <c r="H750" s="26" t="s">
        <v>2345</v>
      </c>
      <c r="I750" s="26" t="s">
        <v>2346</v>
      </c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4" t="s">
        <v>803</v>
      </c>
      <c r="B751" s="25"/>
      <c r="C751" s="24"/>
      <c r="D751" s="24" t="s">
        <v>478</v>
      </c>
      <c r="E751" s="24" t="s">
        <v>184</v>
      </c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4" t="s">
        <v>804</v>
      </c>
      <c r="B752" s="25">
        <v>3.19189603602E11</v>
      </c>
      <c r="C752" s="24" t="s">
        <v>303</v>
      </c>
      <c r="D752" s="24" t="s">
        <v>203</v>
      </c>
      <c r="E752" s="25" t="s">
        <v>9</v>
      </c>
      <c r="F752" s="26">
        <v>2850.0</v>
      </c>
      <c r="G752" s="26" t="s">
        <v>1297</v>
      </c>
      <c r="H752" s="26" t="s">
        <v>2347</v>
      </c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4" t="s">
        <v>805</v>
      </c>
      <c r="B753" s="25">
        <v>3.62130914353E11</v>
      </c>
      <c r="C753" s="24" t="s">
        <v>86</v>
      </c>
      <c r="D753" s="24" t="s">
        <v>25</v>
      </c>
      <c r="E753" s="25" t="s">
        <v>9</v>
      </c>
      <c r="F753" s="26">
        <v>2852.0</v>
      </c>
      <c r="G753" s="26" t="s">
        <v>1276</v>
      </c>
      <c r="H753" s="26" t="s">
        <v>2348</v>
      </c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4" t="s">
        <v>806</v>
      </c>
      <c r="B754" s="25">
        <v>8.25149219294E11</v>
      </c>
      <c r="C754" s="26" t="s">
        <v>303</v>
      </c>
      <c r="D754" s="24" t="s">
        <v>172</v>
      </c>
      <c r="E754" s="25" t="s">
        <v>9</v>
      </c>
      <c r="F754" s="26">
        <v>2832.0</v>
      </c>
      <c r="G754" s="26" t="s">
        <v>1297</v>
      </c>
      <c r="H754" s="26" t="s">
        <v>2349</v>
      </c>
      <c r="I754" s="26" t="s">
        <v>2350</v>
      </c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4" t="s">
        <v>807</v>
      </c>
      <c r="B755" s="25"/>
      <c r="C755" s="24" t="s">
        <v>303</v>
      </c>
      <c r="D755" s="24" t="s">
        <v>203</v>
      </c>
      <c r="E755" s="24" t="s">
        <v>13</v>
      </c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4" t="s">
        <v>808</v>
      </c>
      <c r="B756" s="25">
        <v>5.18178303713E11</v>
      </c>
      <c r="C756" s="24" t="s">
        <v>303</v>
      </c>
      <c r="D756" s="24" t="s">
        <v>69</v>
      </c>
      <c r="E756" s="24" t="s">
        <v>13</v>
      </c>
      <c r="F756" s="26">
        <v>2855.0</v>
      </c>
      <c r="G756" s="26" t="s">
        <v>1297</v>
      </c>
      <c r="H756" s="26" t="s">
        <v>2351</v>
      </c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4" t="s">
        <v>809</v>
      </c>
      <c r="B757" s="25">
        <v>5.48153953842E11</v>
      </c>
      <c r="C757" s="24" t="s">
        <v>86</v>
      </c>
      <c r="D757" s="24" t="s">
        <v>69</v>
      </c>
      <c r="E757" s="24" t="s">
        <v>13</v>
      </c>
      <c r="F757" s="26">
        <v>2856.0</v>
      </c>
      <c r="G757" s="26" t="s">
        <v>1276</v>
      </c>
      <c r="H757" s="26" t="s">
        <v>2352</v>
      </c>
      <c r="I757" s="26" t="s">
        <v>2353</v>
      </c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4" t="s">
        <v>810</v>
      </c>
      <c r="B758" s="25">
        <v>8.08184307649E11</v>
      </c>
      <c r="C758" s="24" t="s">
        <v>303</v>
      </c>
      <c r="D758" s="24" t="s">
        <v>172</v>
      </c>
      <c r="E758" s="25" t="s">
        <v>9</v>
      </c>
      <c r="F758" s="26">
        <v>2873.0</v>
      </c>
      <c r="G758" s="26" t="s">
        <v>1297</v>
      </c>
      <c r="H758" s="26" t="s">
        <v>2354</v>
      </c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4" t="s">
        <v>811</v>
      </c>
      <c r="B759" s="25">
        <v>8.76191464085E11</v>
      </c>
      <c r="C759" s="24" t="s">
        <v>86</v>
      </c>
      <c r="D759" s="24" t="s">
        <v>203</v>
      </c>
      <c r="E759" s="25" t="s">
        <v>9</v>
      </c>
      <c r="F759" s="26"/>
      <c r="G759" s="26" t="s">
        <v>1046</v>
      </c>
      <c r="H759" s="26" t="s">
        <v>2355</v>
      </c>
      <c r="I759" s="26" t="s">
        <v>2356</v>
      </c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4" t="s">
        <v>812</v>
      </c>
      <c r="B760" s="25">
        <v>1.23132713791E11</v>
      </c>
      <c r="C760" s="24" t="s">
        <v>86</v>
      </c>
      <c r="D760" s="24" t="s">
        <v>203</v>
      </c>
      <c r="E760" s="24" t="s">
        <v>13</v>
      </c>
      <c r="F760" s="26">
        <v>2853.0</v>
      </c>
      <c r="G760" s="26" t="s">
        <v>1046</v>
      </c>
      <c r="H760" s="26" t="s">
        <v>2357</v>
      </c>
      <c r="I760" s="26">
        <v>1.117321211E9</v>
      </c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4" t="s">
        <v>813</v>
      </c>
      <c r="B761" s="25">
        <v>3.75183747813E11</v>
      </c>
      <c r="C761" s="24" t="s">
        <v>11</v>
      </c>
      <c r="D761" s="24" t="s">
        <v>69</v>
      </c>
      <c r="E761" s="25" t="s">
        <v>9</v>
      </c>
      <c r="F761" s="26">
        <v>2857.0</v>
      </c>
      <c r="G761" s="26" t="s">
        <v>74</v>
      </c>
      <c r="H761" s="26" t="s">
        <v>2358</v>
      </c>
      <c r="I761" s="26" t="s">
        <v>2359</v>
      </c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4" t="s">
        <v>814</v>
      </c>
      <c r="B762" s="25"/>
      <c r="C762" s="24" t="s">
        <v>86</v>
      </c>
      <c r="D762" s="24" t="s">
        <v>25</v>
      </c>
      <c r="E762" s="24" t="s">
        <v>13</v>
      </c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4" t="s">
        <v>815</v>
      </c>
      <c r="B763" s="25">
        <v>9.79127456161E11</v>
      </c>
      <c r="C763" s="24" t="s">
        <v>86</v>
      </c>
      <c r="D763" s="24" t="s">
        <v>172</v>
      </c>
      <c r="E763" s="25" t="s">
        <v>9</v>
      </c>
      <c r="F763" s="26">
        <v>2874.0</v>
      </c>
      <c r="G763" s="26" t="s">
        <v>759</v>
      </c>
      <c r="H763" s="26" t="s">
        <v>2360</v>
      </c>
      <c r="I763" s="26" t="s">
        <v>2361</v>
      </c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4" t="s">
        <v>816</v>
      </c>
      <c r="B764" s="25">
        <v>8.57187871618E11</v>
      </c>
      <c r="C764" s="24" t="s">
        <v>86</v>
      </c>
      <c r="D764" s="24" t="s">
        <v>63</v>
      </c>
      <c r="E764" s="25" t="s">
        <v>9</v>
      </c>
      <c r="F764" s="26">
        <v>2870.0</v>
      </c>
      <c r="G764" s="26" t="s">
        <v>1046</v>
      </c>
      <c r="H764" s="26" t="s">
        <v>2362</v>
      </c>
      <c r="I764" s="26" t="s">
        <v>2363</v>
      </c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4" t="s">
        <v>817</v>
      </c>
      <c r="B765" s="25">
        <v>8.92131842437E11</v>
      </c>
      <c r="C765" s="24" t="s">
        <v>11</v>
      </c>
      <c r="D765" s="24" t="s">
        <v>47</v>
      </c>
      <c r="E765" s="25" t="s">
        <v>9</v>
      </c>
      <c r="F765" s="26">
        <v>2845.0</v>
      </c>
      <c r="G765" s="26" t="s">
        <v>74</v>
      </c>
      <c r="H765" s="26" t="s">
        <v>2364</v>
      </c>
      <c r="I765" s="26" t="s">
        <v>2365</v>
      </c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4" t="s">
        <v>818</v>
      </c>
      <c r="B766" s="25">
        <v>4.17194809016E11</v>
      </c>
      <c r="C766" s="24" t="s">
        <v>11</v>
      </c>
      <c r="D766" s="24" t="s">
        <v>69</v>
      </c>
      <c r="E766" s="25" t="s">
        <v>9</v>
      </c>
      <c r="F766" s="26">
        <v>2875.0</v>
      </c>
      <c r="G766" s="26" t="s">
        <v>902</v>
      </c>
      <c r="H766" s="26" t="s">
        <v>2366</v>
      </c>
      <c r="I766" s="26" t="s">
        <v>2367</v>
      </c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4" t="s">
        <v>819</v>
      </c>
      <c r="B767" s="25">
        <v>2.94190482125E11</v>
      </c>
      <c r="C767" s="24" t="s">
        <v>11</v>
      </c>
      <c r="D767" s="24" t="s">
        <v>69</v>
      </c>
      <c r="E767" s="25" t="s">
        <v>9</v>
      </c>
      <c r="F767" s="26">
        <v>2871.0</v>
      </c>
      <c r="G767" s="26" t="s">
        <v>923</v>
      </c>
      <c r="H767" s="26" t="s">
        <v>2368</v>
      </c>
      <c r="I767" s="26" t="s">
        <v>2369</v>
      </c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4" t="s">
        <v>820</v>
      </c>
      <c r="B768" s="25">
        <v>6.59105912498E11</v>
      </c>
      <c r="C768" s="24" t="s">
        <v>477</v>
      </c>
      <c r="D768" s="24" t="s">
        <v>502</v>
      </c>
      <c r="E768" s="25" t="s">
        <v>9</v>
      </c>
      <c r="F768" s="26">
        <v>2859.0</v>
      </c>
      <c r="G768" s="26" t="s">
        <v>1482</v>
      </c>
      <c r="H768" s="26" t="s">
        <v>2370</v>
      </c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4" t="s">
        <v>821</v>
      </c>
      <c r="B769" s="25">
        <v>6.74181974812E11</v>
      </c>
      <c r="C769" s="24" t="s">
        <v>86</v>
      </c>
      <c r="D769" s="24" t="s">
        <v>63</v>
      </c>
      <c r="E769" s="25" t="s">
        <v>9</v>
      </c>
      <c r="F769" s="26">
        <v>2861.0</v>
      </c>
      <c r="G769" s="26" t="s">
        <v>1041</v>
      </c>
      <c r="H769" s="26" t="s">
        <v>2371</v>
      </c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4" t="s">
        <v>822</v>
      </c>
      <c r="B770" s="25"/>
      <c r="C770" s="24" t="s">
        <v>303</v>
      </c>
      <c r="D770" s="24" t="s">
        <v>69</v>
      </c>
      <c r="E770" s="24" t="s">
        <v>13</v>
      </c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4" t="s">
        <v>823</v>
      </c>
      <c r="B771" s="25"/>
      <c r="C771" s="24" t="s">
        <v>11</v>
      </c>
      <c r="D771" s="24" t="s">
        <v>25</v>
      </c>
      <c r="E771" s="24" t="s">
        <v>13</v>
      </c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4" t="s">
        <v>824</v>
      </c>
      <c r="B772" s="25">
        <v>1.0816579783E11</v>
      </c>
      <c r="C772" s="24" t="s">
        <v>303</v>
      </c>
      <c r="D772" s="24" t="s">
        <v>203</v>
      </c>
      <c r="E772" s="24" t="s">
        <v>13</v>
      </c>
      <c r="F772" s="26">
        <v>2862.0</v>
      </c>
      <c r="G772" s="26" t="s">
        <v>1297</v>
      </c>
      <c r="H772" s="26" t="s">
        <v>2372</v>
      </c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4" t="s">
        <v>825</v>
      </c>
      <c r="B773" s="25">
        <v>1.23143160627E11</v>
      </c>
      <c r="C773" s="24" t="s">
        <v>86</v>
      </c>
      <c r="D773" s="24" t="s">
        <v>69</v>
      </c>
      <c r="E773" s="25" t="s">
        <v>9</v>
      </c>
      <c r="F773" s="26">
        <v>2872.0</v>
      </c>
      <c r="G773" s="26" t="s">
        <v>1032</v>
      </c>
      <c r="H773" s="26" t="s">
        <v>2373</v>
      </c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4" t="s">
        <v>826</v>
      </c>
      <c r="B774" s="25">
        <v>2.50173645161E11</v>
      </c>
      <c r="C774" s="24" t="s">
        <v>303</v>
      </c>
      <c r="D774" s="24" t="s">
        <v>203</v>
      </c>
      <c r="E774" s="24" t="s">
        <v>13</v>
      </c>
      <c r="F774" s="26">
        <v>2865.0</v>
      </c>
      <c r="G774" s="26" t="s">
        <v>1297</v>
      </c>
      <c r="H774" s="26" t="s">
        <v>2374</v>
      </c>
      <c r="I774" s="26" t="s">
        <v>2375</v>
      </c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4" t="s">
        <v>827</v>
      </c>
      <c r="B775" s="25"/>
      <c r="C775" s="24" t="s">
        <v>303</v>
      </c>
      <c r="D775" s="24" t="s">
        <v>69</v>
      </c>
      <c r="E775" s="24" t="s">
        <v>13</v>
      </c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4" t="s">
        <v>828</v>
      </c>
      <c r="B776" s="25">
        <v>1.70139615393E11</v>
      </c>
      <c r="C776" s="24" t="s">
        <v>11</v>
      </c>
      <c r="D776" s="24" t="s">
        <v>69</v>
      </c>
      <c r="E776" s="24" t="s">
        <v>13</v>
      </c>
      <c r="F776" s="26">
        <v>2876.0</v>
      </c>
      <c r="G776" s="26" t="s">
        <v>74</v>
      </c>
      <c r="H776" s="26" t="s">
        <v>2376</v>
      </c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4" t="s">
        <v>829</v>
      </c>
      <c r="B777" s="25">
        <v>7.27101543915E11</v>
      </c>
      <c r="C777" s="24" t="s">
        <v>86</v>
      </c>
      <c r="D777" s="24" t="s">
        <v>47</v>
      </c>
      <c r="E777" s="25" t="s">
        <v>9</v>
      </c>
      <c r="F777" s="26">
        <v>2887.0</v>
      </c>
      <c r="G777" s="26" t="s">
        <v>759</v>
      </c>
      <c r="H777" s="26" t="s">
        <v>2377</v>
      </c>
      <c r="I777" s="26" t="s">
        <v>2378</v>
      </c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4" t="s">
        <v>830</v>
      </c>
      <c r="B778" s="25">
        <v>6.70151585281E11</v>
      </c>
      <c r="C778" s="24" t="s">
        <v>86</v>
      </c>
      <c r="D778" s="24" t="s">
        <v>203</v>
      </c>
      <c r="E778" s="25" t="s">
        <v>9</v>
      </c>
      <c r="F778" s="26">
        <v>2884.0</v>
      </c>
      <c r="G778" s="26" t="s">
        <v>1060</v>
      </c>
      <c r="H778" s="26" t="s">
        <v>2379</v>
      </c>
      <c r="I778" s="26" t="s">
        <v>2380</v>
      </c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4" t="s">
        <v>831</v>
      </c>
      <c r="B779" s="25"/>
      <c r="C779" s="26" t="s">
        <v>303</v>
      </c>
      <c r="D779" s="26" t="s">
        <v>69</v>
      </c>
      <c r="E779" s="26" t="s">
        <v>13</v>
      </c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4" t="s">
        <v>832</v>
      </c>
      <c r="B780" s="25"/>
      <c r="C780" s="26" t="s">
        <v>303</v>
      </c>
      <c r="D780" s="26" t="s">
        <v>203</v>
      </c>
      <c r="E780" s="26" t="s">
        <v>13</v>
      </c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4" t="s">
        <v>833</v>
      </c>
      <c r="B781" s="25"/>
      <c r="C781" s="26" t="s">
        <v>11</v>
      </c>
      <c r="D781" s="26" t="s">
        <v>69</v>
      </c>
      <c r="E781" s="26" t="s">
        <v>13</v>
      </c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4" t="s">
        <v>834</v>
      </c>
      <c r="B782" s="25"/>
      <c r="C782" s="26" t="s">
        <v>86</v>
      </c>
      <c r="D782" s="26" t="s">
        <v>172</v>
      </c>
      <c r="E782" s="26" t="s">
        <v>13</v>
      </c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4" t="s">
        <v>835</v>
      </c>
      <c r="B783" s="25"/>
      <c r="C783" s="26" t="s">
        <v>477</v>
      </c>
      <c r="D783" s="26" t="s">
        <v>25</v>
      </c>
      <c r="E783" s="26" t="s">
        <v>13</v>
      </c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4" t="s">
        <v>836</v>
      </c>
      <c r="B784" s="25"/>
      <c r="C784" s="26" t="s">
        <v>86</v>
      </c>
      <c r="D784" s="26" t="s">
        <v>69</v>
      </c>
      <c r="E784" s="26" t="s">
        <v>13</v>
      </c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4" t="s">
        <v>837</v>
      </c>
      <c r="B785" s="25">
        <v>5.37178629327E11</v>
      </c>
      <c r="C785" s="26" t="s">
        <v>303</v>
      </c>
      <c r="D785" s="26" t="s">
        <v>69</v>
      </c>
      <c r="E785" s="26" t="s">
        <v>13</v>
      </c>
      <c r="F785" s="26">
        <v>2844.0</v>
      </c>
      <c r="G785" s="26" t="s">
        <v>1297</v>
      </c>
      <c r="H785" s="26" t="s">
        <v>2381</v>
      </c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4" t="s">
        <v>838</v>
      </c>
      <c r="B786" s="25">
        <v>6.82163541567E11</v>
      </c>
      <c r="C786" s="26" t="s">
        <v>303</v>
      </c>
      <c r="D786" s="26" t="s">
        <v>69</v>
      </c>
      <c r="E786" s="26" t="s">
        <v>13</v>
      </c>
      <c r="F786" s="26">
        <v>2885.0</v>
      </c>
      <c r="G786" s="26" t="s">
        <v>1297</v>
      </c>
      <c r="H786" s="26" t="s">
        <v>2382</v>
      </c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4" t="s">
        <v>839</v>
      </c>
      <c r="B787" s="25">
        <v>5.73105931679E11</v>
      </c>
      <c r="C787" s="26" t="s">
        <v>86</v>
      </c>
      <c r="D787" s="26" t="s">
        <v>69</v>
      </c>
      <c r="E787" s="25" t="s">
        <v>9</v>
      </c>
      <c r="F787" s="26">
        <v>2882.0</v>
      </c>
      <c r="G787" s="26" t="s">
        <v>1032</v>
      </c>
      <c r="H787" s="26" t="s">
        <v>2383</v>
      </c>
      <c r="I787" s="26" t="s">
        <v>2384</v>
      </c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4" t="s">
        <v>840</v>
      </c>
      <c r="B788" s="25"/>
      <c r="C788" s="26" t="s">
        <v>86</v>
      </c>
      <c r="D788" s="26" t="s">
        <v>203</v>
      </c>
      <c r="E788" s="26" t="s">
        <v>13</v>
      </c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4" t="s">
        <v>841</v>
      </c>
      <c r="B789" s="25">
        <v>9.04156949325E11</v>
      </c>
      <c r="C789" s="26" t="s">
        <v>303</v>
      </c>
      <c r="D789" s="26" t="s">
        <v>172</v>
      </c>
      <c r="E789" s="26" t="s">
        <v>13</v>
      </c>
      <c r="F789" s="26">
        <v>2892.0</v>
      </c>
      <c r="G789" s="26" t="s">
        <v>1032</v>
      </c>
      <c r="H789" s="26" t="s">
        <v>2385</v>
      </c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4" t="s">
        <v>842</v>
      </c>
      <c r="B790" s="25">
        <v>3.90108317593E11</v>
      </c>
      <c r="C790" s="26" t="s">
        <v>477</v>
      </c>
      <c r="D790" s="26" t="s">
        <v>502</v>
      </c>
      <c r="E790" s="26" t="s">
        <v>13</v>
      </c>
      <c r="F790" s="26">
        <v>2883.0</v>
      </c>
      <c r="G790" s="26" t="s">
        <v>2344</v>
      </c>
      <c r="H790" s="26" t="s">
        <v>2386</v>
      </c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4" t="s">
        <v>843</v>
      </c>
      <c r="B791" s="25">
        <v>5.96145367638E11</v>
      </c>
      <c r="C791" s="26" t="s">
        <v>86</v>
      </c>
      <c r="D791" s="26" t="s">
        <v>172</v>
      </c>
      <c r="E791" s="25" t="s">
        <v>9</v>
      </c>
      <c r="F791" s="26">
        <v>2708.0</v>
      </c>
      <c r="G791" s="26" t="s">
        <v>759</v>
      </c>
      <c r="H791" s="26" t="s">
        <v>2387</v>
      </c>
      <c r="I791" s="26" t="s">
        <v>2388</v>
      </c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4" t="s">
        <v>844</v>
      </c>
      <c r="B792" s="25"/>
      <c r="C792" s="26" t="s">
        <v>11</v>
      </c>
      <c r="D792" s="26" t="s">
        <v>69</v>
      </c>
      <c r="E792" s="26" t="s">
        <v>13</v>
      </c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 t="s">
        <v>845</v>
      </c>
      <c r="B793" s="25">
        <v>6.73187402047E11</v>
      </c>
      <c r="C793" s="26" t="s">
        <v>86</v>
      </c>
      <c r="D793" s="26" t="s">
        <v>203</v>
      </c>
      <c r="E793" s="26" t="s">
        <v>13</v>
      </c>
      <c r="F793" s="26"/>
      <c r="G793" s="26" t="s">
        <v>759</v>
      </c>
      <c r="H793" s="26" t="s">
        <v>2389</v>
      </c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4" t="s">
        <v>846</v>
      </c>
      <c r="B794" s="25"/>
      <c r="C794" s="26" t="s">
        <v>86</v>
      </c>
      <c r="D794" s="26" t="s">
        <v>203</v>
      </c>
      <c r="E794" s="26" t="s">
        <v>13</v>
      </c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4" t="s">
        <v>847</v>
      </c>
      <c r="B795" s="25"/>
      <c r="C795" s="26" t="s">
        <v>11</v>
      </c>
      <c r="D795" s="26" t="s">
        <v>25</v>
      </c>
      <c r="E795" s="26" t="s">
        <v>13</v>
      </c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4" t="s">
        <v>848</v>
      </c>
      <c r="B796" s="25"/>
      <c r="C796" s="26" t="s">
        <v>11</v>
      </c>
      <c r="D796" s="26" t="s">
        <v>25</v>
      </c>
      <c r="E796" s="26" t="s">
        <v>13</v>
      </c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4" t="s">
        <v>849</v>
      </c>
      <c r="B797" s="25">
        <v>5.26107327427E11</v>
      </c>
      <c r="C797" s="26" t="s">
        <v>86</v>
      </c>
      <c r="D797" s="26" t="s">
        <v>172</v>
      </c>
      <c r="E797" s="26" t="s">
        <v>13</v>
      </c>
      <c r="F797" s="26"/>
      <c r="G797" s="26" t="s">
        <v>759</v>
      </c>
      <c r="H797" s="26" t="s">
        <v>2390</v>
      </c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4" t="s">
        <v>850</v>
      </c>
      <c r="B798" s="25">
        <v>7.52176542746E11</v>
      </c>
      <c r="C798" s="26" t="s">
        <v>11</v>
      </c>
      <c r="D798" s="26" t="s">
        <v>69</v>
      </c>
      <c r="E798" s="26" t="s">
        <v>13</v>
      </c>
      <c r="F798" s="26"/>
      <c r="G798" s="26" t="s">
        <v>902</v>
      </c>
      <c r="H798" s="26" t="s">
        <v>2391</v>
      </c>
      <c r="I798" s="26" t="s">
        <v>2392</v>
      </c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4" t="s">
        <v>851</v>
      </c>
      <c r="B799" s="25">
        <v>9.50159030454E11</v>
      </c>
      <c r="C799" s="26" t="s">
        <v>86</v>
      </c>
      <c r="D799" s="26" t="s">
        <v>203</v>
      </c>
      <c r="E799" s="26" t="s">
        <v>13</v>
      </c>
      <c r="F799" s="26"/>
      <c r="G799" s="26" t="s">
        <v>759</v>
      </c>
      <c r="H799" s="26" t="s">
        <v>2393</v>
      </c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4" t="s">
        <v>852</v>
      </c>
      <c r="B800" s="25"/>
      <c r="C800" s="26" t="s">
        <v>303</v>
      </c>
      <c r="D800" s="26" t="s">
        <v>69</v>
      </c>
      <c r="E800" s="26" t="s">
        <v>13</v>
      </c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4" t="s">
        <v>853</v>
      </c>
      <c r="B801" s="25">
        <v>6.18103789532E11</v>
      </c>
      <c r="C801" s="26" t="s">
        <v>303</v>
      </c>
      <c r="D801" s="26" t="s">
        <v>25</v>
      </c>
      <c r="E801" s="26" t="s">
        <v>13</v>
      </c>
      <c r="F801" s="26"/>
      <c r="G801" s="26" t="s">
        <v>1467</v>
      </c>
      <c r="H801" s="26" t="s">
        <v>2394</v>
      </c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 t="s">
        <v>854</v>
      </c>
      <c r="B802" s="25"/>
      <c r="C802" s="26" t="s">
        <v>86</v>
      </c>
      <c r="D802" s="26" t="s">
        <v>69</v>
      </c>
      <c r="E802" s="26" t="s">
        <v>13</v>
      </c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4" t="s">
        <v>855</v>
      </c>
      <c r="B803" s="25">
        <v>9.17186898325E11</v>
      </c>
      <c r="C803" s="26" t="s">
        <v>86</v>
      </c>
      <c r="D803" s="26" t="s">
        <v>69</v>
      </c>
      <c r="E803" s="26" t="s">
        <v>13</v>
      </c>
      <c r="F803" s="26">
        <v>2896.0</v>
      </c>
      <c r="G803" s="26" t="s">
        <v>1032</v>
      </c>
      <c r="H803" s="26" t="s">
        <v>2395</v>
      </c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4" t="s">
        <v>856</v>
      </c>
      <c r="B804" s="25"/>
      <c r="C804" s="26" t="s">
        <v>86</v>
      </c>
      <c r="D804" s="26" t="s">
        <v>63</v>
      </c>
      <c r="E804" s="26" t="s">
        <v>13</v>
      </c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 t="s">
        <v>857</v>
      </c>
      <c r="B805" s="25"/>
      <c r="C805" s="26" t="s">
        <v>11</v>
      </c>
      <c r="D805" s="26" t="s">
        <v>47</v>
      </c>
      <c r="E805" s="26" t="s">
        <v>13</v>
      </c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4" t="s">
        <v>858</v>
      </c>
      <c r="B806" s="25">
        <v>7.17102470564E11</v>
      </c>
      <c r="C806" s="26" t="s">
        <v>477</v>
      </c>
      <c r="D806" s="26" t="s">
        <v>502</v>
      </c>
      <c r="E806" s="26" t="s">
        <v>13</v>
      </c>
      <c r="F806" s="26">
        <v>2894.0</v>
      </c>
      <c r="G806" s="26" t="s">
        <v>2344</v>
      </c>
      <c r="H806" s="26" t="s">
        <v>2396</v>
      </c>
      <c r="I806" s="26" t="s">
        <v>2397</v>
      </c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4" t="s">
        <v>859</v>
      </c>
      <c r="B807" s="25">
        <v>9.76160713507E11</v>
      </c>
      <c r="C807" s="26" t="s">
        <v>11</v>
      </c>
      <c r="D807" s="26" t="s">
        <v>25</v>
      </c>
      <c r="E807" s="26" t="s">
        <v>13</v>
      </c>
      <c r="F807" s="26">
        <v>2898.0</v>
      </c>
      <c r="G807" s="26" t="s">
        <v>74</v>
      </c>
      <c r="H807" s="26" t="s">
        <v>2398</v>
      </c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4" t="s">
        <v>860</v>
      </c>
      <c r="B808" s="25">
        <v>5.46150694104E11</v>
      </c>
      <c r="C808" s="26" t="s">
        <v>11</v>
      </c>
      <c r="D808" s="26" t="s">
        <v>69</v>
      </c>
      <c r="E808" s="26" t="s">
        <v>13</v>
      </c>
      <c r="F808" s="26"/>
      <c r="G808" s="26" t="s">
        <v>74</v>
      </c>
      <c r="H808" s="26" t="s">
        <v>2399</v>
      </c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4" t="s">
        <v>861</v>
      </c>
      <c r="B809" s="25"/>
      <c r="C809" s="26" t="s">
        <v>86</v>
      </c>
      <c r="D809" s="26" t="s">
        <v>172</v>
      </c>
      <c r="E809" s="26" t="s">
        <v>13</v>
      </c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4" t="s">
        <v>862</v>
      </c>
      <c r="B810" s="25"/>
      <c r="C810" s="26" t="s">
        <v>303</v>
      </c>
      <c r="D810" s="26" t="s">
        <v>203</v>
      </c>
      <c r="E810" s="26" t="s">
        <v>674</v>
      </c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4" t="s">
        <v>863</v>
      </c>
      <c r="B811" s="25"/>
      <c r="C811" s="26" t="s">
        <v>303</v>
      </c>
      <c r="D811" s="26" t="s">
        <v>69</v>
      </c>
      <c r="E811" s="26" t="s">
        <v>13</v>
      </c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4" t="s">
        <v>864</v>
      </c>
      <c r="B812" s="25"/>
      <c r="C812" s="26" t="s">
        <v>303</v>
      </c>
      <c r="D812" s="26" t="s">
        <v>63</v>
      </c>
      <c r="E812" s="26" t="s">
        <v>13</v>
      </c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4" t="s">
        <v>865</v>
      </c>
      <c r="B813" s="25"/>
      <c r="C813" s="26" t="s">
        <v>86</v>
      </c>
      <c r="D813" s="26" t="s">
        <v>47</v>
      </c>
      <c r="E813" s="26" t="s">
        <v>13</v>
      </c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4" t="s">
        <v>866</v>
      </c>
      <c r="B814" s="25"/>
      <c r="C814" s="26" t="s">
        <v>11</v>
      </c>
      <c r="D814" s="26" t="s">
        <v>69</v>
      </c>
      <c r="E814" s="26" t="s">
        <v>13</v>
      </c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 t="s">
        <v>867</v>
      </c>
      <c r="B815" s="25"/>
      <c r="C815" s="26" t="s">
        <v>303</v>
      </c>
      <c r="D815" s="26" t="s">
        <v>69</v>
      </c>
      <c r="E815" s="26" t="s">
        <v>13</v>
      </c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4" t="s">
        <v>868</v>
      </c>
      <c r="B816" s="25"/>
      <c r="C816" s="26" t="s">
        <v>303</v>
      </c>
      <c r="D816" s="26" t="s">
        <v>69</v>
      </c>
      <c r="E816" s="26" t="s">
        <v>13</v>
      </c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4" t="s">
        <v>869</v>
      </c>
      <c r="B817" s="25"/>
      <c r="C817" s="26" t="s">
        <v>303</v>
      </c>
      <c r="D817" s="26" t="s">
        <v>172</v>
      </c>
      <c r="E817" s="26" t="s">
        <v>13</v>
      </c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4" t="s">
        <v>870</v>
      </c>
      <c r="B818" s="25"/>
      <c r="C818" s="26" t="s">
        <v>86</v>
      </c>
      <c r="D818" s="26" t="s">
        <v>203</v>
      </c>
      <c r="E818" s="26" t="s">
        <v>13</v>
      </c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4" t="s">
        <v>871</v>
      </c>
      <c r="B819" s="25"/>
      <c r="C819" s="26" t="s">
        <v>11</v>
      </c>
      <c r="D819" s="26" t="s">
        <v>25</v>
      </c>
      <c r="E819" s="26" t="s">
        <v>13</v>
      </c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 t="s">
        <v>872</v>
      </c>
      <c r="B820" s="25"/>
      <c r="C820" s="26" t="s">
        <v>86</v>
      </c>
      <c r="D820" s="26" t="s">
        <v>172</v>
      </c>
      <c r="E820" s="26" t="s">
        <v>674</v>
      </c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4" t="s">
        <v>873</v>
      </c>
      <c r="B821" s="25"/>
      <c r="C821" s="26" t="s">
        <v>86</v>
      </c>
      <c r="D821" s="26" t="s">
        <v>172</v>
      </c>
      <c r="E821" s="26" t="s">
        <v>674</v>
      </c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4" t="s">
        <v>874</v>
      </c>
      <c r="B822" s="25"/>
      <c r="C822" s="26" t="s">
        <v>86</v>
      </c>
      <c r="D822" s="26" t="s">
        <v>203</v>
      </c>
      <c r="E822" s="26" t="s">
        <v>674</v>
      </c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4" t="s">
        <v>875</v>
      </c>
      <c r="B823" s="25"/>
      <c r="C823" s="26" t="s">
        <v>477</v>
      </c>
      <c r="D823" s="26" t="s">
        <v>502</v>
      </c>
      <c r="E823" s="26" t="s">
        <v>674</v>
      </c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4" t="s">
        <v>876</v>
      </c>
      <c r="B824" s="25"/>
      <c r="C824" s="26" t="s">
        <v>86</v>
      </c>
      <c r="D824" s="26" t="s">
        <v>172</v>
      </c>
      <c r="E824" s="26" t="s">
        <v>674</v>
      </c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4" t="s">
        <v>877</v>
      </c>
      <c r="B825" s="25"/>
      <c r="C825" s="26" t="s">
        <v>86</v>
      </c>
      <c r="D825" s="26" t="s">
        <v>172</v>
      </c>
      <c r="E825" s="26" t="s">
        <v>674</v>
      </c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4" t="s">
        <v>878</v>
      </c>
      <c r="B826" s="25"/>
      <c r="C826" s="26" t="s">
        <v>86</v>
      </c>
      <c r="D826" s="26" t="s">
        <v>203</v>
      </c>
      <c r="E826" s="26" t="s">
        <v>674</v>
      </c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</row>
    <row r="1024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</row>
    <row r="1026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</row>
    <row r="1029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</row>
    <row r="1030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</row>
    <row r="103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</row>
    <row r="1032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</row>
    <row r="1033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</row>
    <row r="1034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</row>
    <row r="103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</row>
    <row r="1036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</row>
    <row r="1037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</row>
    <row r="1038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</row>
    <row r="1039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</row>
    <row r="1040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</row>
    <row r="1041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</row>
    <row r="1042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</row>
    <row r="1043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</row>
    <row r="1044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</row>
    <row r="104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</row>
    <row r="1046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</row>
    <row r="1047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</row>
    <row r="1048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</row>
    <row r="1049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</row>
    <row r="1050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</row>
    <row r="1051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</row>
    <row r="1052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</row>
    <row r="1053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</row>
    <row r="1054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</row>
    <row r="105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</row>
    <row r="1056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</row>
    <row r="1057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</row>
    <row r="1058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</row>
    <row r="1059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</row>
    <row r="1060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</row>
    <row r="106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</row>
    <row r="1062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</row>
    <row r="1063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</row>
    <row r="1064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</row>
    <row r="106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</row>
    <row r="1066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</row>
    <row r="1067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</row>
    <row r="1068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</row>
    <row r="1069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</row>
    <row r="1070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</row>
    <row r="1071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</row>
    <row r="1072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</row>
    <row r="1073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</row>
    <row r="1074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</row>
    <row r="1075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</row>
    <row r="1076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</row>
    <row r="1077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</row>
    <row r="1078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</row>
    <row r="1079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</row>
    <row r="1080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</row>
    <row r="1081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</row>
    <row r="1082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</row>
    <row r="1083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</row>
    <row r="1084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</row>
    <row r="1085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</row>
    <row r="1086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</row>
    <row r="1087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</row>
    <row r="1088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</row>
    <row r="1089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</row>
    <row r="1090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</row>
    <row r="1092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</row>
    <row r="1093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</row>
    <row r="1095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  <row r="1096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</row>
    <row r="1097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</row>
    <row r="1098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</row>
    <row r="1099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</row>
    <row r="1100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</row>
    <row r="1101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</row>
    <row r="1103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</row>
    <row r="1104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</row>
    <row r="1105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</row>
    <row r="1106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</row>
    <row r="1107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</row>
    <row r="1108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</row>
    <row r="1109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</row>
    <row r="1110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</row>
    <row r="1111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</row>
    <row r="1112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</row>
    <row r="1113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</row>
    <row r="1114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</row>
    <row r="1115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</row>
    <row r="1116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</row>
    <row r="1117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</row>
    <row r="1118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</row>
    <row r="1119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</row>
    <row r="1120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</row>
    <row r="1121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</row>
    <row r="1122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</row>
    <row r="1123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</row>
    <row r="1125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</row>
    <row r="1126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</row>
    <row r="1127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</row>
    <row r="1128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</row>
    <row r="1129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</row>
    <row r="1130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</row>
    <row r="1131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</row>
    <row r="1132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</row>
    <row r="1133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</row>
    <row r="1135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</row>
    <row r="1136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</row>
    <row r="1137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</row>
    <row r="1138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</row>
    <row r="1139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</row>
    <row r="1140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</row>
    <row r="1141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</row>
    <row r="1142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</row>
    <row r="1143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</row>
    <row r="1144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</row>
    <row r="1145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</row>
    <row r="1146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</row>
    <row r="1147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</row>
    <row r="1148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</row>
    <row r="1149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</row>
    <row r="1150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</row>
    <row r="1151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</row>
    <row r="1152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</row>
    <row r="1153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</row>
    <row r="1154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</row>
    <row r="1155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</row>
    <row r="1156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</row>
    <row r="1157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</row>
    <row r="1158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</row>
    <row r="1159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</row>
    <row r="1160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</row>
    <row r="1161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</row>
    <row r="1162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</row>
    <row r="1163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</row>
    <row r="1164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</row>
    <row r="1165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</row>
    <row r="1166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</row>
    <row r="1167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</row>
    <row r="1168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</row>
    <row r="1169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</row>
    <row r="1170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</row>
    <row r="1171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</row>
    <row r="1172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</row>
    <row r="1173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</row>
    <row r="1174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</row>
    <row r="1175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</row>
    <row r="1176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</row>
    <row r="1177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</row>
    <row r="1178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</row>
    <row r="1179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</row>
    <row r="1180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</row>
    <row r="1181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</row>
    <row r="1182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</row>
    <row r="1184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</row>
    <row r="1185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</row>
    <row r="1186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</row>
    <row r="1187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</row>
    <row r="1188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</row>
    <row r="1189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</row>
    <row r="1190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</row>
    <row r="1191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</row>
    <row r="1192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</row>
    <row r="1193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</row>
    <row r="1194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</row>
    <row r="1195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</row>
    <row r="1196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</row>
    <row r="1197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</row>
    <row r="1198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</row>
    <row r="1199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</row>
    <row r="1200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</row>
    <row r="1201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</row>
    <row r="1202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</row>
    <row r="1203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</row>
    <row r="1204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</row>
    <row r="1205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</row>
    <row r="1206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</row>
    <row r="1207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</row>
    <row r="1208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</row>
    <row r="1209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</row>
    <row r="1210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</row>
    <row r="1211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</row>
    <row r="1212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</row>
    <row r="1213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</row>
    <row r="1214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</row>
    <row r="1215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</row>
    <row r="1216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</row>
    <row r="1217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</row>
    <row r="1218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</row>
    <row r="1219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</row>
    <row r="1220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</row>
    <row r="1221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</row>
    <row r="1222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</row>
    <row r="1223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</row>
    <row r="1224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</row>
    <row r="1225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</row>
    <row r="1226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</row>
    <row r="1227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</row>
    <row r="1228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</row>
    <row r="1229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</row>
    <row r="1230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</row>
    <row r="1231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</row>
    <row r="1232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</row>
    <row r="1233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</row>
    <row r="1234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</row>
    <row r="1235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</row>
    <row r="1236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</row>
    <row r="1237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</row>
    <row r="1238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</row>
    <row r="1239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</row>
    <row r="1240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</row>
    <row r="1241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</row>
    <row r="1242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</row>
    <row r="1243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</row>
    <row r="1244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</row>
    <row r="1245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</row>
    <row r="1247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</row>
    <row r="1248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</row>
    <row r="1249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</row>
    <row r="1250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</row>
    <row r="1251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</row>
    <row r="1252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</row>
    <row r="1253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</row>
    <row r="1254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</row>
    <row r="1255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</row>
    <row r="1256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</row>
    <row r="1257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</row>
    <row r="1258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</row>
    <row r="1260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</row>
    <row r="1261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</row>
    <row r="1262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</row>
    <row r="1263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</row>
    <row r="1264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</row>
    <row r="1265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</row>
    <row r="1266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</row>
    <row r="1267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</row>
    <row r="1268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</row>
    <row r="1269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</row>
    <row r="1270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</row>
    <row r="1271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</row>
    <row r="1272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</row>
    <row r="1273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</row>
    <row r="1274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</row>
    <row r="1275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</row>
    <row r="1276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</row>
    <row r="1277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</row>
    <row r="1278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</row>
    <row r="1279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</row>
    <row r="1280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</row>
    <row r="1281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</row>
    <row r="1282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</row>
    <row r="1283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</row>
    <row r="1284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</row>
    <row r="1285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</row>
    <row r="1286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</row>
    <row r="1287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</row>
    <row r="1288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</row>
    <row r="1289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</row>
    <row r="1290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</row>
    <row r="1291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</row>
    <row r="1292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</row>
    <row r="1293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</row>
    <row r="1294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</row>
    <row r="1295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</row>
    <row r="1296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</row>
    <row r="1297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</row>
    <row r="1298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</row>
    <row r="1299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  <row r="1300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</row>
    <row r="1301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</row>
    <row r="1302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</row>
    <row r="1303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</row>
    <row r="1304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</row>
    <row r="1305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</row>
    <row r="1306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</row>
    <row r="1307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</row>
    <row r="1308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</row>
    <row r="1309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</row>
    <row r="1310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</row>
    <row r="131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</row>
    <row r="1312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</row>
    <row r="1313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</row>
    <row r="1314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</row>
    <row r="1315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</row>
    <row r="1316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</row>
    <row r="1317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</row>
    <row r="1318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</row>
    <row r="1319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</row>
    <row r="1320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</row>
    <row r="1321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</row>
    <row r="1322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</row>
    <row r="1323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</row>
    <row r="1324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</row>
    <row r="1325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</row>
    <row r="1326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</row>
    <row r="1327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</row>
    <row r="1328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</row>
    <row r="1329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</row>
    <row r="1330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</row>
    <row r="1331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</row>
    <row r="1332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</row>
    <row r="1333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</row>
    <row r="1334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</row>
    <row r="1335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</row>
    <row r="1336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</row>
    <row r="1337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</row>
    <row r="1338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</row>
    <row r="1339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</row>
    <row r="1340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</row>
    <row r="1341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</row>
    <row r="1342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</row>
    <row r="1343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</row>
    <row r="1344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</row>
    <row r="1345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</row>
    <row r="1346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</row>
    <row r="1347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</row>
    <row r="1348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</row>
    <row r="1349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</row>
    <row r="1350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</row>
    <row r="1351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</row>
    <row r="1352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</row>
    <row r="1353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</row>
    <row r="1354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</row>
    <row r="1355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</row>
    <row r="1356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</row>
    <row r="1357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</row>
    <row r="1358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</row>
    <row r="1359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</row>
    <row r="1360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</row>
    <row r="1361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</row>
    <row r="1362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</row>
    <row r="1363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</row>
    <row r="1364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</row>
    <row r="1365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</row>
    <row r="1366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</row>
    <row r="1367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</row>
    <row r="1368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</row>
    <row r="1369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</row>
    <row r="1370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</row>
    <row r="1371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</row>
    <row r="1372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</row>
    <row r="1373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</row>
    <row r="1374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</row>
    <row r="1375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</row>
    <row r="1376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</row>
    <row r="1377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</row>
    <row r="1378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</row>
    <row r="1379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</row>
    <row r="1380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</row>
    <row r="1381">
      <c r="A1381" s="26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6"/>
      <c r="Y1381" s="26"/>
      <c r="Z1381" s="26"/>
    </row>
    <row r="1382">
      <c r="A1382" s="26"/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6"/>
      <c r="Y1382" s="26"/>
      <c r="Z1382" s="26"/>
    </row>
    <row r="1383">
      <c r="A1383" s="26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6"/>
      <c r="Y1383" s="26"/>
      <c r="Z1383" s="26"/>
    </row>
    <row r="1384">
      <c r="A1384" s="26"/>
      <c r="B1384" s="26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6"/>
      <c r="Y1384" s="26"/>
      <c r="Z1384" s="26"/>
    </row>
    <row r="1385">
      <c r="A1385" s="26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  <c r="Y1385" s="26"/>
      <c r="Z1385" s="26"/>
    </row>
    <row r="1386">
      <c r="A1386" s="26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6"/>
      <c r="Y1386" s="26"/>
      <c r="Z1386" s="26"/>
    </row>
    <row r="1387">
      <c r="A1387" s="26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6"/>
      <c r="Y1387" s="26"/>
      <c r="Z1387" s="26"/>
    </row>
    <row r="1388">
      <c r="A1388" s="26"/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6"/>
      <c r="Y1388" s="26"/>
      <c r="Z1388" s="26"/>
    </row>
    <row r="1389">
      <c r="A1389" s="26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6"/>
      <c r="Y1389" s="26"/>
      <c r="Z1389" s="26"/>
    </row>
    <row r="1390">
      <c r="A1390" s="26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6"/>
      <c r="Y1390" s="26"/>
      <c r="Z1390" s="26"/>
    </row>
    <row r="1391">
      <c r="A1391" s="26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6"/>
      <c r="Y1391" s="26"/>
      <c r="Z1391" s="26"/>
    </row>
    <row r="1392">
      <c r="A1392" s="26"/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6"/>
      <c r="Y1392" s="26"/>
      <c r="Z1392" s="26"/>
    </row>
    <row r="1393">
      <c r="A1393" s="26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6"/>
      <c r="Y1393" s="26"/>
      <c r="Z1393" s="26"/>
    </row>
    <row r="1394">
      <c r="A1394" s="26"/>
      <c r="B1394" s="26"/>
      <c r="C1394" s="26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6"/>
    </row>
    <row r="1395">
      <c r="A1395" s="26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6"/>
      <c r="Y1395" s="26"/>
      <c r="Z1395" s="26"/>
    </row>
    <row r="1396">
      <c r="A1396" s="26"/>
      <c r="B1396" s="26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</row>
    <row r="1397">
      <c r="A1397" s="26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6"/>
      <c r="Y1397" s="26"/>
      <c r="Z1397" s="26"/>
    </row>
    <row r="1398">
      <c r="A1398" s="26"/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6"/>
      <c r="Y1398" s="26"/>
      <c r="Z1398" s="26"/>
    </row>
    <row r="1399">
      <c r="A1399" s="26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6"/>
      <c r="Y1399" s="26"/>
      <c r="Z1399" s="26"/>
    </row>
    <row r="1400">
      <c r="A1400" s="26"/>
      <c r="B1400" s="26"/>
      <c r="C1400" s="26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6"/>
      <c r="Y1400" s="26"/>
      <c r="Z1400" s="26"/>
    </row>
    <row r="1401">
      <c r="A1401" s="26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6"/>
      <c r="Y1401" s="26"/>
      <c r="Z1401" s="26"/>
    </row>
    <row r="1402">
      <c r="A1402" s="26"/>
      <c r="B1402" s="26"/>
      <c r="C1402" s="26"/>
      <c r="D1402" s="26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6"/>
      <c r="Y1402" s="26"/>
      <c r="Z1402" s="26"/>
    </row>
    <row r="1403">
      <c r="A1403" s="26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6"/>
      <c r="Y1403" s="26"/>
      <c r="Z1403" s="26"/>
    </row>
    <row r="1404">
      <c r="A1404" s="26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6"/>
      <c r="Y1404" s="26"/>
      <c r="Z1404" s="26"/>
    </row>
    <row r="1405">
      <c r="A1405" s="26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6"/>
      <c r="Y1405" s="26"/>
      <c r="Z1405" s="26"/>
    </row>
    <row r="1406">
      <c r="A1406" s="26"/>
      <c r="B1406" s="26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6"/>
      <c r="Y1406" s="26"/>
      <c r="Z1406" s="26"/>
    </row>
    <row r="1407">
      <c r="A1407" s="26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6"/>
      <c r="Y1407" s="26"/>
      <c r="Z1407" s="26"/>
    </row>
    <row r="1408">
      <c r="A1408" s="26"/>
      <c r="B1408" s="26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6"/>
      <c r="Y1408" s="26"/>
      <c r="Z1408" s="26"/>
    </row>
    <row r="1409">
      <c r="A1409" s="26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6"/>
      <c r="Y1409" s="26"/>
      <c r="Z1409" s="26"/>
    </row>
    <row r="1410">
      <c r="A1410" s="26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6"/>
      <c r="Y1410" s="26"/>
      <c r="Z1410" s="26"/>
    </row>
    <row r="1411">
      <c r="A1411" s="26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6"/>
      <c r="Y1411" s="26"/>
      <c r="Z1411" s="26"/>
    </row>
    <row r="1412">
      <c r="A1412" s="26"/>
      <c r="B1412" s="26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6"/>
      <c r="Y1412" s="26"/>
      <c r="Z1412" s="26"/>
    </row>
    <row r="1413">
      <c r="A1413" s="26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6"/>
      <c r="Y1413" s="26"/>
      <c r="Z1413" s="26"/>
    </row>
    <row r="1414">
      <c r="A1414" s="26"/>
      <c r="B1414" s="26"/>
      <c r="C1414" s="26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6"/>
      <c r="Y1414" s="26"/>
      <c r="Z1414" s="26"/>
    </row>
    <row r="1415">
      <c r="A1415" s="26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6"/>
      <c r="Y1415" s="26"/>
      <c r="Z1415" s="26"/>
    </row>
    <row r="1416">
      <c r="A1416" s="26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6"/>
      <c r="Y1416" s="26"/>
      <c r="Z1416" s="26"/>
    </row>
    <row r="1417">
      <c r="A1417" s="26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6"/>
      <c r="Y1417" s="26"/>
      <c r="Z1417" s="26"/>
    </row>
    <row r="1418">
      <c r="A1418" s="26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6"/>
      <c r="Y1418" s="26"/>
      <c r="Z1418" s="26"/>
    </row>
    <row r="1419">
      <c r="A1419" s="26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6"/>
      <c r="Y1419" s="26"/>
      <c r="Z1419" s="26"/>
    </row>
    <row r="1420">
      <c r="A1420" s="26"/>
      <c r="B1420" s="26"/>
      <c r="C1420" s="26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6"/>
      <c r="Y1420" s="26"/>
      <c r="Z1420" s="26"/>
    </row>
    <row r="1421">
      <c r="A1421" s="26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6"/>
      <c r="Y1421" s="26"/>
      <c r="Z1421" s="26"/>
    </row>
    <row r="1422">
      <c r="A1422" s="26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</row>
    <row r="1423">
      <c r="A1423" s="26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6"/>
      <c r="Y1423" s="26"/>
      <c r="Z1423" s="26"/>
    </row>
    <row r="1424">
      <c r="A1424" s="26"/>
      <c r="B1424" s="26"/>
      <c r="C1424" s="26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6"/>
      <c r="Y1424" s="26"/>
      <c r="Z1424" s="26"/>
    </row>
    <row r="1425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6"/>
      <c r="Y1425" s="26"/>
      <c r="Z1425" s="26"/>
    </row>
    <row r="1426">
      <c r="A1426" s="26"/>
      <c r="B1426" s="26"/>
      <c r="C1426" s="26"/>
      <c r="D1426" s="26"/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6"/>
      <c r="Y1426" s="26"/>
      <c r="Z1426" s="26"/>
    </row>
    <row r="1427">
      <c r="A1427" s="26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6"/>
      <c r="Y1427" s="26"/>
      <c r="Z1427" s="26"/>
    </row>
    <row r="1428">
      <c r="A1428" s="26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</row>
    <row r="1429">
      <c r="A1429" s="26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</row>
    <row r="1430">
      <c r="A1430" s="26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6"/>
      <c r="Y1430" s="26"/>
      <c r="Z1430" s="26"/>
    </row>
    <row r="1431">
      <c r="A1431" s="26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6"/>
      <c r="Y1431" s="26"/>
      <c r="Z1431" s="26"/>
    </row>
    <row r="1432">
      <c r="A1432" s="26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6"/>
    </row>
    <row r="1433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</row>
    <row r="1434">
      <c r="A1434" s="26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6"/>
      <c r="Y1434" s="26"/>
      <c r="Z1434" s="26"/>
    </row>
    <row r="1435">
      <c r="A1435" s="26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6"/>
      <c r="Y1435" s="26"/>
      <c r="Z1435" s="26"/>
    </row>
    <row r="1436">
      <c r="A1436" s="26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</row>
    <row r="1437">
      <c r="A1437" s="26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6"/>
      <c r="Y1437" s="26"/>
      <c r="Z1437" s="26"/>
    </row>
    <row r="1438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6"/>
      <c r="Y1438" s="26"/>
      <c r="Z1438" s="26"/>
    </row>
    <row r="1439">
      <c r="A1439" s="26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6"/>
      <c r="Y1439" s="26"/>
      <c r="Z1439" s="26"/>
    </row>
    <row r="1440">
      <c r="A1440" s="26"/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6"/>
      <c r="Y1440" s="26"/>
      <c r="Z1440" s="26"/>
    </row>
    <row r="1441">
      <c r="A1441" s="26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6"/>
      <c r="Y1441" s="26"/>
      <c r="Z1441" s="26"/>
    </row>
    <row r="1442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6"/>
      <c r="Y1442" s="26"/>
      <c r="Z1442" s="26"/>
    </row>
    <row r="1443">
      <c r="A1443" s="26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6"/>
      <c r="Y1443" s="26"/>
      <c r="Z1443" s="26"/>
    </row>
    <row r="1444">
      <c r="A1444" s="26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6"/>
      <c r="Y1444" s="26"/>
      <c r="Z1444" s="26"/>
    </row>
    <row r="1445">
      <c r="A1445" s="26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6"/>
      <c r="Y1445" s="26"/>
      <c r="Z1445" s="26"/>
    </row>
    <row r="1446">
      <c r="A1446" s="26"/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6"/>
      <c r="Y1446" s="26"/>
      <c r="Z1446" s="26"/>
    </row>
    <row r="1447">
      <c r="A1447" s="26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6"/>
      <c r="Y1447" s="26"/>
      <c r="Z1447" s="26"/>
    </row>
    <row r="1448">
      <c r="A1448" s="26"/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6"/>
      <c r="Y1448" s="26"/>
      <c r="Z1448" s="26"/>
    </row>
    <row r="1449">
      <c r="A1449" s="26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6"/>
      <c r="Y1449" s="26"/>
      <c r="Z1449" s="26"/>
    </row>
    <row r="1450">
      <c r="A1450" s="26"/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</row>
    <row r="1451">
      <c r="A1451" s="26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6"/>
      <c r="Z1451" s="26"/>
    </row>
    <row r="1452">
      <c r="A1452" s="26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6"/>
      <c r="Y1452" s="26"/>
      <c r="Z1452" s="26"/>
    </row>
    <row r="1453">
      <c r="A1453" s="26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6"/>
      <c r="Y1453" s="26"/>
      <c r="Z1453" s="26"/>
    </row>
    <row r="1454">
      <c r="A1454" s="26"/>
      <c r="B1454" s="26"/>
      <c r="C1454" s="26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</row>
    <row r="1455">
      <c r="A1455" s="26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6"/>
      <c r="Y1455" s="26"/>
      <c r="Z1455" s="26"/>
    </row>
    <row r="1456">
      <c r="A1456" s="26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6"/>
      <c r="Y1456" s="26"/>
      <c r="Z1456" s="26"/>
    </row>
    <row r="1457">
      <c r="A1457" s="26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</row>
    <row r="1458">
      <c r="A1458" s="26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6"/>
    </row>
    <row r="1459">
      <c r="A1459" s="26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</row>
    <row r="1460">
      <c r="A1460" s="26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6"/>
    </row>
    <row r="1461">
      <c r="A1461" s="26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6"/>
    </row>
    <row r="1462">
      <c r="A1462" s="26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</row>
    <row r="1463">
      <c r="A1463" s="26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</row>
    <row r="1464">
      <c r="A1464" s="26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</row>
    <row r="1465">
      <c r="A1465" s="26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</row>
    <row r="1466">
      <c r="A1466" s="26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</row>
    <row r="1467">
      <c r="A1467" s="26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</row>
    <row r="1468">
      <c r="A1468" s="26"/>
      <c r="B1468" s="26"/>
      <c r="C1468" s="26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</row>
    <row r="1469">
      <c r="A1469" s="26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</row>
    <row r="1470">
      <c r="A1470" s="26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</row>
    <row r="1471">
      <c r="A1471" s="26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</row>
    <row r="1472">
      <c r="A1472" s="26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</row>
    <row r="1473">
      <c r="A1473" s="26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</row>
    <row r="1474">
      <c r="A1474" s="26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</row>
    <row r="1475">
      <c r="A1475" s="26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</row>
    <row r="1476">
      <c r="A1476" s="26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</row>
    <row r="1477">
      <c r="A1477" s="26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</row>
    <row r="1478">
      <c r="A1478" s="26"/>
      <c r="B1478" s="26"/>
      <c r="C1478" s="26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</row>
    <row r="1479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</row>
    <row r="1480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</row>
    <row r="1481">
      <c r="A1481" s="26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</row>
    <row r="1482">
      <c r="A1482" s="26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6"/>
    </row>
    <row r="1483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6"/>
    </row>
    <row r="1484">
      <c r="A1484" s="26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</row>
    <row r="1485">
      <c r="A1485" s="26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</row>
    <row r="1486">
      <c r="A1486" s="26"/>
      <c r="B1486" s="26"/>
      <c r="C1486" s="26"/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</row>
    <row r="1487">
      <c r="A1487" s="26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</row>
    <row r="1488">
      <c r="A1488" s="26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</row>
    <row r="1489">
      <c r="A1489" s="26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</row>
    <row r="1490">
      <c r="A1490" s="26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</row>
    <row r="1491">
      <c r="A1491" s="26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</row>
    <row r="1492">
      <c r="A1492" s="26"/>
      <c r="B1492" s="26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</row>
    <row r="1493">
      <c r="A1493" s="26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</row>
    <row r="1494">
      <c r="A1494" s="26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</row>
    <row r="1495">
      <c r="A1495" s="26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</row>
    <row r="1496">
      <c r="A1496" s="26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</row>
    <row r="1497">
      <c r="A1497" s="26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</row>
    <row r="1498">
      <c r="A1498" s="26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</row>
    <row r="1499">
      <c r="A1499" s="26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6"/>
    </row>
    <row r="1500">
      <c r="A1500" s="26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6"/>
    </row>
    <row r="1501">
      <c r="A1501" s="26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6"/>
    </row>
    <row r="1502">
      <c r="A1502" s="26"/>
      <c r="B1502" s="26"/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</row>
    <row r="1503">
      <c r="A1503" s="26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</row>
    <row r="1504">
      <c r="A1504" s="26"/>
      <c r="B1504" s="26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</row>
    <row r="1505">
      <c r="A1505" s="26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</row>
    <row r="1506">
      <c r="A1506" s="26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</row>
    <row r="1507">
      <c r="A1507" s="26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</row>
    <row r="1508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</row>
    <row r="1509">
      <c r="A1509" s="26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</row>
    <row r="1510">
      <c r="A1510" s="26"/>
      <c r="B1510" s="26"/>
      <c r="C1510" s="26"/>
      <c r="D1510" s="26"/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</row>
    <row r="1511">
      <c r="A1511" s="26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</row>
    <row r="1512">
      <c r="A1512" s="26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</row>
    <row r="1513">
      <c r="A1513" s="26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</row>
    <row r="1514">
      <c r="A1514" s="26"/>
      <c r="B1514" s="26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</row>
    <row r="1515">
      <c r="A1515" s="26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</row>
    <row r="1516">
      <c r="A1516" s="26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</row>
    <row r="1517">
      <c r="A1517" s="26"/>
      <c r="B1517" s="26"/>
      <c r="C1517" s="26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</row>
    <row r="1518">
      <c r="A1518" s="26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</row>
    <row r="1519">
      <c r="A1519" s="26"/>
      <c r="B1519" s="26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</row>
    <row r="1520">
      <c r="A1520" s="26"/>
      <c r="B1520" s="26"/>
      <c r="C1520" s="26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</row>
    <row r="1521">
      <c r="A1521" s="26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</row>
    <row r="1522">
      <c r="A1522" s="26"/>
      <c r="B1522" s="26"/>
      <c r="C1522" s="26"/>
      <c r="D1522" s="26"/>
      <c r="E1522" s="26"/>
      <c r="F1522" s="26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</row>
    <row r="1523">
      <c r="A1523" s="26"/>
      <c r="B1523" s="26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</row>
    <row r="1524">
      <c r="A1524" s="26"/>
      <c r="B1524" s="26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</row>
    <row r="1525">
      <c r="A1525" s="26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</row>
    <row r="1526">
      <c r="A1526" s="26"/>
      <c r="B1526" s="26"/>
      <c r="C1526" s="26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</row>
    <row r="1527">
      <c r="A1527" s="26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6"/>
    </row>
    <row r="1528">
      <c r="A1528" s="26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</row>
    <row r="1529">
      <c r="A1529" s="26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</row>
    <row r="1530">
      <c r="A1530" s="26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</row>
    <row r="1531">
      <c r="A1531" s="26"/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6"/>
    </row>
    <row r="1532">
      <c r="A1532" s="26"/>
      <c r="B1532" s="26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6"/>
    </row>
    <row r="1533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6"/>
    </row>
    <row r="1534">
      <c r="A1534" s="26"/>
      <c r="B1534" s="26"/>
      <c r="C1534" s="26"/>
      <c r="D1534" s="26"/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</row>
    <row r="1535">
      <c r="A1535" s="26"/>
      <c r="B1535" s="26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</row>
    <row r="1536">
      <c r="A1536" s="26"/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</row>
    <row r="1537">
      <c r="A1537" s="26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</row>
    <row r="1538">
      <c r="A1538" s="26"/>
      <c r="B1538" s="26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</row>
    <row r="1539">
      <c r="A1539" s="26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</row>
    <row r="1540">
      <c r="A1540" s="26"/>
      <c r="B1540" s="26"/>
      <c r="C1540" s="26"/>
      <c r="D1540" s="26"/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</row>
    <row r="1541">
      <c r="A1541" s="26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</row>
    <row r="1542">
      <c r="A1542" s="26"/>
      <c r="B1542" s="26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</row>
    <row r="1543">
      <c r="A1543" s="26"/>
      <c r="B1543" s="26"/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</row>
    <row r="1544">
      <c r="A1544" s="26"/>
      <c r="B1544" s="26"/>
      <c r="C1544" s="26"/>
      <c r="D1544" s="26"/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</row>
    <row r="1545">
      <c r="A1545" s="26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</row>
    <row r="1546">
      <c r="A1546" s="26"/>
      <c r="B1546" s="26"/>
      <c r="C1546" s="26"/>
      <c r="D1546" s="26"/>
      <c r="E1546" s="26"/>
      <c r="F1546" s="26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</row>
    <row r="1547">
      <c r="A1547" s="26"/>
      <c r="B1547" s="26"/>
      <c r="C1547" s="26"/>
      <c r="D1547" s="26"/>
      <c r="E1547" s="26"/>
      <c r="F1547" s="26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</row>
    <row r="1548">
      <c r="A1548" s="26"/>
      <c r="B1548" s="26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</row>
    <row r="1549">
      <c r="A1549" s="26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</row>
    <row r="1550">
      <c r="A1550" s="26"/>
      <c r="B1550" s="26"/>
      <c r="C1550" s="26"/>
      <c r="D1550" s="26"/>
      <c r="E1550" s="26"/>
      <c r="F1550" s="26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</row>
    <row r="1551">
      <c r="A1551" s="26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</row>
    <row r="1552">
      <c r="A1552" s="26"/>
      <c r="B1552" s="26"/>
      <c r="C1552" s="26"/>
      <c r="D1552" s="26"/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</row>
    <row r="1553">
      <c r="A1553" s="26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</row>
    <row r="1554">
      <c r="A1554" s="26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</row>
    <row r="1555">
      <c r="A1555" s="26"/>
      <c r="B1555" s="26"/>
      <c r="C1555" s="26"/>
      <c r="D1555" s="26"/>
      <c r="E1555" s="26"/>
      <c r="F1555" s="26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</row>
    <row r="1556">
      <c r="A1556" s="26"/>
      <c r="B1556" s="26"/>
      <c r="C1556" s="26"/>
      <c r="D1556" s="26"/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</row>
    <row r="1557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6"/>
    </row>
    <row r="1558">
      <c r="A1558" s="26"/>
      <c r="B1558" s="26"/>
      <c r="C1558" s="26"/>
      <c r="D1558" s="26"/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6"/>
    </row>
    <row r="1559">
      <c r="A1559" s="26"/>
      <c r="B1559" s="26"/>
      <c r="C1559" s="26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</row>
    <row r="1560">
      <c r="A1560" s="26"/>
      <c r="B1560" s="26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6"/>
    </row>
    <row r="1561">
      <c r="A1561" s="26"/>
      <c r="B1561" s="26"/>
      <c r="C1561" s="26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</row>
    <row r="1562">
      <c r="A1562" s="26"/>
      <c r="B1562" s="26"/>
      <c r="C1562" s="26"/>
      <c r="D1562" s="26"/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</row>
    <row r="1563">
      <c r="A1563" s="26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</row>
    <row r="1564">
      <c r="A1564" s="26"/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</row>
    <row r="1565">
      <c r="A1565" s="26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</row>
    <row r="1566">
      <c r="A1566" s="26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</row>
    <row r="1567">
      <c r="A1567" s="26"/>
      <c r="B1567" s="26"/>
      <c r="C1567" s="26"/>
      <c r="D1567" s="26"/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</row>
    <row r="1568">
      <c r="A1568" s="26"/>
      <c r="B1568" s="26"/>
      <c r="C1568" s="26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</row>
    <row r="1569">
      <c r="A1569" s="26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</row>
    <row r="1570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</row>
    <row r="1571">
      <c r="A1571" s="26"/>
      <c r="B1571" s="26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</row>
    <row r="1572">
      <c r="A1572" s="26"/>
      <c r="B1572" s="26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</row>
    <row r="1573">
      <c r="A1573" s="26"/>
      <c r="B1573" s="26"/>
      <c r="C1573" s="26"/>
      <c r="D1573" s="26"/>
      <c r="E1573" s="26"/>
      <c r="F1573" s="26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</row>
    <row r="1574">
      <c r="A1574" s="26"/>
      <c r="B1574" s="26"/>
      <c r="C1574" s="26"/>
      <c r="D1574" s="26"/>
      <c r="E1574" s="26"/>
      <c r="F1574" s="26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</row>
    <row r="1575">
      <c r="A1575" s="26"/>
      <c r="B1575" s="26"/>
      <c r="C1575" s="26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</row>
    <row r="1576">
      <c r="A1576" s="26"/>
      <c r="B1576" s="26"/>
      <c r="C1576" s="26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</row>
    <row r="1577">
      <c r="A1577" s="26"/>
      <c r="B1577" s="26"/>
      <c r="C1577" s="26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</row>
    <row r="1578">
      <c r="A1578" s="26"/>
      <c r="B1578" s="26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</row>
    <row r="1579">
      <c r="A1579" s="26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</row>
    <row r="1580">
      <c r="A1580" s="26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</row>
    <row r="1581">
      <c r="A1581" s="26"/>
      <c r="B1581" s="26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6"/>
    </row>
    <row r="1582">
      <c r="A1582" s="26"/>
      <c r="B1582" s="26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</row>
    <row r="1583">
      <c r="A1583" s="26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</row>
    <row r="1584">
      <c r="A1584" s="26"/>
      <c r="B1584" s="26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</row>
    <row r="1585">
      <c r="A1585" s="26"/>
      <c r="B1585" s="26"/>
      <c r="C1585" s="26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</row>
    <row r="1586">
      <c r="A1586" s="26"/>
      <c r="B1586" s="26"/>
      <c r="C1586" s="26"/>
      <c r="D1586" s="26"/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</row>
    <row r="1587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</row>
    <row r="1588">
      <c r="A1588" s="26"/>
      <c r="B1588" s="26"/>
      <c r="C1588" s="26"/>
      <c r="D1588" s="26"/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6"/>
    </row>
    <row r="1589">
      <c r="A1589" s="26"/>
      <c r="B1589" s="26"/>
      <c r="C1589" s="26"/>
      <c r="D1589" s="26"/>
      <c r="E1589" s="26"/>
      <c r="F1589" s="26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</row>
    <row r="1590">
      <c r="A1590" s="26"/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</row>
    <row r="1591">
      <c r="A1591" s="26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>
      <c r="A1592" s="26"/>
      <c r="B1592" s="26"/>
      <c r="C1592" s="26"/>
      <c r="D1592" s="26"/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</row>
    <row r="1593">
      <c r="A1593" s="26"/>
      <c r="B1593" s="26"/>
      <c r="C1593" s="26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</row>
    <row r="1594">
      <c r="A1594" s="26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</row>
    <row r="1595">
      <c r="A1595" s="26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</row>
    <row r="1596">
      <c r="A1596" s="26"/>
      <c r="B1596" s="26"/>
      <c r="C1596" s="26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6"/>
    </row>
    <row r="1597">
      <c r="A1597" s="26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6"/>
    </row>
    <row r="1598">
      <c r="A1598" s="26"/>
      <c r="B1598" s="26"/>
      <c r="C1598" s="26"/>
      <c r="D1598" s="26"/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6"/>
    </row>
    <row r="1599">
      <c r="A1599" s="26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6"/>
    </row>
    <row r="1600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6"/>
    </row>
    <row r="1601">
      <c r="A1601" s="26"/>
      <c r="B1601" s="26"/>
      <c r="C1601" s="26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</row>
    <row r="1602">
      <c r="A1602" s="26"/>
      <c r="B1602" s="26"/>
      <c r="C1602" s="26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</row>
    <row r="1603">
      <c r="A1603" s="26"/>
      <c r="B1603" s="26"/>
      <c r="C1603" s="26"/>
      <c r="D1603" s="26"/>
      <c r="E1603" s="26"/>
      <c r="F1603" s="26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88"/>
    <col customWidth="1" min="6" max="6" width="26.25"/>
  </cols>
  <sheetData>
    <row r="1">
      <c r="A1" s="29" t="str">
        <f>IFERROR(__xludf.DUMMYFUNCTION("IMPORTRANGE(""https://docs.google.com/spreadsheets/d/196Silsrf5-pGVgMAh12IsxqLLk10J-5WvEmb-v-qEgc/edit?pli=1&amp;gid=91105518#gid=91105518"", ""Tutors Data!B:B"")"),"Tutor Name")</f>
        <v>Tutor Name</v>
      </c>
      <c r="B1" s="29" t="str">
        <f>IFERROR(__xludf.DUMMYFUNCTION("IMPORTRANGE(""https://docs.google.com/spreadsheets/d/196Silsrf5-pGVgMAh12IsxqLLk10J-5WvEmb-v-qEgc/edit?pli=1&amp;gid=91105518#gid=91105518"", ""Tutors Data!a:a"")"),"Tutor ID")</f>
        <v>Tutor ID</v>
      </c>
      <c r="C1" s="29" t="str">
        <f>IFERROR(__xludf.DUMMYFUNCTION("IMPORTRANGE(""https://docs.google.com/spreadsheets/d/196Silsrf5-pGVgMAh12IsxqLLk10J-5WvEmb-v-qEgc/edit?pli=1&amp;gid=91105518#gid=91105518"", ""Tutors Data!B:B"")"),"Tutor Name")</f>
        <v>Tutor Name</v>
      </c>
      <c r="D1" s="29" t="str">
        <f>IFERROR(__xludf.DUMMYFUNCTION("IMPORTRANGE(""https://docs.google.com/spreadsheets/d/196Silsrf5-pGVgMAh12IsxqLLk10J-5WvEmb-v-qEgc/edit?pli=1&amp;gid=91105518#gid=91105518"", ""Tutors Data!d:d"")"),"HR ID")</f>
        <v>HR ID</v>
      </c>
      <c r="E1" s="5" t="str">
        <f>IFERROR(__xludf.DUMMYFUNCTION("IMPORTRANGE(""https://docs.google.com/spreadsheets/d/196Silsrf5-pGVgMAh12IsxqLLk10J-5WvEmb-v-qEgc/edit?pli=1&amp;gid=91105518#gid=91105518"", ""Tutors Data!g:g"")"),"Stages")</f>
        <v>Stages</v>
      </c>
      <c r="F1" s="5" t="str">
        <f>IFERROR(__xludf.DUMMYFUNCTION("IMPORTRANGE(""https://docs.google.com/spreadsheets/d/196Silsrf5-pGVgMAh12IsxqLLk10J-5WvEmb-v-qEgc/edit?pli=1&amp;gid=91105518#gid=91105518"", ""Tutors Data!h:i"")"),"email")</f>
        <v>email</v>
      </c>
      <c r="G1" s="5" t="str">
        <f>IFERROR(__xludf.DUMMYFUNCTION("""COMPUTED_VALUE"""),"Mobile Number")</f>
        <v>Mobile Number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tr">
        <f>IFERROR(__xludf.DUMMYFUNCTION("""COMPUTED_VALUE"""),"أحمد حاتم")</f>
        <v>أحمد حاتم</v>
      </c>
      <c r="B2" s="5">
        <f>IFERROR(__xludf.DUMMYFUNCTION("""COMPUTED_VALUE"""),1.79169073012E11)</f>
        <v>179169073012</v>
      </c>
      <c r="C2" s="5" t="str">
        <f>IFERROR(__xludf.DUMMYFUNCTION("""COMPUTED_VALUE"""),"أحمد حاتم")</f>
        <v>أحمد حاتم</v>
      </c>
      <c r="D2" s="30" t="str">
        <f>IFERROR(__xludf.DUMMYFUNCTION("""COMPUTED_VALUE"""),"888")</f>
        <v>888</v>
      </c>
      <c r="E2" s="5"/>
      <c r="F2" s="5" t="str">
        <f>IFERROR(__xludf.DUMMYFUNCTION("""COMPUTED_VALUE"""),"ahmed.hatem@nagwa.com")</f>
        <v>ahmed.hatem@nagwa.com</v>
      </c>
      <c r="G2" s="5">
        <f>IFERROR(__xludf.DUMMYFUNCTION("""COMPUTED_VALUE"""),2.01156629949E11)</f>
        <v>201156629949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tr">
        <f>IFERROR(__xludf.DUMMYFUNCTION("""COMPUTED_VALUE"""),"مازن جاد")</f>
        <v>مازن جاد</v>
      </c>
      <c r="B3" s="5">
        <f>IFERROR(__xludf.DUMMYFUNCTION("""COMPUTED_VALUE"""),4.52123973904E11)</f>
        <v>452123973904</v>
      </c>
      <c r="C3" s="5" t="str">
        <f>IFERROR(__xludf.DUMMYFUNCTION("""COMPUTED_VALUE"""),"مازن جاد")</f>
        <v>مازن جاد</v>
      </c>
      <c r="D3" s="30" t="str">
        <f>IFERROR(__xludf.DUMMYFUNCTION("""COMPUTED_VALUE"""),"1330")</f>
        <v>1330</v>
      </c>
      <c r="E3" s="5"/>
      <c r="F3" s="5" t="str">
        <f>IFERROR(__xludf.DUMMYFUNCTION("""COMPUTED_VALUE"""),"s-mazenhafez@zewailcity.edu.eg")</f>
        <v>s-mazenhafez@zewailcity.edu.eg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tr">
        <f>IFERROR(__xludf.DUMMYFUNCTION("""COMPUTED_VALUE"""),"ربيع الدوحة")</f>
        <v>ربيع الدوحة</v>
      </c>
      <c r="B4" s="5">
        <f>IFERROR(__xludf.DUMMYFUNCTION("""COMPUTED_VALUE"""),6.5617963685E11)</f>
        <v>656179636850</v>
      </c>
      <c r="C4" s="5" t="str">
        <f>IFERROR(__xludf.DUMMYFUNCTION("""COMPUTED_VALUE"""),"ربيع الدوحة")</f>
        <v>ربيع الدوحة</v>
      </c>
      <c r="D4" s="30" t="str">
        <f>IFERROR(__xludf.DUMMYFUNCTION("""COMPUTED_VALUE"""),"110")</f>
        <v>110</v>
      </c>
      <c r="E4" s="5" t="str">
        <f>IFERROR(__xludf.DUMMYFUNCTION("""COMPUTED_VALUE"""),"EG07-EG08-EG09-EG10-EG11-EG12")</f>
        <v>EG07-EG08-EG09-EG10-EG11-EG12</v>
      </c>
      <c r="F4" s="5" t="str">
        <f>IFERROR(__xludf.DUMMYFUNCTION("""COMPUTED_VALUE"""),"rabeeelshaer1@gmail.com")</f>
        <v>rabeeelshaer1@gmail.com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tr">
        <f>IFERROR(__xludf.DUMMYFUNCTION("""COMPUTED_VALUE"""),"رضا جبريل")</f>
        <v>رضا جبريل</v>
      </c>
      <c r="B5" s="5">
        <f>IFERROR(__xludf.DUMMYFUNCTION("""COMPUTED_VALUE"""),1.98159430149E11)</f>
        <v>198159430149</v>
      </c>
      <c r="C5" s="5" t="str">
        <f>IFERROR(__xludf.DUMMYFUNCTION("""COMPUTED_VALUE"""),"رضا جبريل")</f>
        <v>رضا جبريل</v>
      </c>
      <c r="D5" s="30" t="str">
        <f>IFERROR(__xludf.DUMMYFUNCTION("""COMPUTED_VALUE"""),"1083")</f>
        <v>1083</v>
      </c>
      <c r="E5" s="5" t="str">
        <f>IFERROR(__xludf.DUMMYFUNCTION("""COMPUTED_VALUE"""),"EG10-EG11-EG12")</f>
        <v>EG10-EG11-EG12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tr">
        <f>IFERROR(__xludf.DUMMYFUNCTION("""COMPUTED_VALUE"""),"عبير فؤاد")</f>
        <v>عبير فؤاد</v>
      </c>
      <c r="B6" s="5">
        <f>IFERROR(__xludf.DUMMYFUNCTION("""COMPUTED_VALUE"""),8.93170457017E11)</f>
        <v>893170457017</v>
      </c>
      <c r="C6" s="5" t="str">
        <f>IFERROR(__xludf.DUMMYFUNCTION("""COMPUTED_VALUE"""),"عبير فؤاد")</f>
        <v>عبير فؤاد</v>
      </c>
      <c r="D6" s="30" t="str">
        <f>IFERROR(__xludf.DUMMYFUNCTION("""COMPUTED_VALUE"""),"1245")</f>
        <v>1245</v>
      </c>
      <c r="E6" s="5"/>
      <c r="F6" s="5" t="str">
        <f>IFERROR(__xludf.DUMMYFUNCTION("""COMPUTED_VALUE"""),"abeer.fouad@nagwa.com")</f>
        <v>abeer.fouad@nagwa.com</v>
      </c>
      <c r="G6" s="5">
        <f>IFERROR(__xludf.DUMMYFUNCTION("""COMPUTED_VALUE"""),2.01090406534E11)</f>
        <v>201090406534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tr">
        <f>IFERROR(__xludf.DUMMYFUNCTION("""COMPUTED_VALUE"""),"عبد الله معين")</f>
        <v>عبد الله معين</v>
      </c>
      <c r="B7" s="5">
        <f>IFERROR(__xludf.DUMMYFUNCTION("""COMPUTED_VALUE"""),1.30151805637E11)</f>
        <v>130151805637</v>
      </c>
      <c r="C7" s="5" t="str">
        <f>IFERROR(__xludf.DUMMYFUNCTION("""COMPUTED_VALUE"""),"عبد الله معين")</f>
        <v>عبد الله معين</v>
      </c>
      <c r="D7" s="30" t="str">
        <f>IFERROR(__xludf.DUMMYFUNCTION("""COMPUTED_VALUE"""),"145")</f>
        <v>145</v>
      </c>
      <c r="E7" s="5" t="str">
        <f>IFERROR(__xludf.DUMMYFUNCTION("""COMPUTED_VALUE"""),"EG04-EG05-EG06-EG07-EG08-EG09-EG10-EG11-EG12")</f>
        <v>EG04-EG05-EG06-EG07-EG08-EG09-EG10-EG11-EG12</v>
      </c>
      <c r="F7" s="5" t="str">
        <f>IFERROR(__xludf.DUMMYFUNCTION("""COMPUTED_VALUE"""),"abdallah.moeenn@gmail.com")</f>
        <v>abdallah.moeenn@gmail.com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tr">
        <f>IFERROR(__xludf.DUMMYFUNCTION("""COMPUTED_VALUE"""),"محمد البدساوي")</f>
        <v>محمد البدساوي</v>
      </c>
      <c r="B8" s="5">
        <f>IFERROR(__xludf.DUMMYFUNCTION("""COMPUTED_VALUE"""),1.43165762069E11)</f>
        <v>143165762069</v>
      </c>
      <c r="C8" s="5" t="str">
        <f>IFERROR(__xludf.DUMMYFUNCTION("""COMPUTED_VALUE"""),"محمد البدساوي")</f>
        <v>محمد البدساوي</v>
      </c>
      <c r="D8" s="30" t="str">
        <f>IFERROR(__xludf.DUMMYFUNCTION("""COMPUTED_VALUE"""),"737")</f>
        <v>737</v>
      </c>
      <c r="E8" s="5" t="str">
        <f>IFERROR(__xludf.DUMMYFUNCTION("""COMPUTED_VALUE"""),"EG04-EG05-EG06-EG07-EG08-EG09-EG10-EG11-EG12")</f>
        <v>EG04-EG05-EG06-EG07-EG08-EG09-EG10-EG11-EG12</v>
      </c>
      <c r="F8" s="5" t="str">
        <f>IFERROR(__xludf.DUMMYFUNCTION("""COMPUTED_VALUE"""),"mohamed.eid@nagwa.com")</f>
        <v>mohamed.eid@nagwa.com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tr">
        <f>IFERROR(__xludf.DUMMYFUNCTION("""COMPUTED_VALUE"""),"محمد إسماعيل")</f>
        <v>محمد إسماعيل</v>
      </c>
      <c r="B9" s="5">
        <f>IFERROR(__xludf.DUMMYFUNCTION("""COMPUTED_VALUE"""),9.06184953437E11)</f>
        <v>906184953437</v>
      </c>
      <c r="C9" s="5" t="str">
        <f>IFERROR(__xludf.DUMMYFUNCTION("""COMPUTED_VALUE"""),"محمد إسماعيل")</f>
        <v>محمد إسماعيل</v>
      </c>
      <c r="D9" s="30" t="str">
        <f>IFERROR(__xludf.DUMMYFUNCTION("""COMPUTED_VALUE"""),"1763")</f>
        <v>1763</v>
      </c>
      <c r="E9" s="5"/>
      <c r="F9" s="5" t="str">
        <f>IFERROR(__xludf.DUMMYFUNCTION("""COMPUTED_VALUE"""),"ismailm1989@gmail.com")</f>
        <v>ismailm1989@gmail.com</v>
      </c>
      <c r="G9" s="5">
        <f>IFERROR(__xludf.DUMMYFUNCTION("""COMPUTED_VALUE"""),2.01129525491E11)</f>
        <v>201129525491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tr">
        <f>IFERROR(__xludf.DUMMYFUNCTION("""COMPUTED_VALUE"""),"عمرو خطاب")</f>
        <v>عمرو خطاب</v>
      </c>
      <c r="B10" s="5">
        <f>IFERROR(__xludf.DUMMYFUNCTION("""COMPUTED_VALUE"""),1.59150394389E11)</f>
        <v>159150394389</v>
      </c>
      <c r="C10" s="5" t="str">
        <f>IFERROR(__xludf.DUMMYFUNCTION("""COMPUTED_VALUE"""),"عمرو خطاب")</f>
        <v>عمرو خطاب</v>
      </c>
      <c r="D10" s="30" t="str">
        <f>IFERROR(__xludf.DUMMYFUNCTION("""COMPUTED_VALUE"""),"443")</f>
        <v>443</v>
      </c>
      <c r="E10" s="5"/>
      <c r="F10" s="5" t="str">
        <f>IFERROR(__xludf.DUMMYFUNCTION("""COMPUTED_VALUE"""),"amr.khattab@nagwa.com")</f>
        <v>amr.khattab@nagwa.com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tr">
        <f>IFERROR(__xludf.DUMMYFUNCTION("""COMPUTED_VALUE"""),"حسين مصطفى")</f>
        <v>حسين مصطفى</v>
      </c>
      <c r="B11" s="5">
        <f>IFERROR(__xludf.DUMMYFUNCTION("""COMPUTED_VALUE"""),4.67134069813E11)</f>
        <v>467134069813</v>
      </c>
      <c r="C11" s="5" t="str">
        <f>IFERROR(__xludf.DUMMYFUNCTION("""COMPUTED_VALUE"""),"حسين مصطفى")</f>
        <v>حسين مصطفى</v>
      </c>
      <c r="D11" s="30" t="str">
        <f>IFERROR(__xludf.DUMMYFUNCTION("""COMPUTED_VALUE"""),"1127")</f>
        <v>1127</v>
      </c>
      <c r="E11" s="5" t="str">
        <f>IFERROR(__xludf.DUMMYFUNCTION("""COMPUTED_VALUE"""),"EG04-EG05-EG06-EG07-EG08-EG09-EG10-EG11-EG12")</f>
        <v>EG04-EG05-EG06-EG07-EG08-EG09-EG10-EG11-EG12</v>
      </c>
      <c r="F11" s="5" t="str">
        <f>IFERROR(__xludf.DUMMYFUNCTION("""COMPUTED_VALUE"""),"hussein.mostafa@nagwa.com")</f>
        <v>hussein.mostafa@nagwa.com</v>
      </c>
      <c r="G11" s="5">
        <f>IFERROR(__xludf.DUMMYFUNCTION("""COMPUTED_VALUE"""),2.01091050146E11)</f>
        <v>201091050146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tr">
        <f>IFERROR(__xludf.DUMMYFUNCTION("""COMPUTED_VALUE"""),"علياء مكاوي")</f>
        <v>علياء مكاوي</v>
      </c>
      <c r="B12" s="5">
        <f>IFERROR(__xludf.DUMMYFUNCTION("""COMPUTED_VALUE"""),6.15158327698E11)</f>
        <v>615158327698</v>
      </c>
      <c r="C12" s="5" t="str">
        <f>IFERROR(__xludf.DUMMYFUNCTION("""COMPUTED_VALUE"""),"علياء مكاوي")</f>
        <v>علياء مكاوي</v>
      </c>
      <c r="D12" s="5" t="str">
        <f>IFERROR(__xludf.DUMMYFUNCTION("""COMPUTED_VALUE"""),"1471")</f>
        <v>1471</v>
      </c>
      <c r="E12" s="5" t="str">
        <f>IFERROR(__xludf.DUMMYFUNCTION("""COMPUTED_VALUE"""),"EG04-EG05-EG06-EG07-EG08-EG09")</f>
        <v>EG04-EG05-EG06-EG07-EG08-EG09</v>
      </c>
      <c r="F12" s="5" t="str">
        <f>IFERROR(__xludf.DUMMYFUNCTION("""COMPUTED_VALUE"""),"aliaa.makkawy@nagwa.com")</f>
        <v>aliaa.makkawy@nagwa.com</v>
      </c>
      <c r="G12" s="5">
        <f>IFERROR(__xludf.DUMMYFUNCTION("""COMPUTED_VALUE"""),2.01063570903E11)</f>
        <v>201063570903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tr">
        <f>IFERROR(__xludf.DUMMYFUNCTION("""COMPUTED_VALUE"""),"زينة الشيخ")</f>
        <v>زينة الشيخ</v>
      </c>
      <c r="B13" s="5">
        <f>IFERROR(__xludf.DUMMYFUNCTION("""COMPUTED_VALUE"""),6.32164034291E11)</f>
        <v>632164034291</v>
      </c>
      <c r="C13" s="5" t="str">
        <f>IFERROR(__xludf.DUMMYFUNCTION("""COMPUTED_VALUE"""),"زينة الشيخ")</f>
        <v>زينة الشيخ</v>
      </c>
      <c r="D13" s="30" t="str">
        <f>IFERROR(__xludf.DUMMYFUNCTION("""COMPUTED_VALUE"""),"1004")</f>
        <v>1004</v>
      </c>
      <c r="E13" s="5" t="str">
        <f>IFERROR(__xludf.DUMMYFUNCTION("""COMPUTED_VALUE"""),"EG04-EG05-EG06-EG07-EG08-EG09")</f>
        <v>EG04-EG05-EG06-EG07-EG08-EG09</v>
      </c>
      <c r="F13" s="5" t="str">
        <f>IFERROR(__xludf.DUMMYFUNCTION("""COMPUTED_VALUE"""),"zeina.elsheikh@nagwa.com")</f>
        <v>zeina.elsheikh@nagwa.com</v>
      </c>
      <c r="G13" s="5" t="str">
        <f>IFERROR(__xludf.DUMMYFUNCTION("""COMPUTED_VALUE"""),"01097890222")</f>
        <v>01097890222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tr">
        <f>IFERROR(__xludf.DUMMYFUNCTION("""COMPUTED_VALUE"""),"إسلام محمد")</f>
        <v>إسلام محمد</v>
      </c>
      <c r="B14" s="5">
        <f>IFERROR(__xludf.DUMMYFUNCTION("""COMPUTED_VALUE"""),1.70181505929E11)</f>
        <v>170181505929</v>
      </c>
      <c r="C14" s="5" t="str">
        <f>IFERROR(__xludf.DUMMYFUNCTION("""COMPUTED_VALUE"""),"إسلام محمد")</f>
        <v>إسلام محمد</v>
      </c>
      <c r="D14" s="30" t="str">
        <f>IFERROR(__xludf.DUMMYFUNCTION("""COMPUTED_VALUE"""),"1647")</f>
        <v>1647</v>
      </c>
      <c r="E14" s="5"/>
      <c r="F14" s="5" t="str">
        <f>IFERROR(__xludf.DUMMYFUNCTION("""COMPUTED_VALUE"""),"eslam.mohamed@nagwa.com")</f>
        <v>eslam.mohamed@nagwa.com</v>
      </c>
      <c r="G14" s="5" t="str">
        <f>IFERROR(__xludf.DUMMYFUNCTION("""COMPUTED_VALUE"""),"01097158020")</f>
        <v>01097158020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tr">
        <f>IFERROR(__xludf.DUMMYFUNCTION("""COMPUTED_VALUE"""),"محمد رفعت")</f>
        <v>محمد رفعت</v>
      </c>
      <c r="B15" s="5">
        <f>IFERROR(__xludf.DUMMYFUNCTION("""COMPUTED_VALUE"""),6.98108096794E11)</f>
        <v>698108096794</v>
      </c>
      <c r="C15" s="5" t="str">
        <f>IFERROR(__xludf.DUMMYFUNCTION("""COMPUTED_VALUE"""),"محمد رفعت")</f>
        <v>محمد رفعت</v>
      </c>
      <c r="D15" s="30" t="str">
        <f>IFERROR(__xludf.DUMMYFUNCTION("""COMPUTED_VALUE"""),"1776")</f>
        <v>1776</v>
      </c>
      <c r="E15" s="5"/>
      <c r="F15" s="5" t="str">
        <f>IFERROR(__xludf.DUMMYFUNCTION("""COMPUTED_VALUE"""),"seniormaths25@gmail.com")</f>
        <v>seniormaths25@gmail.com</v>
      </c>
      <c r="G15" s="5" t="str">
        <f>IFERROR(__xludf.DUMMYFUNCTION("""COMPUTED_VALUE"""),"01129242524")</f>
        <v>01129242524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tr">
        <f>IFERROR(__xludf.DUMMYFUNCTION("""COMPUTED_VALUE"""),"نورهان حشاد")</f>
        <v>نورهان حشاد</v>
      </c>
      <c r="B16" s="5">
        <f>IFERROR(__xludf.DUMMYFUNCTION("""COMPUTED_VALUE"""),4.08124082075E11)</f>
        <v>408124082075</v>
      </c>
      <c r="C16" s="5" t="str">
        <f>IFERROR(__xludf.DUMMYFUNCTION("""COMPUTED_VALUE"""),"نورهان حشاد")</f>
        <v>نورهان حشاد</v>
      </c>
      <c r="D16" s="30">
        <f>IFERROR(__xludf.DUMMYFUNCTION("""COMPUTED_VALUE"""),1363.0)</f>
        <v>1363</v>
      </c>
      <c r="E16" s="5"/>
      <c r="F16" s="5" t="str">
        <f>IFERROR(__xludf.DUMMYFUNCTION("""COMPUTED_VALUE"""),"nourhan.hashad@nagwa.com")</f>
        <v>nourhan.hashad@nagwa.com</v>
      </c>
      <c r="G16" s="5">
        <f>IFERROR(__xludf.DUMMYFUNCTION("""COMPUTED_VALUE"""),2.01112094005E11)</f>
        <v>201112094005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tr">
        <f>IFERROR(__xludf.DUMMYFUNCTION("""COMPUTED_VALUE"""),"أحمد عماد")</f>
        <v>أحمد عماد</v>
      </c>
      <c r="B17" s="5">
        <f>IFERROR(__xludf.DUMMYFUNCTION("""COMPUTED_VALUE"""),3.52134305787E11)</f>
        <v>352134305787</v>
      </c>
      <c r="C17" s="5" t="str">
        <f>IFERROR(__xludf.DUMMYFUNCTION("""COMPUTED_VALUE"""),"أحمد عماد")</f>
        <v>أحمد عماد</v>
      </c>
      <c r="D17" s="30" t="str">
        <f>IFERROR(__xludf.DUMMYFUNCTION("""COMPUTED_VALUE"""),"1212")</f>
        <v>1212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tr">
        <f>IFERROR(__xludf.DUMMYFUNCTION("""COMPUTED_VALUE"""),"شادي خالد")</f>
        <v>شادي خالد</v>
      </c>
      <c r="B18" s="5">
        <f>IFERROR(__xludf.DUMMYFUNCTION("""COMPUTED_VALUE"""),6.48193010591E11)</f>
        <v>648193010591</v>
      </c>
      <c r="C18" s="5" t="str">
        <f>IFERROR(__xludf.DUMMYFUNCTION("""COMPUTED_VALUE"""),"شادي خالد")</f>
        <v>شادي خالد</v>
      </c>
      <c r="D18" s="30" t="str">
        <f>IFERROR(__xludf.DUMMYFUNCTION("""COMPUTED_VALUE"""),"1087")</f>
        <v>1087</v>
      </c>
      <c r="E18" s="5" t="str">
        <f>IFERROR(__xludf.DUMMYFUNCTION("""COMPUTED_VALUE"""),"EG10-EG11-G12")</f>
        <v>EG10-EG11-G12</v>
      </c>
      <c r="F18" s="5" t="str">
        <f>IFERROR(__xludf.DUMMYFUNCTION("""COMPUTED_VALUE"""),"shady.donia@nagwa.com")</f>
        <v>shady.donia@nagwa.com</v>
      </c>
      <c r="G18" s="5">
        <f>IFERROR(__xludf.DUMMYFUNCTION("""COMPUTED_VALUE"""),2.01119117049E11)</f>
        <v>201119117049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tr">
        <f>IFERROR(__xludf.DUMMYFUNCTION("""COMPUTED_VALUE"""),"ملك عليوي")</f>
        <v>ملك عليوي</v>
      </c>
      <c r="B19" s="5">
        <f>IFERROR(__xludf.DUMMYFUNCTION("""COMPUTED_VALUE"""),5.35169041274E11)</f>
        <v>535169041274</v>
      </c>
      <c r="C19" s="5" t="str">
        <f>IFERROR(__xludf.DUMMYFUNCTION("""COMPUTED_VALUE"""),"ملك عليوي")</f>
        <v>ملك عليوي</v>
      </c>
      <c r="D19" s="30" t="str">
        <f>IFERROR(__xludf.DUMMYFUNCTION("""COMPUTED_VALUE"""),"1490")</f>
        <v>1490</v>
      </c>
      <c r="E19" s="5" t="str">
        <f>IFERROR(__xludf.DUMMYFUNCTION("""COMPUTED_VALUE"""),"EG10-EG11")</f>
        <v>EG10-EG11</v>
      </c>
      <c r="F19" s="5" t="str">
        <f>IFERROR(__xludf.DUMMYFUNCTION("""COMPUTED_VALUE"""),"malak.maliwy@gmail.com")</f>
        <v>malak.maliwy@gmail.com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tr">
        <f>IFERROR(__xludf.DUMMYFUNCTION("""COMPUTED_VALUE"""),"عمرو خليل")</f>
        <v>عمرو خليل</v>
      </c>
      <c r="B20" s="5">
        <f>IFERROR(__xludf.DUMMYFUNCTION("""COMPUTED_VALUE"""),8.95194823203E11)</f>
        <v>895194823203</v>
      </c>
      <c r="C20" s="5" t="str">
        <f>IFERROR(__xludf.DUMMYFUNCTION("""COMPUTED_VALUE"""),"عمرو خليل")</f>
        <v>عمرو خليل</v>
      </c>
      <c r="D20" s="30" t="str">
        <f>IFERROR(__xludf.DUMMYFUNCTION("""COMPUTED_VALUE"""),"1779")</f>
        <v>1779</v>
      </c>
      <c r="E20" s="5"/>
      <c r="F20" s="5" t="str">
        <f>IFERROR(__xludf.DUMMYFUNCTION("""COMPUTED_VALUE"""),"eng.amrkhalil2014@gmail.com")</f>
        <v>eng.amrkhalil2014@gmail.com</v>
      </c>
      <c r="G20" s="5">
        <f>IFERROR(__xludf.DUMMYFUNCTION("""COMPUTED_VALUE"""),2.0114648675E11)</f>
        <v>201146486750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tr">
        <f>IFERROR(__xludf.DUMMYFUNCTION("""COMPUTED_VALUE"""),"أحمد هنداوي")</f>
        <v>أحمد هنداوي</v>
      </c>
      <c r="B21" s="5">
        <f>IFERROR(__xludf.DUMMYFUNCTION("""COMPUTED_VALUE"""),2.3819723036E11)</f>
        <v>238197230360</v>
      </c>
      <c r="C21" s="5" t="str">
        <f>IFERROR(__xludf.DUMMYFUNCTION("""COMPUTED_VALUE"""),"أحمد هنداوي")</f>
        <v>أحمد هنداوي</v>
      </c>
      <c r="D21" s="5" t="str">
        <f>IFERROR(__xludf.DUMMYFUNCTION("""COMPUTED_VALUE"""),"#N/A")</f>
        <v>#N/A</v>
      </c>
      <c r="E21" s="5"/>
      <c r="F21" s="5" t="str">
        <f>IFERROR(__xludf.DUMMYFUNCTION("""COMPUTED_VALUE"""),"ahmed.hindawi@nagwa.com")</f>
        <v>ahmed.hindawi@nagwa.com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tr">
        <f>IFERROR(__xludf.DUMMYFUNCTION("""COMPUTED_VALUE"""),"عصام عمر")</f>
        <v>عصام عمر</v>
      </c>
      <c r="B22" s="5">
        <f>IFERROR(__xludf.DUMMYFUNCTION("""COMPUTED_VALUE"""),1.42159241646E11)</f>
        <v>142159241646</v>
      </c>
      <c r="C22" s="5" t="str">
        <f>IFERROR(__xludf.DUMMYFUNCTION("""COMPUTED_VALUE"""),"عصام عمر")</f>
        <v>عصام عمر</v>
      </c>
      <c r="D22" s="30" t="str">
        <f>IFERROR(__xludf.DUMMYFUNCTION("""COMPUTED_VALUE"""),"1534")</f>
        <v>1534</v>
      </c>
      <c r="E22" s="5"/>
      <c r="F22" s="5" t="str">
        <f>IFERROR(__xludf.DUMMYFUNCTION("""COMPUTED_VALUE"""),"essam.omar@nagwa.com")</f>
        <v>essam.omar@nagwa.com</v>
      </c>
      <c r="G22" s="5">
        <f>IFERROR(__xludf.DUMMYFUNCTION("""COMPUTED_VALUE"""),2.01113618461E11)</f>
        <v>201113618461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tr">
        <f>IFERROR(__xludf.DUMMYFUNCTION("""COMPUTED_VALUE"""),"محمد رمضان")</f>
        <v>محمد رمضان</v>
      </c>
      <c r="B23" s="5">
        <f>IFERROR(__xludf.DUMMYFUNCTION("""COMPUTED_VALUE"""),9.4018209041E11)</f>
        <v>940182090410</v>
      </c>
      <c r="C23" s="5" t="str">
        <f>IFERROR(__xludf.DUMMYFUNCTION("""COMPUTED_VALUE"""),"محمد رمضان")</f>
        <v>محمد رمضان</v>
      </c>
      <c r="D23" s="30" t="str">
        <f>IFERROR(__xludf.DUMMYFUNCTION("""COMPUTED_VALUE"""),"575")</f>
        <v>575</v>
      </c>
      <c r="E23" s="5"/>
      <c r="F23" s="5" t="str">
        <f>IFERROR(__xludf.DUMMYFUNCTION("""COMPUTED_VALUE"""),"mohammed.elsayed.ramadan@nagwa.com")</f>
        <v>mohammed.elsayed.ramadan@nagwa.com</v>
      </c>
      <c r="G23" s="5">
        <f>IFERROR(__xludf.DUMMYFUNCTION("""COMPUTED_VALUE"""),2.01025475475E11)</f>
        <v>201025475475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tr">
        <f>IFERROR(__xludf.DUMMYFUNCTION("""COMPUTED_VALUE"""),"محمد إمام")</f>
        <v>محمد إمام</v>
      </c>
      <c r="B24" s="5">
        <f>IFERROR(__xludf.DUMMYFUNCTION("""COMPUTED_VALUE"""),9.13169734907E11)</f>
        <v>913169734907</v>
      </c>
      <c r="C24" s="5" t="str">
        <f>IFERROR(__xludf.DUMMYFUNCTION("""COMPUTED_VALUE"""),"محمد إمام")</f>
        <v>محمد إمام</v>
      </c>
      <c r="D24" s="30" t="str">
        <f>IFERROR(__xludf.DUMMYFUNCTION("""COMPUTED_VALUE"""),"1759")</f>
        <v>1759</v>
      </c>
      <c r="E24" s="5" t="str">
        <f>IFERROR(__xludf.DUMMYFUNCTION("""COMPUTED_VALUE"""),"EG10-EG11-G12")</f>
        <v>EG10-EG11-G12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tr">
        <f>IFERROR(__xludf.DUMMYFUNCTION("""COMPUTED_VALUE"""),"أحمد ياقوت")</f>
        <v>أحمد ياقوت</v>
      </c>
      <c r="B25" s="5">
        <f>IFERROR(__xludf.DUMMYFUNCTION("""COMPUTED_VALUE"""),2.84105320408E11)</f>
        <v>284105320408</v>
      </c>
      <c r="C25" s="5" t="str">
        <f>IFERROR(__xludf.DUMMYFUNCTION("""COMPUTED_VALUE"""),"أحمد ياقوت")</f>
        <v>أحمد ياقوت</v>
      </c>
      <c r="D25" s="30" t="str">
        <f>IFERROR(__xludf.DUMMYFUNCTION("""COMPUTED_VALUE"""),"1757")</f>
        <v>1757</v>
      </c>
      <c r="E25" s="5" t="str">
        <f>IFERROR(__xludf.DUMMYFUNCTION("""COMPUTED_VALUE"""),"لم يقبل نظام المحاسبة الجديد والتسجيلات فقرر الاستقالة، فيرجى التواصل معه وتنفيذ إجراءات إنهاء التعاقد وتسليم العهدة")</f>
        <v>لم يقبل نظام المحاسبة الجديد والتسجيلات فقرر الاستقالة، فيرجى التواصل معه وتنفيذ إجراءات إنهاء التعاقد وتسليم العهدة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tr">
        <f>IFERROR(__xludf.DUMMYFUNCTION("""COMPUTED_VALUE"""),"مريم حسين")</f>
        <v>مريم حسين</v>
      </c>
      <c r="B26" s="5">
        <f>IFERROR(__xludf.DUMMYFUNCTION("""COMPUTED_VALUE"""),6.95180376491E11)</f>
        <v>695180376491</v>
      </c>
      <c r="C26" s="5" t="str">
        <f>IFERROR(__xludf.DUMMYFUNCTION("""COMPUTED_VALUE"""),"مريم حسين")</f>
        <v>مريم حسين</v>
      </c>
      <c r="D26" s="30" t="str">
        <f>IFERROR(__xludf.DUMMYFUNCTION("""COMPUTED_VALUE"""),"1758")</f>
        <v>1758</v>
      </c>
      <c r="E26" s="5"/>
      <c r="F26" s="5" t="str">
        <f>IFERROR(__xludf.DUMMYFUNCTION("""COMPUTED_VALUE"""),"mero.mro9@gmail.com")</f>
        <v>mero.mro9@gmail.com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tr">
        <f>IFERROR(__xludf.DUMMYFUNCTION("""COMPUTED_VALUE"""),"محمد منصور")</f>
        <v>محمد منصور</v>
      </c>
      <c r="B27" s="5">
        <f>IFERROR(__xludf.DUMMYFUNCTION("""COMPUTED_VALUE"""),5.60135012165E11)</f>
        <v>560135012165</v>
      </c>
      <c r="C27" s="5" t="str">
        <f>IFERROR(__xludf.DUMMYFUNCTION("""COMPUTED_VALUE"""),"محمد منصور")</f>
        <v>محمد منصور</v>
      </c>
      <c r="D27" s="30" t="str">
        <f>IFERROR(__xludf.DUMMYFUNCTION("""COMPUTED_VALUE"""),"1760")</f>
        <v>1760</v>
      </c>
      <c r="E27" s="5" t="str">
        <f>IFERROR(__xludf.DUMMYFUNCTION("""COMPUTED_VALUE"""),"EG10-EG11-G12")</f>
        <v>EG10-EG11-G12</v>
      </c>
      <c r="F27" s="5" t="str">
        <f>IFERROR(__xludf.DUMMYFUNCTION("""COMPUTED_VALUE"""),"mansourphy@gmail.com")</f>
        <v>mansourphy@gmail.com</v>
      </c>
      <c r="G27" s="5">
        <f>IFERROR(__xludf.DUMMYFUNCTION("""COMPUTED_VALUE"""),2.01069555347E11)</f>
        <v>201069555347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tr">
        <f>IFERROR(__xludf.DUMMYFUNCTION("""COMPUTED_VALUE"""),"محمود أبو المجد")</f>
        <v>محمود أبو المجد</v>
      </c>
      <c r="B28" s="5">
        <f>IFERROR(__xludf.DUMMYFUNCTION("""COMPUTED_VALUE"""),2.7917049757E11)</f>
        <v>279170497570</v>
      </c>
      <c r="C28" s="5" t="str">
        <f>IFERROR(__xludf.DUMMYFUNCTION("""COMPUTED_VALUE"""),"محمود أبو المجد")</f>
        <v>محمود أبو المجد</v>
      </c>
      <c r="D28" s="30" t="str">
        <f>IFERROR(__xludf.DUMMYFUNCTION("""COMPUTED_VALUE"""),"1243")</f>
        <v>1243</v>
      </c>
      <c r="E28" s="5" t="str">
        <f>IFERROR(__xludf.DUMMYFUNCTION("""COMPUTED_VALUE"""),"EG04-EG05-EG06-G7-جيولوجيا EG12")</f>
        <v>EG04-EG05-EG06-G7-جيولوجيا EG12</v>
      </c>
      <c r="F28" s="5" t="str">
        <f>IFERROR(__xludf.DUMMYFUNCTION("""COMPUTED_VALUE"""),"mahmoud.aboelmagd@nagwa.com")</f>
        <v>mahmoud.aboelmagd@nagwa.com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tr">
        <f>IFERROR(__xludf.DUMMYFUNCTION("""COMPUTED_VALUE"""),"أحمد عبد اللطيف")</f>
        <v>أحمد عبد اللطيف</v>
      </c>
      <c r="B29" s="5">
        <f>IFERROR(__xludf.DUMMYFUNCTION("""COMPUTED_VALUE"""),6.24104658072E11)</f>
        <v>624104658072</v>
      </c>
      <c r="C29" s="5" t="str">
        <f>IFERROR(__xludf.DUMMYFUNCTION("""COMPUTED_VALUE"""),"أحمد عبد اللطيف")</f>
        <v>أحمد عبد اللطيف</v>
      </c>
      <c r="D29" s="30" t="str">
        <f>IFERROR(__xludf.DUMMYFUNCTION("""COMPUTED_VALUE"""),"1265")</f>
        <v>1265</v>
      </c>
      <c r="E29" s="5"/>
      <c r="F29" s="5" t="str">
        <f>IFERROR(__xludf.DUMMYFUNCTION("""COMPUTED_VALUE"""),"ahmed.abdellatif@nagwa.com")</f>
        <v>ahmed.abdellatif@nagwa.com</v>
      </c>
      <c r="G29" s="5">
        <f>IFERROR(__xludf.DUMMYFUNCTION("""COMPUTED_VALUE"""),2.01018842229E11)</f>
        <v>201018842229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tr">
        <f>IFERROR(__xludf.DUMMYFUNCTION("""COMPUTED_VALUE"""),"رامي فاروق")</f>
        <v>رامي فاروق</v>
      </c>
      <c r="B30" s="5">
        <f>IFERROR(__xludf.DUMMYFUNCTION("""COMPUTED_VALUE"""),6.80190738426E11)</f>
        <v>680190738426</v>
      </c>
      <c r="C30" s="5" t="str">
        <f>IFERROR(__xludf.DUMMYFUNCTION("""COMPUTED_VALUE"""),"رامي فاروق")</f>
        <v>رامي فاروق</v>
      </c>
      <c r="D30" s="30" t="str">
        <f>IFERROR(__xludf.DUMMYFUNCTION("""COMPUTED_VALUE"""),"1766")</f>
        <v>1766</v>
      </c>
      <c r="E30" s="5"/>
      <c r="F30" s="5" t="str">
        <f>IFERROR(__xludf.DUMMYFUNCTION("""COMPUTED_VALUE"""),"ramyfarouk9333@gmail.com")</f>
        <v>ramyfarouk9333@gmail.com</v>
      </c>
      <c r="G30" s="5" t="str">
        <f>IFERROR(__xludf.DUMMYFUNCTION("""COMPUTED_VALUE"""),"01224288238")</f>
        <v>01224288238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tr">
        <f>IFERROR(__xludf.DUMMYFUNCTION("""COMPUTED_VALUE"""),"سما الإبراشي")</f>
        <v>سما الإبراشي</v>
      </c>
      <c r="B31" s="5">
        <f>IFERROR(__xludf.DUMMYFUNCTION("""COMPUTED_VALUE"""),1.56154179702E11)</f>
        <v>156154179702</v>
      </c>
      <c r="C31" s="5" t="str">
        <f>IFERROR(__xludf.DUMMYFUNCTION("""COMPUTED_VALUE"""),"سما الإبراشي")</f>
        <v>سما الإبراشي</v>
      </c>
      <c r="D31" s="30" t="str">
        <f>IFERROR(__xludf.DUMMYFUNCTION("""COMPUTED_VALUE"""),"1777")</f>
        <v>1777</v>
      </c>
      <c r="E31" s="5" t="str">
        <f>IFERROR(__xludf.DUMMYFUNCTION("""COMPUTED_VALUE"""),"EG10-EG11-G12")</f>
        <v>EG10-EG11-G12</v>
      </c>
      <c r="F31" s="5" t="str">
        <f>IFERROR(__xludf.DUMMYFUNCTION("""COMPUTED_VALUE"""),"sama.elberashy@gmail.com")</f>
        <v>sama.elberashy@gmail.com</v>
      </c>
      <c r="G31" s="5">
        <f>IFERROR(__xludf.DUMMYFUNCTION("""COMPUTED_VALUE"""),2.01001344221E11)</f>
        <v>201001344221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tr">
        <f>IFERROR(__xludf.DUMMYFUNCTION("""COMPUTED_VALUE"""),"مينا جاد")</f>
        <v>مينا جاد</v>
      </c>
      <c r="B32" s="5">
        <f>IFERROR(__xludf.DUMMYFUNCTION("""COMPUTED_VALUE"""),8.46101762818E11)</f>
        <v>846101762818</v>
      </c>
      <c r="C32" s="5" t="str">
        <f>IFERROR(__xludf.DUMMYFUNCTION("""COMPUTED_VALUE"""),"مينا جاد")</f>
        <v>مينا جاد</v>
      </c>
      <c r="D32" s="5">
        <f>IFERROR(__xludf.DUMMYFUNCTION("""COMPUTED_VALUE"""),1781.0)</f>
        <v>1781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tr">
        <f>IFERROR(__xludf.DUMMYFUNCTION("""COMPUTED_VALUE"""),"أحمد حسن")</f>
        <v>أحمد حسن</v>
      </c>
      <c r="B33" s="5">
        <f>IFERROR(__xludf.DUMMYFUNCTION("""COMPUTED_VALUE"""),4.80103238452E11)</f>
        <v>480103238452</v>
      </c>
      <c r="C33" s="5" t="str">
        <f>IFERROR(__xludf.DUMMYFUNCTION("""COMPUTED_VALUE"""),"أحمد حسن")</f>
        <v>أحمد حسن</v>
      </c>
      <c r="D33" s="30" t="str">
        <f>IFERROR(__xludf.DUMMYFUNCTION("""COMPUTED_VALUE"""),"1762")</f>
        <v>1762</v>
      </c>
      <c r="E33" s="5"/>
      <c r="F33" s="5" t="str">
        <f>IFERROR(__xludf.DUMMYFUNCTION("""COMPUTED_VALUE"""),"ahmedhassan99967@gmail.com")</f>
        <v>ahmedhassan99967@gmail.com</v>
      </c>
      <c r="G33" s="5">
        <f>IFERROR(__xludf.DUMMYFUNCTION("""COMPUTED_VALUE"""),2.01007787118E11)</f>
        <v>201007787118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tr">
        <f>IFERROR(__xludf.DUMMYFUNCTION("""COMPUTED_VALUE"""),"جهاد بدر")</f>
        <v>جهاد بدر</v>
      </c>
      <c r="B34" s="5">
        <f>IFERROR(__xludf.DUMMYFUNCTION("""COMPUTED_VALUE"""),5.24151240185E11)</f>
        <v>524151240185</v>
      </c>
      <c r="C34" s="5" t="str">
        <f>IFERROR(__xludf.DUMMYFUNCTION("""COMPUTED_VALUE"""),"جهاد بدر")</f>
        <v>جهاد بدر</v>
      </c>
      <c r="D34" s="30" t="str">
        <f>IFERROR(__xludf.DUMMYFUNCTION("""COMPUTED_VALUE"""),"1786")</f>
        <v>1786</v>
      </c>
      <c r="E34" s="5"/>
      <c r="F34" s="5" t="str">
        <f>IFERROR(__xludf.DUMMYFUNCTION("""COMPUTED_VALUE"""),"gehadbadr89@gmail.com")</f>
        <v>gehadbadr89@gmail.com</v>
      </c>
      <c r="G34" s="5" t="str">
        <f>IFERROR(__xludf.DUMMYFUNCTION("""COMPUTED_VALUE"""),"01090297182")</f>
        <v>01090297182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tr">
        <f>IFERROR(__xludf.DUMMYFUNCTION("""COMPUTED_VALUE"""),"طارق سليم")</f>
        <v>طارق سليم</v>
      </c>
      <c r="B35" s="5">
        <f>IFERROR(__xludf.DUMMYFUNCTION("""COMPUTED_VALUE"""),3.79176206354E11)</f>
        <v>379176206354</v>
      </c>
      <c r="C35" s="5" t="str">
        <f>IFERROR(__xludf.DUMMYFUNCTION("""COMPUTED_VALUE"""),"طارق سليم")</f>
        <v>طارق سليم</v>
      </c>
      <c r="D35" s="30" t="str">
        <f>IFERROR(__xludf.DUMMYFUNCTION("""COMPUTED_VALUE"""),"1778")</f>
        <v>1778</v>
      </c>
      <c r="E35" s="5"/>
      <c r="F35" s="5" t="str">
        <f>IFERROR(__xludf.DUMMYFUNCTION("""COMPUTED_VALUE"""),"tareksleem606@gmail.com")</f>
        <v>tareksleem606@gmail.com</v>
      </c>
      <c r="G35" s="5">
        <f>IFERROR(__xludf.DUMMYFUNCTION("""COMPUTED_VALUE"""),2.01001599199E11)</f>
        <v>201001599199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tr">
        <f>IFERROR(__xludf.DUMMYFUNCTION("""COMPUTED_VALUE"""),"أحمد علاء")</f>
        <v>أحمد علاء</v>
      </c>
      <c r="B36" s="5">
        <f>IFERROR(__xludf.DUMMYFUNCTION("""COMPUTED_VALUE"""),3.52179823813E11)</f>
        <v>352179823813</v>
      </c>
      <c r="C36" s="5" t="str">
        <f>IFERROR(__xludf.DUMMYFUNCTION("""COMPUTED_VALUE"""),"أحمد علاء")</f>
        <v>أحمد علاء</v>
      </c>
      <c r="D36" s="30" t="str">
        <f>IFERROR(__xludf.DUMMYFUNCTION("""COMPUTED_VALUE"""),"1765")</f>
        <v>1765</v>
      </c>
      <c r="E36" s="5"/>
      <c r="F36" s="5" t="str">
        <f>IFERROR(__xludf.DUMMYFUNCTION("""COMPUTED_VALUE"""),"aassllyyaa68@gmail.com")</f>
        <v>aassllyyaa68@gmail.com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tr">
        <f>IFERROR(__xludf.DUMMYFUNCTION("""COMPUTED_VALUE"""),"أحمد عاطف")</f>
        <v>أحمد عاطف</v>
      </c>
      <c r="B37" s="5">
        <f>IFERROR(__xludf.DUMMYFUNCTION("""COMPUTED_VALUE"""),3.08137598241E11)</f>
        <v>308137598241</v>
      </c>
      <c r="C37" s="5" t="str">
        <f>IFERROR(__xludf.DUMMYFUNCTION("""COMPUTED_VALUE"""),"أحمد عاطف")</f>
        <v>أحمد عاطف</v>
      </c>
      <c r="D37" s="30" t="str">
        <f>IFERROR(__xludf.DUMMYFUNCTION("""COMPUTED_VALUE"""),"1775")</f>
        <v>1775</v>
      </c>
      <c r="E37" s="5"/>
      <c r="F37" s="5" t="str">
        <f>IFERROR(__xludf.DUMMYFUNCTION("""COMPUTED_VALUE"""),"ahmedatef386@gmail.com")</f>
        <v>ahmedatef386@gmail.com</v>
      </c>
      <c r="G37" s="5">
        <f>IFERROR(__xludf.DUMMYFUNCTION("""COMPUTED_VALUE"""),2.01098614126E11)</f>
        <v>201098614126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tr">
        <f>IFERROR(__xludf.DUMMYFUNCTION("""COMPUTED_VALUE"""),"محمد عصام")</f>
        <v>محمد عصام</v>
      </c>
      <c r="B38" s="5">
        <f>IFERROR(__xludf.DUMMYFUNCTION("""COMPUTED_VALUE"""),5.92179807615E11)</f>
        <v>592179807615</v>
      </c>
      <c r="C38" s="5" t="str">
        <f>IFERROR(__xludf.DUMMYFUNCTION("""COMPUTED_VALUE"""),"محمد عصام")</f>
        <v>محمد عصام</v>
      </c>
      <c r="D38" s="30" t="str">
        <f>IFERROR(__xludf.DUMMYFUNCTION("""COMPUTED_VALUE"""),"1277")</f>
        <v>1277</v>
      </c>
      <c r="E38" s="5" t="str">
        <f>IFERROR(__xludf.DUMMYFUNCTION("""COMPUTED_VALUE"""),"EG07-EG08-EG09")</f>
        <v>EG07-EG08-EG09</v>
      </c>
      <c r="F38" s="5" t="str">
        <f>IFERROR(__xludf.DUMMYFUNCTION("""COMPUTED_VALUE"""),"modares2525@gmail.com")</f>
        <v>modares2525@gmail.com</v>
      </c>
      <c r="G38" s="5">
        <f>IFERROR(__xludf.DUMMYFUNCTION("""COMPUTED_VALUE"""),2.01116153885E11)</f>
        <v>201116153885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tr">
        <f>IFERROR(__xludf.DUMMYFUNCTION("""COMPUTED_VALUE"""),"وائل سلطان")</f>
        <v>وائل سلطان</v>
      </c>
      <c r="B39" s="5">
        <f>IFERROR(__xludf.DUMMYFUNCTION("""COMPUTED_VALUE"""),4.15194597216E11)</f>
        <v>415194597216</v>
      </c>
      <c r="C39" s="5" t="str">
        <f>IFERROR(__xludf.DUMMYFUNCTION("""COMPUTED_VALUE"""),"وائل سلطان")</f>
        <v>وائل سلطان</v>
      </c>
      <c r="D39" s="30" t="str">
        <f>IFERROR(__xludf.DUMMYFUNCTION("""COMPUTED_VALUE"""),"1787")</f>
        <v>1787</v>
      </c>
      <c r="E39" s="5"/>
      <c r="F39" s="5" t="str">
        <f>IFERROR(__xludf.DUMMYFUNCTION("""COMPUTED_VALUE"""),"abomahmoudsoultan@gmail.com")</f>
        <v>abomahmoudsoultan@gmail.com</v>
      </c>
      <c r="G39" s="5" t="str">
        <f>IFERROR(__xludf.DUMMYFUNCTION("""COMPUTED_VALUE"""),"00201153335900")</f>
        <v>00201153335900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tr">
        <f>IFERROR(__xludf.DUMMYFUNCTION("""COMPUTED_VALUE"""),"أندرو ثروت")</f>
        <v>أندرو ثروت</v>
      </c>
      <c r="B40" s="5">
        <f>IFERROR(__xludf.DUMMYFUNCTION("""COMPUTED_VALUE"""),4.17127195646E11)</f>
        <v>417127195646</v>
      </c>
      <c r="C40" s="5" t="str">
        <f>IFERROR(__xludf.DUMMYFUNCTION("""COMPUTED_VALUE"""),"أندرو ثروت")</f>
        <v>أندرو ثروت</v>
      </c>
      <c r="D40" s="30" t="str">
        <f>IFERROR(__xludf.DUMMYFUNCTION("""COMPUTED_VALUE"""),"1788")</f>
        <v>1788</v>
      </c>
      <c r="E40" s="5" t="str">
        <f>IFERROR(__xludf.DUMMYFUNCTION("""COMPUTED_VALUE"""),"EG07-EG08-EG09")</f>
        <v>EG07-EG08-EG09</v>
      </c>
      <c r="F40" s="5" t="str">
        <f>IFERROR(__xludf.DUMMYFUNCTION("""COMPUTED_VALUE"""),"andrewtharwatfikry@gmail.com")</f>
        <v>andrewtharwatfikry@gmail.com</v>
      </c>
      <c r="G40" s="5" t="str">
        <f>IFERROR(__xludf.DUMMYFUNCTION("""COMPUTED_VALUE"""),"01205947696")</f>
        <v>01205947696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tr">
        <f>IFERROR(__xludf.DUMMYFUNCTION("""COMPUTED_VALUE"""),"أحمد علام")</f>
        <v>أحمد علام</v>
      </c>
      <c r="B41" s="5">
        <f>IFERROR(__xludf.DUMMYFUNCTION("""COMPUTED_VALUE"""),4.92145757573E11)</f>
        <v>492145757573</v>
      </c>
      <c r="C41" s="5" t="str">
        <f>IFERROR(__xludf.DUMMYFUNCTION("""COMPUTED_VALUE"""),"أحمد علام")</f>
        <v>أحمد علام</v>
      </c>
      <c r="D41" s="30" t="str">
        <f>IFERROR(__xludf.DUMMYFUNCTION("""COMPUTED_VALUE"""),"1789")</f>
        <v>1789</v>
      </c>
      <c r="E41" s="5" t="str">
        <f>IFERROR(__xludf.DUMMYFUNCTION("""COMPUTED_VALUE"""),"اعتذر عن فصول المراجعة وفصول الترم الثاني لضغط العمل، وسيستقيل.
EG07-EG08-EG09-EG10-EG11-EG12")</f>
        <v>اعتذر عن فصول المراجعة وفصول الترم الثاني لضغط العمل، وسيستقيل.
EG07-EG08-EG09-EG10-EG11-EG12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tr">
        <f>IFERROR(__xludf.DUMMYFUNCTION("""COMPUTED_VALUE"""),"هبة عادل")</f>
        <v>هبة عادل</v>
      </c>
      <c r="B42" s="5">
        <f>IFERROR(__xludf.DUMMYFUNCTION("""COMPUTED_VALUE"""),3.68106936162E11)</f>
        <v>368106936162</v>
      </c>
      <c r="C42" s="5" t="str">
        <f>IFERROR(__xludf.DUMMYFUNCTION("""COMPUTED_VALUE"""),"هبة عادل")</f>
        <v>هبة عادل</v>
      </c>
      <c r="D42" s="30" t="str">
        <f>IFERROR(__xludf.DUMMYFUNCTION("""COMPUTED_VALUE"""),"1794")</f>
        <v>1794</v>
      </c>
      <c r="E42" s="5"/>
      <c r="F42" s="5" t="str">
        <f>IFERROR(__xludf.DUMMYFUNCTION("""COMPUTED_VALUE"""),"hebaadel19952@gmail.com")</f>
        <v>hebaadel19952@gmail.com</v>
      </c>
      <c r="G42" s="5">
        <f>IFERROR(__xludf.DUMMYFUNCTION("""COMPUTED_VALUE"""),2.01094446118E11)</f>
        <v>201094446118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tr">
        <f>IFERROR(__xludf.DUMMYFUNCTION("""COMPUTED_VALUE"""),"أحمد الأمير")</f>
        <v>أحمد الأمير</v>
      </c>
      <c r="B43" s="5">
        <f>IFERROR(__xludf.DUMMYFUNCTION("""COMPUTED_VALUE"""),1.96184054323E11)</f>
        <v>196184054323</v>
      </c>
      <c r="C43" s="5" t="str">
        <f>IFERROR(__xludf.DUMMYFUNCTION("""COMPUTED_VALUE"""),"أحمد الأمير")</f>
        <v>أحمد الأمير</v>
      </c>
      <c r="D43" s="30" t="str">
        <f>IFERROR(__xludf.DUMMYFUNCTION("""COMPUTED_VALUE"""),"1812")</f>
        <v>1812</v>
      </c>
      <c r="E43" s="5" t="str">
        <f>IFERROR(__xludf.DUMMYFUNCTION("""COMPUTED_VALUE"""),"EG10-EG11-EG12")</f>
        <v>EG10-EG11-EG12</v>
      </c>
      <c r="F43" s="5" t="str">
        <f>IFERROR(__xludf.DUMMYFUNCTION("""COMPUTED_VALUE"""),"alamir62@yahoo.com")</f>
        <v>alamir62@yahoo.com</v>
      </c>
      <c r="G43" s="5" t="str">
        <f>IFERROR(__xludf.DUMMYFUNCTION("""COMPUTED_VALUE"""),"20 1001082530")</f>
        <v>20 1001082530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tr">
        <f>IFERROR(__xludf.DUMMYFUNCTION("""COMPUTED_VALUE"""),"رضا سلامة")</f>
        <v>رضا سلامة</v>
      </c>
      <c r="B44" s="5">
        <f>IFERROR(__xludf.DUMMYFUNCTION("""COMPUTED_VALUE"""),7.30108091781E11)</f>
        <v>730108091781</v>
      </c>
      <c r="C44" s="5" t="str">
        <f>IFERROR(__xludf.DUMMYFUNCTION("""COMPUTED_VALUE"""),"رضا سلامة")</f>
        <v>رضا سلامة</v>
      </c>
      <c r="D44" s="30" t="str">
        <f>IFERROR(__xludf.DUMMYFUNCTION("""COMPUTED_VALUE"""),"1816")</f>
        <v>1816</v>
      </c>
      <c r="E44" s="5"/>
      <c r="F44" s="5" t="str">
        <f>IFERROR(__xludf.DUMMYFUNCTION("""COMPUTED_VALUE"""),"rsalama4569@gmail.com")</f>
        <v>rsalama4569@gmail.com</v>
      </c>
      <c r="G44" s="5">
        <f>IFERROR(__xludf.DUMMYFUNCTION("""COMPUTED_VALUE"""),1.223356596E9)</f>
        <v>1223356596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tr">
        <f>IFERROR(__xludf.DUMMYFUNCTION("""COMPUTED_VALUE"""),"محمد صفوت")</f>
        <v>محمد صفوت</v>
      </c>
      <c r="B45" s="5">
        <f>IFERROR(__xludf.DUMMYFUNCTION("""COMPUTED_VALUE"""),8.54101526124E11)</f>
        <v>854101526124</v>
      </c>
      <c r="C45" s="5" t="str">
        <f>IFERROR(__xludf.DUMMYFUNCTION("""COMPUTED_VALUE"""),"محمد صفوت")</f>
        <v>محمد صفوت</v>
      </c>
      <c r="D45" s="30" t="str">
        <f>IFERROR(__xludf.DUMMYFUNCTION("""COMPUTED_VALUE"""),"1817")</f>
        <v>1817</v>
      </c>
      <c r="E45" s="5" t="str">
        <f>IFERROR(__xludf.DUMMYFUNCTION("""COMPUTED_VALUE"""),"EG07-EG08-EG09-EG10-EG11-EG12")</f>
        <v>EG07-EG08-EG09-EG10-EG11-EG12</v>
      </c>
      <c r="F45" s="5" t="str">
        <f>IFERROR(__xludf.DUMMYFUNCTION("""COMPUTED_VALUE"""),"melbasel101@gmail.com")</f>
        <v>melbasel101@gmail.com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tr">
        <f>IFERROR(__xludf.DUMMYFUNCTION("""COMPUTED_VALUE"""),"هالة محمد")</f>
        <v>هالة محمد</v>
      </c>
      <c r="B46" s="5">
        <f>IFERROR(__xludf.DUMMYFUNCTION("""COMPUTED_VALUE"""),2.07145893968E11)</f>
        <v>207145893968</v>
      </c>
      <c r="C46" s="5" t="str">
        <f>IFERROR(__xludf.DUMMYFUNCTION("""COMPUTED_VALUE"""),"هالة محمد")</f>
        <v>هالة محمد</v>
      </c>
      <c r="D46" s="30" t="str">
        <f>IFERROR(__xludf.DUMMYFUNCTION("""COMPUTED_VALUE"""),"1826")</f>
        <v>1826</v>
      </c>
      <c r="E46" s="5" t="str">
        <f>IFERROR(__xludf.DUMMYFUNCTION("""COMPUTED_VALUE"""),"EG04-EG05-EG06")</f>
        <v>EG04-EG05-EG06</v>
      </c>
      <c r="F46" s="5" t="str">
        <f>IFERROR(__xludf.DUMMYFUNCTION("""COMPUTED_VALUE"""),"mhala5855@gmail.com")</f>
        <v>mhala5855@gmail.com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tr">
        <f>IFERROR(__xludf.DUMMYFUNCTION("""COMPUTED_VALUE"""),"نورهان المليجي")</f>
        <v>نورهان المليجي</v>
      </c>
      <c r="B47" s="5">
        <f>IFERROR(__xludf.DUMMYFUNCTION("""COMPUTED_VALUE"""),7.03170132053E11)</f>
        <v>703170132053</v>
      </c>
      <c r="C47" s="5" t="str">
        <f>IFERROR(__xludf.DUMMYFUNCTION("""COMPUTED_VALUE"""),"نورهان المليجي")</f>
        <v>نورهان المليجي</v>
      </c>
      <c r="D47" s="30" t="str">
        <f>IFERROR(__xludf.DUMMYFUNCTION("""COMPUTED_VALUE"""),"1849")</f>
        <v>1849</v>
      </c>
      <c r="E47" s="5" t="str">
        <f>IFERROR(__xludf.DUMMYFUNCTION("""COMPUTED_VALUE"""),"EG04-EG05-EG06-EG07-EG08-EG09")</f>
        <v>EG04-EG05-EG06-EG07-EG08-EG09</v>
      </c>
      <c r="F47" s="5" t="str">
        <f>IFERROR(__xludf.DUMMYFUNCTION("""COMPUTED_VALUE"""),"noraalmiligy@gmail.com")</f>
        <v>noraalmiligy@gmail.com</v>
      </c>
      <c r="G47" s="5">
        <f>IFERROR(__xludf.DUMMYFUNCTION("""COMPUTED_VALUE"""),1.144280921E9)</f>
        <v>1144280921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tr">
        <f>IFERROR(__xludf.DUMMYFUNCTION("""COMPUTED_VALUE"""),"نهى علاء")</f>
        <v>نهى علاء</v>
      </c>
      <c r="B48" s="5">
        <f>IFERROR(__xludf.DUMMYFUNCTION("""COMPUTED_VALUE"""),8.1219575405E11)</f>
        <v>812195754050</v>
      </c>
      <c r="C48" s="5" t="str">
        <f>IFERROR(__xludf.DUMMYFUNCTION("""COMPUTED_VALUE"""),"نهى علاء")</f>
        <v>نهى علاء</v>
      </c>
      <c r="D48" s="30" t="str">
        <f>IFERROR(__xludf.DUMMYFUNCTION("""COMPUTED_VALUE"""),"1857")</f>
        <v>1857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tr">
        <f>IFERROR(__xludf.DUMMYFUNCTION("""COMPUTED_VALUE"""),"سلمى الليثي")</f>
        <v>سلمى الليثي</v>
      </c>
      <c r="B49" s="5">
        <f>IFERROR(__xludf.DUMMYFUNCTION("""COMPUTED_VALUE"""),3.06185372078E11)</f>
        <v>306185372078</v>
      </c>
      <c r="C49" s="5" t="str">
        <f>IFERROR(__xludf.DUMMYFUNCTION("""COMPUTED_VALUE"""),"سلمى الليثي")</f>
        <v>سلمى الليثي</v>
      </c>
      <c r="D49" s="30" t="str">
        <f>IFERROR(__xludf.DUMMYFUNCTION("""COMPUTED_VALUE"""),"1843")</f>
        <v>1843</v>
      </c>
      <c r="E49" s="5"/>
      <c r="F49" s="5" t="str">
        <f>IFERROR(__xludf.DUMMYFUNCTION("""COMPUTED_VALUE"""),"salmaellaithy96@gmail.com")</f>
        <v>salmaellaithy96@gmail.com</v>
      </c>
      <c r="G49" s="5" t="str">
        <f>IFERROR(__xludf.DUMMYFUNCTION("""COMPUTED_VALUE"""),"01099069950")</f>
        <v>01099069950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tr">
        <f>IFERROR(__xludf.DUMMYFUNCTION("""COMPUTED_VALUE"""),"زينب حسن")</f>
        <v>زينب حسن</v>
      </c>
      <c r="B50" s="5">
        <f>IFERROR(__xludf.DUMMYFUNCTION("""COMPUTED_VALUE"""),5.02168410424E11)</f>
        <v>502168410424</v>
      </c>
      <c r="C50" s="5" t="str">
        <f>IFERROR(__xludf.DUMMYFUNCTION("""COMPUTED_VALUE"""),"زينب حسن")</f>
        <v>زينب حسن</v>
      </c>
      <c r="D50" s="30" t="str">
        <f>IFERROR(__xludf.DUMMYFUNCTION("""COMPUTED_VALUE"""),"1844")</f>
        <v>1844</v>
      </c>
      <c r="E50" s="5"/>
      <c r="F50" s="5" t="str">
        <f>IFERROR(__xludf.DUMMYFUNCTION("""COMPUTED_VALUE"""),"zeinabslime1987@gmail.com")</f>
        <v>zeinabslime1987@gmail.com</v>
      </c>
      <c r="G50" s="5" t="str">
        <f>IFERROR(__xludf.DUMMYFUNCTION("""COMPUTED_VALUE"""),"01157488697")</f>
        <v>01157488697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tr">
        <f>IFERROR(__xludf.DUMMYFUNCTION("""COMPUTED_VALUE"""),"إحسان طاهر")</f>
        <v>إحسان طاهر</v>
      </c>
      <c r="B51" s="5">
        <f>IFERROR(__xludf.DUMMYFUNCTION("""COMPUTED_VALUE"""),9.86159246809E11)</f>
        <v>986159246809</v>
      </c>
      <c r="C51" s="5" t="str">
        <f>IFERROR(__xludf.DUMMYFUNCTION("""COMPUTED_VALUE"""),"إحسان طاهر")</f>
        <v>إحسان طاهر</v>
      </c>
      <c r="D51" s="30" t="str">
        <f>IFERROR(__xludf.DUMMYFUNCTION("""COMPUTED_VALUE"""),"1859")</f>
        <v>1859</v>
      </c>
      <c r="E51" s="5" t="str">
        <f>IFERROR(__xludf.DUMMYFUNCTION("""COMPUTED_VALUE"""),"EG07-EG08-EG09")</f>
        <v>EG07-EG08-EG09</v>
      </c>
      <c r="F51" s="5" t="str">
        <f>IFERROR(__xludf.DUMMYFUNCTION("""COMPUTED_VALUE"""),"toka.karim22@gmail.com")</f>
        <v>toka.karim22@gmail.com</v>
      </c>
      <c r="G51" s="5" t="str">
        <f>IFERROR(__xludf.DUMMYFUNCTION("""COMPUTED_VALUE"""),"01011609935")</f>
        <v>01011609935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tr">
        <f>IFERROR(__xludf.DUMMYFUNCTION("""COMPUTED_VALUE"""),"زهراء صابر")</f>
        <v>زهراء صابر</v>
      </c>
      <c r="B52" s="5">
        <f>IFERROR(__xludf.DUMMYFUNCTION("""COMPUTED_VALUE"""),9.80198527154E11)</f>
        <v>980198527154</v>
      </c>
      <c r="C52" s="5" t="str">
        <f>IFERROR(__xludf.DUMMYFUNCTION("""COMPUTED_VALUE"""),"زهراء صابر")</f>
        <v>زهراء صابر</v>
      </c>
      <c r="D52" s="30" t="str">
        <f>IFERROR(__xludf.DUMMYFUNCTION("""COMPUTED_VALUE"""),"1851")</f>
        <v>1851</v>
      </c>
      <c r="E52" s="5" t="str">
        <f>IFERROR(__xludf.DUMMYFUNCTION("""COMPUTED_VALUE"""),"EG07-EG08-EG09")</f>
        <v>EG07-EG08-EG09</v>
      </c>
      <c r="F52" s="5" t="str">
        <f>IFERROR(__xludf.DUMMYFUNCTION("""COMPUTED_VALUE"""),"zahraasawy@gmail.com")</f>
        <v>zahraasawy@gmail.com</v>
      </c>
      <c r="G52" s="5" t="str">
        <f>IFERROR(__xludf.DUMMYFUNCTION("""COMPUTED_VALUE"""),"01146935411")</f>
        <v>01146935411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tr">
        <f>IFERROR(__xludf.DUMMYFUNCTION("""COMPUTED_VALUE"""),"سامح محمود")</f>
        <v>سامح محمود</v>
      </c>
      <c r="B53" s="5">
        <f>IFERROR(__xludf.DUMMYFUNCTION("""COMPUTED_VALUE"""),4.93132436783E11)</f>
        <v>493132436783</v>
      </c>
      <c r="C53" s="5" t="str">
        <f>IFERROR(__xludf.DUMMYFUNCTION("""COMPUTED_VALUE"""),"سامح محمود")</f>
        <v>سامح محمود</v>
      </c>
      <c r="D53" s="30" t="str">
        <f>IFERROR(__xludf.DUMMYFUNCTION("""COMPUTED_VALUE"""),"1847")</f>
        <v>1847</v>
      </c>
      <c r="E53" s="5"/>
      <c r="F53" s="5" t="str">
        <f>IFERROR(__xludf.DUMMYFUNCTION("""COMPUTED_VALUE"""),"mathteacher37age@gmail.com")</f>
        <v>mathteacher37age@gmail.com</v>
      </c>
      <c r="G53" s="5" t="str">
        <f>IFERROR(__xludf.DUMMYFUNCTION("""COMPUTED_VALUE"""),"01068212833")</f>
        <v>01068212833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tr">
        <f>IFERROR(__xludf.DUMMYFUNCTION("""COMPUTED_VALUE"""),"أحمد عزب")</f>
        <v>أحمد عزب</v>
      </c>
      <c r="B54" s="5">
        <f>IFERROR(__xludf.DUMMYFUNCTION("""COMPUTED_VALUE"""),4.90182879383E11)</f>
        <v>490182879383</v>
      </c>
      <c r="C54" s="5" t="str">
        <f>IFERROR(__xludf.DUMMYFUNCTION("""COMPUTED_VALUE"""),"أحمد عزب")</f>
        <v>أحمد عزب</v>
      </c>
      <c r="D54" s="30" t="str">
        <f>IFERROR(__xludf.DUMMYFUNCTION("""COMPUTED_VALUE"""),"1848")</f>
        <v>1848</v>
      </c>
      <c r="E54" s="5"/>
      <c r="F54" s="5" t="str">
        <f>IFERROR(__xludf.DUMMYFUNCTION("""COMPUTED_VALUE"""),"ahmad.azaba@yahoo.com")</f>
        <v>ahmad.azaba@yahoo.com</v>
      </c>
      <c r="G54" s="5" t="str">
        <f>IFERROR(__xludf.DUMMYFUNCTION("""COMPUTED_VALUE"""),"01154891562")</f>
        <v>01154891562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tr">
        <f>IFERROR(__xludf.DUMMYFUNCTION("""COMPUTED_VALUE"""),"بثينة طه")</f>
        <v>بثينة طه</v>
      </c>
      <c r="B55" s="5">
        <f>IFERROR(__xludf.DUMMYFUNCTION("""COMPUTED_VALUE"""),8.7010213251E11)</f>
        <v>870102132510</v>
      </c>
      <c r="C55" s="5" t="str">
        <f>IFERROR(__xludf.DUMMYFUNCTION("""COMPUTED_VALUE"""),"بثينة طه")</f>
        <v>بثينة طه</v>
      </c>
      <c r="D55" s="30" t="str">
        <f>IFERROR(__xludf.DUMMYFUNCTION("""COMPUTED_VALUE"""),"1858")</f>
        <v>1858</v>
      </c>
      <c r="E55" s="5"/>
      <c r="F55" s="5" t="str">
        <f>IFERROR(__xludf.DUMMYFUNCTION("""COMPUTED_VALUE"""),"bosyt40@gmail.com")</f>
        <v>bosyt40@gmail.com</v>
      </c>
      <c r="G55" s="5" t="str">
        <f>IFERROR(__xludf.DUMMYFUNCTION("""COMPUTED_VALUE"""),"01142417157")</f>
        <v>01142417157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tr">
        <f>IFERROR(__xludf.DUMMYFUNCTION("""COMPUTED_VALUE"""),"طلعت أحمد")</f>
        <v>طلعت أحمد</v>
      </c>
      <c r="B56" s="5">
        <f>IFERROR(__xludf.DUMMYFUNCTION("""COMPUTED_VALUE"""),5.18185761828E11)</f>
        <v>518185761828</v>
      </c>
      <c r="C56" s="5" t="str">
        <f>IFERROR(__xludf.DUMMYFUNCTION("""COMPUTED_VALUE"""),"طلعت أحمد")</f>
        <v>طلعت أحمد</v>
      </c>
      <c r="D56" s="5">
        <f>IFERROR(__xludf.DUMMYFUNCTION("""COMPUTED_VALUE"""),1850.0)</f>
        <v>1850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tr">
        <f>IFERROR(__xludf.DUMMYFUNCTION("""COMPUTED_VALUE"""),"إيمان محمود")</f>
        <v>إيمان محمود</v>
      </c>
      <c r="B57" s="5">
        <f>IFERROR(__xludf.DUMMYFUNCTION("""COMPUTED_VALUE"""),1.37198142829E11)</f>
        <v>137198142829</v>
      </c>
      <c r="C57" s="5" t="str">
        <f>IFERROR(__xludf.DUMMYFUNCTION("""COMPUTED_VALUE"""),"إيمان محمود")</f>
        <v>إيمان محمود</v>
      </c>
      <c r="D57" s="5">
        <f>IFERROR(__xludf.DUMMYFUNCTION("""COMPUTED_VALUE"""),1840.0)</f>
        <v>1840</v>
      </c>
      <c r="E57" s="5" t="str">
        <f>IFERROR(__xludf.DUMMYFUNCTION("""COMPUTED_VALUE"""),"EG04-EG05-EG06")</f>
        <v>EG04-EG05-EG06</v>
      </c>
      <c r="F57" s="5" t="str">
        <f>IFERROR(__xludf.DUMMYFUNCTION("""COMPUTED_VALUE"""),"imaneabada@gmail.com")</f>
        <v>imaneabada@gmail.com</v>
      </c>
      <c r="G57" s="5" t="str">
        <f>IFERROR(__xludf.DUMMYFUNCTION("""COMPUTED_VALUE"""),"01005729272")</f>
        <v>01005729272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tr">
        <f>IFERROR(__xludf.DUMMYFUNCTION("""COMPUTED_VALUE"""),"جمال مصطفى")</f>
        <v>جمال مصطفى</v>
      </c>
      <c r="B58" s="5">
        <f>IFERROR(__xludf.DUMMYFUNCTION("""COMPUTED_VALUE"""),4.59127286142E11)</f>
        <v>459127286142</v>
      </c>
      <c r="C58" s="5" t="str">
        <f>IFERROR(__xludf.DUMMYFUNCTION("""COMPUTED_VALUE"""),"جمال مصطفى")</f>
        <v>جمال مصطفى</v>
      </c>
      <c r="D58" s="30" t="str">
        <f>IFERROR(__xludf.DUMMYFUNCTION("""COMPUTED_VALUE"""),"1862")</f>
        <v>1862</v>
      </c>
      <c r="E58" s="5"/>
      <c r="F58" s="5" t="str">
        <f>IFERROR(__xludf.DUMMYFUNCTION("""COMPUTED_VALUE"""),"gamal.amer86@hotmail.com")</f>
        <v>gamal.amer86@hotmail.com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tr">
        <f>IFERROR(__xludf.DUMMYFUNCTION("""COMPUTED_VALUE"""),"مينا ميلاد")</f>
        <v>مينا ميلاد</v>
      </c>
      <c r="B59" s="5">
        <f>IFERROR(__xludf.DUMMYFUNCTION("""COMPUTED_VALUE"""),5.80165926053E11)</f>
        <v>580165926053</v>
      </c>
      <c r="C59" s="5" t="str">
        <f>IFERROR(__xludf.DUMMYFUNCTION("""COMPUTED_VALUE"""),"مينا ميلاد")</f>
        <v>مينا ميلاد</v>
      </c>
      <c r="D59" s="30" t="str">
        <f>IFERROR(__xludf.DUMMYFUNCTION("""COMPUTED_VALUE"""),"1845")</f>
        <v>1845</v>
      </c>
      <c r="E59" s="5"/>
      <c r="F59" s="5" t="str">
        <f>IFERROR(__xludf.DUMMYFUNCTION("""COMPUTED_VALUE"""),"yostos.mina@gmail.com")</f>
        <v>yostos.mina@gmail.com</v>
      </c>
      <c r="G59" s="5" t="str">
        <f>IFERROR(__xludf.DUMMYFUNCTION("""COMPUTED_VALUE"""),"01220683047")</f>
        <v>01220683047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tr">
        <f>IFERROR(__xludf.DUMMYFUNCTION("""COMPUTED_VALUE"""),"أحمد يحيى")</f>
        <v>أحمد يحيى</v>
      </c>
      <c r="B60" s="5">
        <f>IFERROR(__xludf.DUMMYFUNCTION("""COMPUTED_VALUE"""),6.36182508414E11)</f>
        <v>636182508414</v>
      </c>
      <c r="C60" s="5" t="str">
        <f>IFERROR(__xludf.DUMMYFUNCTION("""COMPUTED_VALUE"""),"أحمد يحيى")</f>
        <v>أحمد يحيى</v>
      </c>
      <c r="D60" s="30" t="str">
        <f>IFERROR(__xludf.DUMMYFUNCTION("""COMPUTED_VALUE"""),"1846")</f>
        <v>1846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tr">
        <f>IFERROR(__xludf.DUMMYFUNCTION("""COMPUTED_VALUE"""),"ماجدة محمد")</f>
        <v>ماجدة محمد</v>
      </c>
      <c r="B61" s="5">
        <f>IFERROR(__xludf.DUMMYFUNCTION("""COMPUTED_VALUE"""),9.73132386263E11)</f>
        <v>973132386263</v>
      </c>
      <c r="C61" s="5" t="str">
        <f>IFERROR(__xludf.DUMMYFUNCTION("""COMPUTED_VALUE"""),"ماجدة محمد")</f>
        <v>ماجدة محمد</v>
      </c>
      <c r="D61" s="30" t="str">
        <f>IFERROR(__xludf.DUMMYFUNCTION("""COMPUTED_VALUE"""),"1798")</f>
        <v>1798</v>
      </c>
      <c r="E61" s="5"/>
      <c r="F61" s="5" t="str">
        <f>IFERROR(__xludf.DUMMYFUNCTION("""COMPUTED_VALUE"""),"magdaharidy96@gmail.com")</f>
        <v>magdaharidy96@gmail.com</v>
      </c>
      <c r="G61" s="5" t="str">
        <f>IFERROR(__xludf.DUMMYFUNCTION("""COMPUTED_VALUE"""),"01011902047")</f>
        <v>01011902047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tr">
        <f>IFERROR(__xludf.DUMMYFUNCTION("""COMPUTED_VALUE"""),"نهى بسيوني")</f>
        <v>نهى بسيوني</v>
      </c>
      <c r="B62" s="5">
        <f>IFERROR(__xludf.DUMMYFUNCTION("""COMPUTED_VALUE"""),7.36126951732E11)</f>
        <v>736126951732</v>
      </c>
      <c r="C62" s="5" t="str">
        <f>IFERROR(__xludf.DUMMYFUNCTION("""COMPUTED_VALUE"""),"نهى بسيوني")</f>
        <v>نهى بسيوني</v>
      </c>
      <c r="D62" s="30" t="str">
        <f>IFERROR(__xludf.DUMMYFUNCTION("""COMPUTED_VALUE"""),"1827")</f>
        <v>1827</v>
      </c>
      <c r="E62" s="5"/>
      <c r="F62" s="5" t="str">
        <f>IFERROR(__xludf.DUMMYFUNCTION("""COMPUTED_VALUE"""),"nohabasuni@yahoo.com")</f>
        <v>nohabasuni@yahoo.com</v>
      </c>
      <c r="G62" s="5" t="str">
        <f>IFERROR(__xludf.DUMMYFUNCTION("""COMPUTED_VALUE"""),"01016605503")</f>
        <v>01016605503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tr">
        <f>IFERROR(__xludf.DUMMYFUNCTION("""COMPUTED_VALUE"""),"أماني علام")</f>
        <v>أماني علام</v>
      </c>
      <c r="B63" s="5">
        <f>IFERROR(__xludf.DUMMYFUNCTION("""COMPUTED_VALUE"""),3.08176953497E11)</f>
        <v>308176953497</v>
      </c>
      <c r="C63" s="5" t="str">
        <f>IFERROR(__xludf.DUMMYFUNCTION("""COMPUTED_VALUE"""),"أماني علام")</f>
        <v>أماني علام</v>
      </c>
      <c r="D63" s="30" t="str">
        <f>IFERROR(__xludf.DUMMYFUNCTION("""COMPUTED_VALUE"""),"1839")</f>
        <v>1839</v>
      </c>
      <c r="E63" s="5"/>
      <c r="F63" s="5" t="str">
        <f>IFERROR(__xludf.DUMMYFUNCTION("""COMPUTED_VALUE"""),"amany.allam7@gmail.com")</f>
        <v>amany.allam7@gmail.com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tr">
        <f>IFERROR(__xludf.DUMMYFUNCTION("""COMPUTED_VALUE"""),"رضوى صبري")</f>
        <v>رضوى صبري</v>
      </c>
      <c r="B64" s="5">
        <f>IFERROR(__xludf.DUMMYFUNCTION("""COMPUTED_VALUE"""),1.94141237816E11)</f>
        <v>194141237816</v>
      </c>
      <c r="C64" s="5" t="str">
        <f>IFERROR(__xludf.DUMMYFUNCTION("""COMPUTED_VALUE"""),"رضوى صبري")</f>
        <v>رضوى صبري</v>
      </c>
      <c r="D64" s="30" t="str">
        <f>IFERROR(__xludf.DUMMYFUNCTION("""COMPUTED_VALUE"""),"1841")</f>
        <v>1841</v>
      </c>
      <c r="E64" s="5" t="str">
        <f>IFERROR(__xludf.DUMMYFUNCTION("""COMPUTED_VALUE"""),"She won't be with us in the 2nd term.")</f>
        <v>She won't be with us in the 2nd term.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tr">
        <f>IFERROR(__xludf.DUMMYFUNCTION("""COMPUTED_VALUE"""),"محمد عباس")</f>
        <v>محمد عباس</v>
      </c>
      <c r="B65" s="5">
        <f>IFERROR(__xludf.DUMMYFUNCTION("""COMPUTED_VALUE"""),5.95148942145E11)</f>
        <v>595148942145</v>
      </c>
      <c r="C65" s="5" t="str">
        <f>IFERROR(__xludf.DUMMYFUNCTION("""COMPUTED_VALUE"""),"محمد عباس")</f>
        <v>محمد عباس</v>
      </c>
      <c r="D65" s="30" t="str">
        <f>IFERROR(__xludf.DUMMYFUNCTION("""COMPUTED_VALUE"""),"1853")</f>
        <v>1853</v>
      </c>
      <c r="E65" s="5"/>
      <c r="F65" s="5" t="str">
        <f>IFERROR(__xludf.DUMMYFUNCTION("""COMPUTED_VALUE"""),"elzehiry96@gmail.com")</f>
        <v>elzehiry96@gmail.com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tr">
        <f>IFERROR(__xludf.DUMMYFUNCTION("""COMPUTED_VALUE"""),"حسام حسين")</f>
        <v>حسام حسين</v>
      </c>
      <c r="B66" s="5">
        <f>IFERROR(__xludf.DUMMYFUNCTION("""COMPUTED_VALUE"""),4.37189298603E11)</f>
        <v>437189298603</v>
      </c>
      <c r="C66" s="5" t="str">
        <f>IFERROR(__xludf.DUMMYFUNCTION("""COMPUTED_VALUE"""),"حسام حسين")</f>
        <v>حسام حسين</v>
      </c>
      <c r="D66" s="30" t="str">
        <f>IFERROR(__xludf.DUMMYFUNCTION("""COMPUTED_VALUE"""),"1863")</f>
        <v>1863</v>
      </c>
      <c r="E66" s="5" t="str">
        <f>IFERROR(__xludf.DUMMYFUNCTION("""COMPUTED_VALUE"""),"G11-G12")</f>
        <v>G11-G12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tr">
        <f>IFERROR(__xludf.DUMMYFUNCTION("""COMPUTED_VALUE"""),"هبة الله عادل")</f>
        <v>هبة الله عادل</v>
      </c>
      <c r="B67" s="5">
        <f>IFERROR(__xludf.DUMMYFUNCTION("""COMPUTED_VALUE"""),2.43147538572E11)</f>
        <v>243147538572</v>
      </c>
      <c r="C67" s="5" t="str">
        <f>IFERROR(__xludf.DUMMYFUNCTION("""COMPUTED_VALUE"""),"هبة الله عادل")</f>
        <v>هبة الله عادل</v>
      </c>
      <c r="D67" s="30" t="str">
        <f>IFERROR(__xludf.DUMMYFUNCTION("""COMPUTED_VALUE"""),"1866")</f>
        <v>1866</v>
      </c>
      <c r="E67" s="5"/>
      <c r="F67" s="5" t="str">
        <f>IFERROR(__xludf.DUMMYFUNCTION("""COMPUTED_VALUE"""),"hebaadel1795@gmail.com")</f>
        <v>hebaadel1795@gmail.com</v>
      </c>
      <c r="G67" s="5" t="str">
        <f>IFERROR(__xludf.DUMMYFUNCTION("""COMPUTED_VALUE"""),"01159608979")</f>
        <v>01159608979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tr">
        <f>IFERROR(__xludf.DUMMYFUNCTION("""COMPUTED_VALUE"""),"أحمد النشار")</f>
        <v>أحمد النشار</v>
      </c>
      <c r="B68" s="5">
        <f>IFERROR(__xludf.DUMMYFUNCTION("""COMPUTED_VALUE"""),8.53142059206E11)</f>
        <v>853142059206</v>
      </c>
      <c r="C68" s="5" t="str">
        <f>IFERROR(__xludf.DUMMYFUNCTION("""COMPUTED_VALUE"""),"أحمد النشار")</f>
        <v>أحمد النشار</v>
      </c>
      <c r="D68" s="30" t="str">
        <f>IFERROR(__xludf.DUMMYFUNCTION("""COMPUTED_VALUE"""),"1870")</f>
        <v>1870</v>
      </c>
      <c r="E68" s="5"/>
      <c r="F68" s="5" t="str">
        <f>IFERROR(__xludf.DUMMYFUNCTION("""COMPUTED_VALUE"""),"dr.nashar1x@gmail.com")</f>
        <v>dr.nashar1x@gmail.com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tr">
        <f>IFERROR(__xludf.DUMMYFUNCTION("""COMPUTED_VALUE"""),"داليا حسين")</f>
        <v>داليا حسين</v>
      </c>
      <c r="B69" s="5">
        <f>IFERROR(__xludf.DUMMYFUNCTION("""COMPUTED_VALUE"""),2.87167641716E11)</f>
        <v>287167641716</v>
      </c>
      <c r="C69" s="5" t="str">
        <f>IFERROR(__xludf.DUMMYFUNCTION("""COMPUTED_VALUE"""),"داليا حسين")</f>
        <v>داليا حسين</v>
      </c>
      <c r="D69" s="30" t="str">
        <f>IFERROR(__xludf.DUMMYFUNCTION("""COMPUTED_VALUE"""),"1865")</f>
        <v>1865</v>
      </c>
      <c r="E69" s="5" t="str">
        <f>IFERROR(__xludf.DUMMYFUNCTION("""COMPUTED_VALUE"""),"EG10-EG11-G12")</f>
        <v>EG10-EG11-G12</v>
      </c>
      <c r="F69" s="5" t="str">
        <f>IFERROR(__xludf.DUMMYFUNCTION("""COMPUTED_VALUE"""),"daliahussein999@gmail.com")</f>
        <v>daliahussein999@gmail.com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tr">
        <f>IFERROR(__xludf.DUMMYFUNCTION("""COMPUTED_VALUE"""),"إبراهيم الطراوي")</f>
        <v>إبراهيم الطراوي</v>
      </c>
      <c r="B70" s="5">
        <f>IFERROR(__xludf.DUMMYFUNCTION("""COMPUTED_VALUE"""),5.98191375412E11)</f>
        <v>598191375412</v>
      </c>
      <c r="C70" s="5" t="str">
        <f>IFERROR(__xludf.DUMMYFUNCTION("""COMPUTED_VALUE"""),"إبراهيم الطراوي")</f>
        <v>إبراهيم الطراوي</v>
      </c>
      <c r="D70" s="30" t="str">
        <f>IFERROR(__xludf.DUMMYFUNCTION("""COMPUTED_VALUE"""),"1869")</f>
        <v>1869</v>
      </c>
      <c r="E70" s="5" t="str">
        <f>IFERROR(__xludf.DUMMYFUNCTION("""COMPUTED_VALUE"""),"EG04-EG05-EG06-EG07-EG08-EG09")</f>
        <v>EG04-EG05-EG06-EG07-EG08-EG09</v>
      </c>
      <c r="F70" s="5" t="str">
        <f>IFERROR(__xludf.DUMMYFUNCTION("""COMPUTED_VALUE"""),"ibrahim.altrawey@gmail.com")</f>
        <v>ibrahim.altrawey@gmail.com</v>
      </c>
      <c r="G70" s="5" t="str">
        <f>IFERROR(__xludf.DUMMYFUNCTION("""COMPUTED_VALUE"""),"01228286453")</f>
        <v>01228286453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tr">
        <f>IFERROR(__xludf.DUMMYFUNCTION("""COMPUTED_VALUE"""),"أحمد عبد العظيم")</f>
        <v>أحمد عبد العظيم</v>
      </c>
      <c r="B71" s="5">
        <f>IFERROR(__xludf.DUMMYFUNCTION("""COMPUTED_VALUE"""),5.30148208342E11)</f>
        <v>530148208342</v>
      </c>
      <c r="C71" s="5" t="str">
        <f>IFERROR(__xludf.DUMMYFUNCTION("""COMPUTED_VALUE"""),"أحمد عبد العظيم")</f>
        <v>أحمد عبد العظيم</v>
      </c>
      <c r="D71" s="30" t="str">
        <f>IFERROR(__xludf.DUMMYFUNCTION("""COMPUTED_VALUE"""),"1868")</f>
        <v>1868</v>
      </c>
      <c r="E71" s="5"/>
      <c r="F71" s="5" t="str">
        <f>IFERROR(__xludf.DUMMYFUNCTION("""COMPUTED_VALUE"""),"ahmedsayed121292@gmail.com")</f>
        <v>ahmedsayed121292@gmail.com</v>
      </c>
      <c r="G71" s="5">
        <f>IFERROR(__xludf.DUMMYFUNCTION("""COMPUTED_VALUE"""),1.111733923E9)</f>
        <v>1111733923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tr">
        <f>IFERROR(__xludf.DUMMYFUNCTION("""COMPUTED_VALUE"""),"آلاء هشام")</f>
        <v>آلاء هشام</v>
      </c>
      <c r="B72" s="5">
        <f>IFERROR(__xludf.DUMMYFUNCTION("""COMPUTED_VALUE"""),5.35169279095E11)</f>
        <v>535169279095</v>
      </c>
      <c r="C72" s="5" t="str">
        <f>IFERROR(__xludf.DUMMYFUNCTION("""COMPUTED_VALUE"""),"آلاء هشام")</f>
        <v>آلاء هشام</v>
      </c>
      <c r="D72" s="30" t="str">
        <f>IFERROR(__xludf.DUMMYFUNCTION("""COMPUTED_VALUE"""),"1861")</f>
        <v>1861</v>
      </c>
      <c r="E72" s="5" t="str">
        <f>IFERROR(__xludf.DUMMYFUNCTION("""COMPUTED_VALUE"""),"EG07-EG08-EG09")</f>
        <v>EG07-EG08-EG09</v>
      </c>
      <c r="F72" s="5" t="str">
        <f>IFERROR(__xludf.DUMMYFUNCTION("""COMPUTED_VALUE"""),"alaahesham492@gmail.com")</f>
        <v>alaahesham492@gmail.com</v>
      </c>
      <c r="G72" s="5" t="str">
        <f>IFERROR(__xludf.DUMMYFUNCTION("""COMPUTED_VALUE"""),"01204537345")</f>
        <v>01204537345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tr">
        <f>IFERROR(__xludf.DUMMYFUNCTION("""COMPUTED_VALUE"""),"بيشوي وديع")</f>
        <v>بيشوي وديع</v>
      </c>
      <c r="B73" s="5">
        <f>IFERROR(__xludf.DUMMYFUNCTION("""COMPUTED_VALUE"""),1.65178526464E11)</f>
        <v>165178526464</v>
      </c>
      <c r="C73" s="5" t="str">
        <f>IFERROR(__xludf.DUMMYFUNCTION("""COMPUTED_VALUE"""),"بيشوي وديع")</f>
        <v>بيشوي وديع</v>
      </c>
      <c r="D73" s="30" t="str">
        <f>IFERROR(__xludf.DUMMYFUNCTION("""COMPUTED_VALUE"""),"1867")</f>
        <v>1867</v>
      </c>
      <c r="E73" s="5" t="str">
        <f>IFERROR(__xludf.DUMMYFUNCTION("""COMPUTED_VALUE"""),"EG10-EG11-G12")</f>
        <v>EG10-EG11-G12</v>
      </c>
      <c r="F73" s="5" t="str">
        <f>IFERROR(__xludf.DUMMYFUNCTION("""COMPUTED_VALUE"""),"bishoywadea.7@gmail.com")</f>
        <v>bishoywadea.7@gmail.com</v>
      </c>
      <c r="G73" s="5" t="str">
        <f>IFERROR(__xludf.DUMMYFUNCTION("""COMPUTED_VALUE"""),"01220405245")</f>
        <v>01220405245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tr">
        <f>IFERROR(__xludf.DUMMYFUNCTION("""COMPUTED_VALUE"""),"جوزيف إميل")</f>
        <v>جوزيف إميل</v>
      </c>
      <c r="B74" s="5">
        <f>IFERROR(__xludf.DUMMYFUNCTION("""COMPUTED_VALUE"""),2.06152939465E11)</f>
        <v>206152939465</v>
      </c>
      <c r="C74" s="5" t="str">
        <f>IFERROR(__xludf.DUMMYFUNCTION("""COMPUTED_VALUE"""),"جوزيف إميل")</f>
        <v>جوزيف إميل</v>
      </c>
      <c r="D74" s="30" t="str">
        <f>IFERROR(__xludf.DUMMYFUNCTION("""COMPUTED_VALUE"""),"1864")</f>
        <v>1864</v>
      </c>
      <c r="E74" s="5" t="str">
        <f>IFERROR(__xludf.DUMMYFUNCTION("""COMPUTED_VALUE"""),"G11-G12")</f>
        <v>G11-G12</v>
      </c>
      <c r="F74" s="5" t="str">
        <f>IFERROR(__xludf.DUMMYFUNCTION("""COMPUTED_VALUE"""),"josephemil.jojo@gmail.com")</f>
        <v>josephemil.jojo@gmail.com</v>
      </c>
      <c r="G74" s="5" t="str">
        <f>IFERROR(__xludf.DUMMYFUNCTION("""COMPUTED_VALUE"""),"+201228157318")</f>
        <v>+201228157318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tr">
        <f>IFERROR(__xludf.DUMMYFUNCTION("""COMPUTED_VALUE"""),"سارة لطفي")</f>
        <v>سارة لطفي</v>
      </c>
      <c r="B75" s="5">
        <f>IFERROR(__xludf.DUMMYFUNCTION("""COMPUTED_VALUE"""),3.57195672504E11)</f>
        <v>357195672504</v>
      </c>
      <c r="C75" s="5" t="str">
        <f>IFERROR(__xludf.DUMMYFUNCTION("""COMPUTED_VALUE"""),"سارة لطفي")</f>
        <v>سارة لطفي</v>
      </c>
      <c r="D75" s="30" t="str">
        <f>IFERROR(__xludf.DUMMYFUNCTION("""COMPUTED_VALUE"""),"1860")</f>
        <v>1860</v>
      </c>
      <c r="E75" s="5"/>
      <c r="F75" s="5" t="str">
        <f>IFERROR(__xludf.DUMMYFUNCTION("""COMPUTED_VALUE"""),"sarahelfeqy757@gmail.com")</f>
        <v>sarahelfeqy757@gmail.com</v>
      </c>
      <c r="G75" s="5" t="str">
        <f>IFERROR(__xludf.DUMMYFUNCTION("""COMPUTED_VALUE"""),"01025935755")</f>
        <v>01025935755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tr">
        <f>IFERROR(__xludf.DUMMYFUNCTION("""COMPUTED_VALUE"""),"رحاب توفيق")</f>
        <v>رحاب توفيق</v>
      </c>
      <c r="B76" s="5">
        <f>IFERROR(__xludf.DUMMYFUNCTION("""COMPUTED_VALUE"""),2.62187939345E11)</f>
        <v>262187939345</v>
      </c>
      <c r="C76" s="5" t="str">
        <f>IFERROR(__xludf.DUMMYFUNCTION("""COMPUTED_VALUE"""),"رحاب توفيق")</f>
        <v>رحاب توفيق</v>
      </c>
      <c r="D76" s="30" t="str">
        <f>IFERROR(__xludf.DUMMYFUNCTION("""COMPUTED_VALUE"""),"1873")</f>
        <v>1873</v>
      </c>
      <c r="E76" s="5"/>
      <c r="F76" s="5" t="str">
        <f>IFERROR(__xludf.DUMMYFUNCTION("""COMPUTED_VALUE"""),"rehabtawfik8@gmail.com")</f>
        <v>rehabtawfik8@gmail.com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tr">
        <f>IFERROR(__xludf.DUMMYFUNCTION("""COMPUTED_VALUE"""),"فاطمة أحمد")</f>
        <v>فاطمة أحمد</v>
      </c>
      <c r="B77" s="5">
        <f>IFERROR(__xludf.DUMMYFUNCTION("""COMPUTED_VALUE"""),3.07134532301E11)</f>
        <v>307134532301</v>
      </c>
      <c r="C77" s="5" t="str">
        <f>IFERROR(__xludf.DUMMYFUNCTION("""COMPUTED_VALUE"""),"فاطمة أحمد")</f>
        <v>فاطمة أحمد</v>
      </c>
      <c r="D77" s="30" t="str">
        <f>IFERROR(__xludf.DUMMYFUNCTION("""COMPUTED_VALUE"""),"1888")</f>
        <v>1888</v>
      </c>
      <c r="E77" s="5" t="str">
        <f>IFERROR(__xludf.DUMMYFUNCTION("""COMPUTED_VALUE"""),"G12")</f>
        <v>G12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tr">
        <f>IFERROR(__xludf.DUMMYFUNCTION("""COMPUTED_VALUE"""),"إسلام ممدوح")</f>
        <v>إسلام ممدوح</v>
      </c>
      <c r="B78" s="5">
        <f>IFERROR(__xludf.DUMMYFUNCTION("""COMPUTED_VALUE"""),9.20135701295E11)</f>
        <v>920135701295</v>
      </c>
      <c r="C78" s="5" t="str">
        <f>IFERROR(__xludf.DUMMYFUNCTION("""COMPUTED_VALUE"""),"إسلام ممدوح")</f>
        <v>إسلام ممدوح</v>
      </c>
      <c r="D78" s="30" t="str">
        <f>IFERROR(__xludf.DUMMYFUNCTION("""COMPUTED_VALUE"""),"1887")</f>
        <v>1887</v>
      </c>
      <c r="E78" s="5" t="str">
        <f>IFERROR(__xludf.DUMMYFUNCTION("""COMPUTED_VALUE"""),"G11-G12")</f>
        <v>G11-G12</v>
      </c>
      <c r="F78" s="5" t="str">
        <f>IFERROR(__xludf.DUMMYFUNCTION("""COMPUTED_VALUE"""),"mr.eslammamdohphysics@gmail.com")</f>
        <v>mr.eslammamdohphysics@gmail.com</v>
      </c>
      <c r="G78" s="5" t="str">
        <f>IFERROR(__xludf.DUMMYFUNCTION("""COMPUTED_VALUE"""),"01220501541 / 01006878086")</f>
        <v>01220501541 / 01006878086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tr">
        <f>IFERROR(__xludf.DUMMYFUNCTION("""COMPUTED_VALUE"""),"غيث عاطف")</f>
        <v>غيث عاطف</v>
      </c>
      <c r="B79" s="5">
        <f>IFERROR(__xludf.DUMMYFUNCTION("""COMPUTED_VALUE"""),5.0319035727E11)</f>
        <v>503190357270</v>
      </c>
      <c r="C79" s="5" t="str">
        <f>IFERROR(__xludf.DUMMYFUNCTION("""COMPUTED_VALUE"""),"غيث عاطف")</f>
        <v>غيث عاطف</v>
      </c>
      <c r="D79" s="30" t="str">
        <f>IFERROR(__xludf.DUMMYFUNCTION("""COMPUTED_VALUE"""),"1890")</f>
        <v>1890</v>
      </c>
      <c r="E79" s="5"/>
      <c r="F79" s="5" t="str">
        <f>IFERROR(__xludf.DUMMYFUNCTION("""COMPUTED_VALUE"""),"mrghies85@gmail.com")</f>
        <v>mrghies85@gmail.com</v>
      </c>
      <c r="G79" s="5" t="str">
        <f>IFERROR(__xludf.DUMMYFUNCTION("""COMPUTED_VALUE"""),"01007657654")</f>
        <v>01007657654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tr">
        <f>IFERROR(__xludf.DUMMYFUNCTION("""COMPUTED_VALUE"""),"هويدا منصور")</f>
        <v>هويدا منصور</v>
      </c>
      <c r="B80" s="5">
        <f>IFERROR(__xludf.DUMMYFUNCTION("""COMPUTED_VALUE"""),9.56106960751E11)</f>
        <v>956106960751</v>
      </c>
      <c r="C80" s="5" t="str">
        <f>IFERROR(__xludf.DUMMYFUNCTION("""COMPUTED_VALUE"""),"هويدا منصور")</f>
        <v>هويدا منصور</v>
      </c>
      <c r="D80" s="30" t="str">
        <f>IFERROR(__xludf.DUMMYFUNCTION("""COMPUTED_VALUE"""),"1885")</f>
        <v>1885</v>
      </c>
      <c r="E80" s="5" t="str">
        <f>IFERROR(__xludf.DUMMYFUNCTION("""COMPUTED_VALUE"""),"EG04-EG05-EG06")</f>
        <v>EG04-EG05-EG06</v>
      </c>
      <c r="F80" s="5" t="str">
        <f>IFERROR(__xludf.DUMMYFUNCTION("""COMPUTED_VALUE"""),"dodoelzohry22@gmail.com")</f>
        <v>dodoelzohry22@gmail.com</v>
      </c>
      <c r="G80" s="5" t="str">
        <f>IFERROR(__xludf.DUMMYFUNCTION("""COMPUTED_VALUE"""),"01090569530")</f>
        <v>01090569530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tr">
        <f>IFERROR(__xludf.DUMMYFUNCTION("""COMPUTED_VALUE"""),"ليلى السيد")</f>
        <v>ليلى السيد</v>
      </c>
      <c r="B81" s="5">
        <f>IFERROR(__xludf.DUMMYFUNCTION("""COMPUTED_VALUE"""),4.02170847265E11)</f>
        <v>402170847265</v>
      </c>
      <c r="C81" s="5" t="str">
        <f>IFERROR(__xludf.DUMMYFUNCTION("""COMPUTED_VALUE"""),"ليلى السيد")</f>
        <v>ليلى السيد</v>
      </c>
      <c r="D81" s="30" t="str">
        <f>IFERROR(__xludf.DUMMYFUNCTION("""COMPUTED_VALUE"""),"1883")</f>
        <v>1883</v>
      </c>
      <c r="E81" s="5"/>
      <c r="F81" s="5" t="str">
        <f>IFERROR(__xludf.DUMMYFUNCTION("""COMPUTED_VALUE"""),"lailaelsayed3@gmail.com")</f>
        <v>lailaelsayed3@gmail.com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tr">
        <f>IFERROR(__xludf.DUMMYFUNCTION("""COMPUTED_VALUE"""),"آيات أبو العلا")</f>
        <v>آيات أبو العلا</v>
      </c>
      <c r="B82" s="5">
        <f>IFERROR(__xludf.DUMMYFUNCTION("""COMPUTED_VALUE"""),8.95196457504E11)</f>
        <v>895196457504</v>
      </c>
      <c r="C82" s="5" t="str">
        <f>IFERROR(__xludf.DUMMYFUNCTION("""COMPUTED_VALUE"""),"آيات أبو العلا")</f>
        <v>آيات أبو العلا</v>
      </c>
      <c r="D82" s="5">
        <f>IFERROR(__xludf.DUMMYFUNCTION("""COMPUTED_VALUE"""),1886.0)</f>
        <v>1886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tr">
        <f>IFERROR(__xludf.DUMMYFUNCTION("""COMPUTED_VALUE"""),"أحمد مختار")</f>
        <v>أحمد مختار</v>
      </c>
      <c r="B83" s="5">
        <f>IFERROR(__xludf.DUMMYFUNCTION("""COMPUTED_VALUE"""),5.13102701368E11)</f>
        <v>513102701368</v>
      </c>
      <c r="C83" s="5" t="str">
        <f>IFERROR(__xludf.DUMMYFUNCTION("""COMPUTED_VALUE"""),"أحمد مختار")</f>
        <v>أحمد مختار</v>
      </c>
      <c r="D83" s="30" t="str">
        <f>IFERROR(__xludf.DUMMYFUNCTION("""COMPUTED_VALUE"""),"1892")</f>
        <v>1892</v>
      </c>
      <c r="E83" s="5" t="str">
        <f>IFERROR(__xludf.DUMMYFUNCTION("""COMPUTED_VALUE"""),"G11-G12")</f>
        <v>G11-G12</v>
      </c>
      <c r="F83" s="5" t="str">
        <f>IFERROR(__xludf.DUMMYFUNCTION("""COMPUTED_VALUE"""),"elshahaly.ahmed.2.96@gmail.com")</f>
        <v>elshahaly.ahmed.2.96@gmail.com</v>
      </c>
      <c r="G83" s="5" t="str">
        <f>IFERROR(__xludf.DUMMYFUNCTION("""COMPUTED_VALUE"""),"01275541280")</f>
        <v>01275541280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tr">
        <f>IFERROR(__xludf.DUMMYFUNCTION("""COMPUTED_VALUE"""),"إبراهيم فريد")</f>
        <v>إبراهيم فريد</v>
      </c>
      <c r="B84" s="5">
        <f>IFERROR(__xludf.DUMMYFUNCTION("""COMPUTED_VALUE"""),5.37125814019E11)</f>
        <v>537125814019</v>
      </c>
      <c r="C84" s="5" t="str">
        <f>IFERROR(__xludf.DUMMYFUNCTION("""COMPUTED_VALUE"""),"إبراهيم فريد")</f>
        <v>إبراهيم فريد</v>
      </c>
      <c r="D84" s="30" t="str">
        <f>IFERROR(__xludf.DUMMYFUNCTION("""COMPUTED_VALUE"""),"1899")</f>
        <v>1899</v>
      </c>
      <c r="E84" s="5"/>
      <c r="F84" s="5" t="str">
        <f>IFERROR(__xludf.DUMMYFUNCTION("""COMPUTED_VALUE"""),"i.aboserie@gmail.com")</f>
        <v>i.aboserie@gmail.com</v>
      </c>
      <c r="G84" s="5" t="str">
        <f>IFERROR(__xludf.DUMMYFUNCTION("""COMPUTED_VALUE"""),"01226531038")</f>
        <v>01226531038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tr">
        <f>IFERROR(__xludf.DUMMYFUNCTION("""COMPUTED_VALUE"""),"سارة عبد الحليم")</f>
        <v>سارة عبد الحليم</v>
      </c>
      <c r="B85" s="5">
        <f>IFERROR(__xludf.DUMMYFUNCTION("""COMPUTED_VALUE"""),8.18193063651E11)</f>
        <v>818193063651</v>
      </c>
      <c r="C85" s="5" t="str">
        <f>IFERROR(__xludf.DUMMYFUNCTION("""COMPUTED_VALUE"""),"سارة عبد الحليم")</f>
        <v>سارة عبد الحليم</v>
      </c>
      <c r="D85" s="30" t="str">
        <f>IFERROR(__xludf.DUMMYFUNCTION("""COMPUTED_VALUE"""),"1898")</f>
        <v>1898</v>
      </c>
      <c r="E85" s="5" t="str">
        <f>IFERROR(__xludf.DUMMYFUNCTION("""COMPUTED_VALUE"""),"EG07-EG08-EG09")</f>
        <v>EG07-EG08-EG09</v>
      </c>
      <c r="F85" s="5" t="str">
        <f>IFERROR(__xludf.DUMMYFUNCTION("""COMPUTED_VALUE"""),"saraabualm2121@gmail.com")</f>
        <v>saraabualm2121@gmail.com</v>
      </c>
      <c r="G85" s="5">
        <f>IFERROR(__xludf.DUMMYFUNCTION("""COMPUTED_VALUE"""),1.124777848E9)</f>
        <v>1124777848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tr">
        <f>IFERROR(__xludf.DUMMYFUNCTION("""COMPUTED_VALUE"""),"محمد كمال")</f>
        <v>محمد كمال</v>
      </c>
      <c r="B86" s="5">
        <f>IFERROR(__xludf.DUMMYFUNCTION("""COMPUTED_VALUE"""),8.76163930275E11)</f>
        <v>876163930275</v>
      </c>
      <c r="C86" s="5" t="str">
        <f>IFERROR(__xludf.DUMMYFUNCTION("""COMPUTED_VALUE"""),"محمد كمال")</f>
        <v>محمد كمال</v>
      </c>
      <c r="D86" s="5">
        <f>IFERROR(__xludf.DUMMYFUNCTION("""COMPUTED_VALUE"""),1374.0)</f>
        <v>1374</v>
      </c>
      <c r="E86" s="5"/>
      <c r="F86" s="5" t="str">
        <f>IFERROR(__xludf.DUMMYFUNCTION("""COMPUTED_VALUE"""),"mohamed.ahmed.kamal@nagwa.com")</f>
        <v>mohamed.ahmed.kamal@nagwa.com</v>
      </c>
      <c r="G86" s="5" t="str">
        <f>IFERROR(__xludf.DUMMYFUNCTION("""COMPUTED_VALUE"""),"01001120294")</f>
        <v>01001120294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tr">
        <f>IFERROR(__xludf.DUMMYFUNCTION("""COMPUTED_VALUE"""),"إسراء إبراهيم")</f>
        <v>إسراء إبراهيم</v>
      </c>
      <c r="B87" s="5">
        <f>IFERROR(__xludf.DUMMYFUNCTION("""COMPUTED_VALUE"""),4.38168047047E11)</f>
        <v>438168047047</v>
      </c>
      <c r="C87" s="5" t="str">
        <f>IFERROR(__xludf.DUMMYFUNCTION("""COMPUTED_VALUE"""),"إسراء إبراهيم")</f>
        <v>إسراء إبراهيم</v>
      </c>
      <c r="D87" s="30" t="str">
        <f>IFERROR(__xludf.DUMMYFUNCTION("""COMPUTED_VALUE"""),"1907")</f>
        <v>1907</v>
      </c>
      <c r="E87" s="5" t="str">
        <f>IFERROR(__xludf.DUMMYFUNCTION("""COMPUTED_VALUE"""),"EG04-EG05-EG06-EG07-EG08-EG09")</f>
        <v>EG04-EG05-EG06-EG07-EG08-EG09</v>
      </c>
      <c r="F87" s="5" t="str">
        <f>IFERROR(__xludf.DUMMYFUNCTION("""COMPUTED_VALUE"""),"esraa.eid.95@gmail.com")</f>
        <v>esraa.eid.95@gmail.com</v>
      </c>
      <c r="G87" s="5" t="str">
        <f>IFERROR(__xludf.DUMMYFUNCTION("""COMPUTED_VALUE"""),"01009980720")</f>
        <v>01009980720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tr">
        <f>IFERROR(__xludf.DUMMYFUNCTION("""COMPUTED_VALUE"""),"إسلام السيد")</f>
        <v>إسلام السيد</v>
      </c>
      <c r="B88" s="5">
        <f>IFERROR(__xludf.DUMMYFUNCTION("""COMPUTED_VALUE"""),5.12143279207E11)</f>
        <v>512143279207</v>
      </c>
      <c r="C88" s="5" t="str">
        <f>IFERROR(__xludf.DUMMYFUNCTION("""COMPUTED_VALUE"""),"إسلام السيد")</f>
        <v>إسلام السيد</v>
      </c>
      <c r="D88" s="30" t="str">
        <f>IFERROR(__xludf.DUMMYFUNCTION("""COMPUTED_VALUE"""),"1901")</f>
        <v>1901</v>
      </c>
      <c r="E88" s="5"/>
      <c r="F88" s="5" t="str">
        <f>IFERROR(__xludf.DUMMYFUNCTION("""COMPUTED_VALUE"""),"mr.eslamelsyed@gmail.com")</f>
        <v>mr.eslamelsyed@gmail.com</v>
      </c>
      <c r="G88" s="5" t="str">
        <f>IFERROR(__xludf.DUMMYFUNCTION("""COMPUTED_VALUE"""),"01004928895")</f>
        <v>01004928895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tr">
        <f>IFERROR(__xludf.DUMMYFUNCTION("""COMPUTED_VALUE"""),"رحمة سعيد")</f>
        <v>رحمة سعيد</v>
      </c>
      <c r="B89" s="5">
        <f>IFERROR(__xludf.DUMMYFUNCTION("""COMPUTED_VALUE"""),5.78138935094E11)</f>
        <v>578138935094</v>
      </c>
      <c r="C89" s="5" t="str">
        <f>IFERROR(__xludf.DUMMYFUNCTION("""COMPUTED_VALUE"""),"رحمة سعيد")</f>
        <v>رحمة سعيد</v>
      </c>
      <c r="D89" s="30" t="str">
        <f>IFERROR(__xludf.DUMMYFUNCTION("""COMPUTED_VALUE"""),"1897")</f>
        <v>1897</v>
      </c>
      <c r="E89" s="5" t="str">
        <f>IFERROR(__xludf.DUMMYFUNCTION("""COMPUTED_VALUE"""),"EG01-EG02-EG03-EG04-EG05-EG06")</f>
        <v>EG01-EG02-EG03-EG04-EG05-EG06</v>
      </c>
      <c r="F89" s="5" t="str">
        <f>IFERROR(__xludf.DUMMYFUNCTION("""COMPUTED_VALUE"""),"rahmasaeed600@gmail.com")</f>
        <v>rahmasaeed600@gmail.com</v>
      </c>
      <c r="G89" s="5" t="str">
        <f>IFERROR(__xludf.DUMMYFUNCTION("""COMPUTED_VALUE"""),"01140946934")</f>
        <v>01140946934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tr">
        <f>IFERROR(__xludf.DUMMYFUNCTION("""COMPUTED_VALUE"""),"مريم محمد")</f>
        <v>مريم محمد</v>
      </c>
      <c r="B90" s="5">
        <f>IFERROR(__xludf.DUMMYFUNCTION("""COMPUTED_VALUE"""),2.39129619815E11)</f>
        <v>239129619815</v>
      </c>
      <c r="C90" s="5" t="str">
        <f>IFERROR(__xludf.DUMMYFUNCTION("""COMPUTED_VALUE"""),"مريم محمد")</f>
        <v>مريم محمد</v>
      </c>
      <c r="D90" s="30" t="str">
        <f>IFERROR(__xludf.DUMMYFUNCTION("""COMPUTED_VALUE"""),"1900")</f>
        <v>1900</v>
      </c>
      <c r="E90" s="5"/>
      <c r="F90" s="5" t="str">
        <f>IFERROR(__xludf.DUMMYFUNCTION("""COMPUTED_VALUE"""),"mariamabdelkader292@gmail.com")</f>
        <v>mariamabdelkader292@gmail.com</v>
      </c>
      <c r="G90" s="5">
        <f>IFERROR(__xludf.DUMMYFUNCTION("""COMPUTED_VALUE"""),2.01115757521E11)</f>
        <v>201115757521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tr">
        <f>IFERROR(__xludf.DUMMYFUNCTION("""COMPUTED_VALUE"""),"فادي جبرائيل")</f>
        <v>فادي جبرائيل</v>
      </c>
      <c r="B91" s="5">
        <f>IFERROR(__xludf.DUMMYFUNCTION("""COMPUTED_VALUE"""),6.75168783816E11)</f>
        <v>675168783816</v>
      </c>
      <c r="C91" s="5" t="str">
        <f>IFERROR(__xludf.DUMMYFUNCTION("""COMPUTED_VALUE"""),"فادي جبرائيل")</f>
        <v>فادي جبرائيل</v>
      </c>
      <c r="D91" s="30" t="str">
        <f>IFERROR(__xludf.DUMMYFUNCTION("""COMPUTED_VALUE"""),"1909")</f>
        <v>1909</v>
      </c>
      <c r="E91" s="5" t="str">
        <f>IFERROR(__xludf.DUMMYFUNCTION("""COMPUTED_VALUE"""),"EG10-EG11-G12")</f>
        <v>EG10-EG11-G12</v>
      </c>
      <c r="F91" s="5" t="str">
        <f>IFERROR(__xludf.DUMMYFUNCTION("""COMPUTED_VALUE"""),"fady.gobrail@gmail.com")</f>
        <v>fady.gobrail@gmail.com</v>
      </c>
      <c r="G91" s="5" t="str">
        <f>IFERROR(__xludf.DUMMYFUNCTION("""COMPUTED_VALUE"""),"035400651")</f>
        <v>035400651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tr">
        <f>IFERROR(__xludf.DUMMYFUNCTION("""COMPUTED_VALUE"""),"ياسمين هشام")</f>
        <v>ياسمين هشام</v>
      </c>
      <c r="B92" s="5">
        <f>IFERROR(__xludf.DUMMYFUNCTION("""COMPUTED_VALUE"""),2.13156056568E11)</f>
        <v>213156056568</v>
      </c>
      <c r="C92" s="5" t="str">
        <f>IFERROR(__xludf.DUMMYFUNCTION("""COMPUTED_VALUE"""),"ياسمين هشام")</f>
        <v>ياسمين هشام</v>
      </c>
      <c r="D92" s="30" t="str">
        <f>IFERROR(__xludf.DUMMYFUNCTION("""COMPUTED_VALUE"""),"1911")</f>
        <v>1911</v>
      </c>
      <c r="E92" s="5"/>
      <c r="F92" s="5" t="str">
        <f>IFERROR(__xludf.DUMMYFUNCTION("""COMPUTED_VALUE"""),"jess.hisham@gmail.com")</f>
        <v>jess.hisham@gmail.com</v>
      </c>
      <c r="G92" s="5" t="str">
        <f>IFERROR(__xludf.DUMMYFUNCTION("""COMPUTED_VALUE"""),"01000347446")</f>
        <v>01000347446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tr">
        <f>IFERROR(__xludf.DUMMYFUNCTION("""COMPUTED_VALUE"""),"أحمد الديري")</f>
        <v>أحمد الديري</v>
      </c>
      <c r="B93" s="5">
        <f>IFERROR(__xludf.DUMMYFUNCTION("""COMPUTED_VALUE"""),1.60143206257E11)</f>
        <v>160143206257</v>
      </c>
      <c r="C93" s="5" t="str">
        <f>IFERROR(__xludf.DUMMYFUNCTION("""COMPUTED_VALUE"""),"أحمد الديري")</f>
        <v>أحمد الديري</v>
      </c>
      <c r="D93" s="30" t="str">
        <f>IFERROR(__xludf.DUMMYFUNCTION("""COMPUTED_VALUE"""),"1918")</f>
        <v>1918</v>
      </c>
      <c r="E93" s="5" t="str">
        <f>IFERROR(__xludf.DUMMYFUNCTION("""COMPUTED_VALUE"""),"EG10-EG11")</f>
        <v>EG10-EG11</v>
      </c>
      <c r="F93" s="5" t="str">
        <f>IFERROR(__xludf.DUMMYFUNCTION("""COMPUTED_VALUE"""),"ahmedhamada07@gmail.com")</f>
        <v>ahmedhamada07@gmail.com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tr">
        <f>IFERROR(__xludf.DUMMYFUNCTION("""COMPUTED_VALUE"""),"أحمد عبد الرزاق")</f>
        <v>أحمد عبد الرزاق</v>
      </c>
      <c r="B94" s="5">
        <f>IFERROR(__xludf.DUMMYFUNCTION("""COMPUTED_VALUE"""),5.4516968536E11)</f>
        <v>545169685360</v>
      </c>
      <c r="C94" s="5" t="str">
        <f>IFERROR(__xludf.DUMMYFUNCTION("""COMPUTED_VALUE"""),"أحمد عبد الرزاق")</f>
        <v>أحمد عبد الرزاق</v>
      </c>
      <c r="D94" s="30" t="str">
        <f>IFERROR(__xludf.DUMMYFUNCTION("""COMPUTED_VALUE"""),"1916")</f>
        <v>1916</v>
      </c>
      <c r="E94" s="5" t="str">
        <f>IFERROR(__xludf.DUMMYFUNCTION("""COMPUTED_VALUE"""),"EG07-EG08-EG09-EG10")</f>
        <v>EG07-EG08-EG09-EG10</v>
      </c>
      <c r="F94" s="5" t="str">
        <f>IFERROR(__xludf.DUMMYFUNCTION("""COMPUTED_VALUE"""),"ahmedabdelrazakmail@gmail.com")</f>
        <v>ahmedabdelrazakmail@gmail.com</v>
      </c>
      <c r="G94" s="5" t="str">
        <f>IFERROR(__xludf.DUMMYFUNCTION("""COMPUTED_VALUE"""),"01144483106")</f>
        <v>01144483106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tr">
        <f>IFERROR(__xludf.DUMMYFUNCTION("""COMPUTED_VALUE"""),"أحمد سمير")</f>
        <v>أحمد سمير</v>
      </c>
      <c r="B95" s="5">
        <f>IFERROR(__xludf.DUMMYFUNCTION("""COMPUTED_VALUE"""),5.78168047263E11)</f>
        <v>578168047263</v>
      </c>
      <c r="C95" s="5" t="str">
        <f>IFERROR(__xludf.DUMMYFUNCTION("""COMPUTED_VALUE"""),"أحمد سمير")</f>
        <v>أحمد سمير</v>
      </c>
      <c r="D95" s="30">
        <f>IFERROR(__xludf.DUMMYFUNCTION("""COMPUTED_VALUE"""),1906.0)</f>
        <v>1906</v>
      </c>
      <c r="E95" s="5"/>
      <c r="F95" s="5" t="str">
        <f>IFERROR(__xludf.DUMMYFUNCTION("""COMPUTED_VALUE"""),"mrahmedsamer30@gmail.com")</f>
        <v>mrahmedsamer30@gmail.com</v>
      </c>
      <c r="G95" s="5" t="str">
        <f>IFERROR(__xludf.DUMMYFUNCTION("""COMPUTED_VALUE"""),"01060665053")</f>
        <v>01060665053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tr">
        <f>IFERROR(__xludf.DUMMYFUNCTION("""COMPUTED_VALUE"""),"هادي الشاعر")</f>
        <v>هادي الشاعر</v>
      </c>
      <c r="B96" s="5">
        <f>IFERROR(__xludf.DUMMYFUNCTION("""COMPUTED_VALUE"""),1.76131232361E11)</f>
        <v>176131232361</v>
      </c>
      <c r="C96" s="5" t="str">
        <f>IFERROR(__xludf.DUMMYFUNCTION("""COMPUTED_VALUE"""),"هادي الشاعر")</f>
        <v>هادي الشاعر</v>
      </c>
      <c r="D96" s="30" t="str">
        <f>IFERROR(__xludf.DUMMYFUNCTION("""COMPUTED_VALUE"""),"1904")</f>
        <v>1904</v>
      </c>
      <c r="E96" s="5"/>
      <c r="F96" s="5" t="str">
        <f>IFERROR(__xludf.DUMMYFUNCTION("""COMPUTED_VALUE"""),"hadyelshaer8@gmail.com")</f>
        <v>hadyelshaer8@gmail.com</v>
      </c>
      <c r="G96" s="5" t="str">
        <f>IFERROR(__xludf.DUMMYFUNCTION("""COMPUTED_VALUE"""),"01067571417")</f>
        <v>01067571417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tr">
        <f>IFERROR(__xludf.DUMMYFUNCTION("""COMPUTED_VALUE"""),"سالي إبراهيم")</f>
        <v>سالي إبراهيم</v>
      </c>
      <c r="B97" s="5">
        <f>IFERROR(__xludf.DUMMYFUNCTION("""COMPUTED_VALUE"""),8.29179380761E11)</f>
        <v>829179380761</v>
      </c>
      <c r="C97" s="5" t="str">
        <f>IFERROR(__xludf.DUMMYFUNCTION("""COMPUTED_VALUE"""),"سالي إبراهيم")</f>
        <v>سالي إبراهيم</v>
      </c>
      <c r="D97" s="30">
        <f>IFERROR(__xludf.DUMMYFUNCTION("""COMPUTED_VALUE"""),1915.0)</f>
        <v>1915</v>
      </c>
      <c r="E97" s="5"/>
      <c r="F97" s="5" t="str">
        <f>IFERROR(__xludf.DUMMYFUNCTION("""COMPUTED_VALUE"""),"dr.sallyibrahem70@gmail.com")</f>
        <v>dr.sallyibrahem70@gmail.com</v>
      </c>
      <c r="G97" s="5" t="str">
        <f>IFERROR(__xludf.DUMMYFUNCTION("""COMPUTED_VALUE"""),"01009604394")</f>
        <v>01009604394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tr">
        <f>IFERROR(__xludf.DUMMYFUNCTION("""COMPUTED_VALUE"""),"هشام إبراهيم")</f>
        <v>هشام إبراهيم</v>
      </c>
      <c r="B98" s="5">
        <f>IFERROR(__xludf.DUMMYFUNCTION("""COMPUTED_VALUE"""),5.17143909782E11)</f>
        <v>517143909782</v>
      </c>
      <c r="C98" s="5" t="str">
        <f>IFERROR(__xludf.DUMMYFUNCTION("""COMPUTED_VALUE"""),"هشام إبراهيم")</f>
        <v>هشام إبراهيم</v>
      </c>
      <c r="D98" s="30" t="str">
        <f>IFERROR(__xludf.DUMMYFUNCTION("""COMPUTED_VALUE"""),"1922")</f>
        <v>1922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tr">
        <f>IFERROR(__xludf.DUMMYFUNCTION("""COMPUTED_VALUE"""),"حنان بدوي")</f>
        <v>حنان بدوي</v>
      </c>
      <c r="B99" s="5">
        <f>IFERROR(__xludf.DUMMYFUNCTION("""COMPUTED_VALUE"""),2.39130462525E11)</f>
        <v>239130462525</v>
      </c>
      <c r="C99" s="5" t="str">
        <f>IFERROR(__xludf.DUMMYFUNCTION("""COMPUTED_VALUE"""),"حنان بدوي")</f>
        <v>حنان بدوي</v>
      </c>
      <c r="D99" s="30" t="str">
        <f>IFERROR(__xludf.DUMMYFUNCTION("""COMPUTED_VALUE"""),"1913")</f>
        <v>1913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tr">
        <f>IFERROR(__xludf.DUMMYFUNCTION("""COMPUTED_VALUE"""),"مدحت صابر")</f>
        <v>مدحت صابر</v>
      </c>
      <c r="B100" s="5">
        <f>IFERROR(__xludf.DUMMYFUNCTION("""COMPUTED_VALUE"""),9.83164352707E11)</f>
        <v>983164352707</v>
      </c>
      <c r="C100" s="5" t="str">
        <f>IFERROR(__xludf.DUMMYFUNCTION("""COMPUTED_VALUE"""),"مدحت صابر")</f>
        <v>مدحت صابر</v>
      </c>
      <c r="D100" s="30" t="str">
        <f>IFERROR(__xludf.DUMMYFUNCTION("""COMPUTED_VALUE"""),"1919")</f>
        <v>1919</v>
      </c>
      <c r="E100" s="5"/>
      <c r="F100" s="5" t="str">
        <f>IFERROR(__xludf.DUMMYFUNCTION("""COMPUTED_VALUE"""),"sabermedhat9@gmail.com")</f>
        <v>sabermedhat9@gmail.com</v>
      </c>
      <c r="G100" s="5" t="str">
        <f>IFERROR(__xludf.DUMMYFUNCTION("""COMPUTED_VALUE"""),"01006463329")</f>
        <v>01006463329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tr">
        <f>IFERROR(__xludf.DUMMYFUNCTION("""COMPUTED_VALUE"""),"هبة محمد")</f>
        <v>هبة محمد</v>
      </c>
      <c r="B101" s="5">
        <f>IFERROR(__xludf.DUMMYFUNCTION("""COMPUTED_VALUE"""),4.79193436034E11)</f>
        <v>479193436034</v>
      </c>
      <c r="C101" s="5" t="str">
        <f>IFERROR(__xludf.DUMMYFUNCTION("""COMPUTED_VALUE"""),"هبة محمد")</f>
        <v>هبة محمد</v>
      </c>
      <c r="D101" s="30" t="str">
        <f>IFERROR(__xludf.DUMMYFUNCTION("""COMPUTED_VALUE"""),"1920")</f>
        <v>1920</v>
      </c>
      <c r="E101" s="5"/>
      <c r="F101" s="5" t="str">
        <f>IFERROR(__xludf.DUMMYFUNCTION("""COMPUTED_VALUE"""),"heba.mh29@gmail.com")</f>
        <v>heba.mh29@gmail.com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tr">
        <f>IFERROR(__xludf.DUMMYFUNCTION("""COMPUTED_VALUE"""),"أيمن سليم")</f>
        <v>أيمن سليم</v>
      </c>
      <c r="B102" s="5">
        <f>IFERROR(__xludf.DUMMYFUNCTION("""COMPUTED_VALUE"""),4.0310378701E11)</f>
        <v>403103787010</v>
      </c>
      <c r="C102" s="5" t="str">
        <f>IFERROR(__xludf.DUMMYFUNCTION("""COMPUTED_VALUE"""),"أيمن سليم")</f>
        <v>أيمن سليم</v>
      </c>
      <c r="D102" s="30" t="str">
        <f>IFERROR(__xludf.DUMMYFUNCTION("""COMPUTED_VALUE"""),"1910")</f>
        <v>1910</v>
      </c>
      <c r="E102" s="5" t="str">
        <f>IFERROR(__xludf.DUMMYFUNCTION("""COMPUTED_VALUE"""),"لم يقبل نظام المحاسبة الجديد والتسجيلات فقرر الاستقالة، فيرجى التواصل معه وتنفيذ إجراءات إنهاء التعاقد وتسليم العهدة")</f>
        <v>لم يقبل نظام المحاسبة الجديد والتسجيلات فقرر الاستقالة، فيرجى التواصل معه وتنفيذ إجراءات إنهاء التعاقد وتسليم العهدة</v>
      </c>
      <c r="F102" s="5" t="str">
        <f>IFERROR(__xludf.DUMMYFUNCTION("""COMPUTED_VALUE"""),"ayman.m.selim@gmail.com")</f>
        <v>ayman.m.selim@gmail.com</v>
      </c>
      <c r="G102" s="5" t="str">
        <f>IFERROR(__xludf.DUMMYFUNCTION("""COMPUTED_VALUE"""),"01025907492")</f>
        <v>01025907492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tr">
        <f>IFERROR(__xludf.DUMMYFUNCTION("""COMPUTED_VALUE"""),"أحمد عبد القادر")</f>
        <v>أحمد عبد القادر</v>
      </c>
      <c r="B103" s="5">
        <f>IFERROR(__xludf.DUMMYFUNCTION("""COMPUTED_VALUE"""),9.70121862482E11)</f>
        <v>970121862482</v>
      </c>
      <c r="C103" s="5" t="str">
        <f>IFERROR(__xludf.DUMMYFUNCTION("""COMPUTED_VALUE"""),"أحمد عبد القادر")</f>
        <v>أحمد عبد القادر</v>
      </c>
      <c r="D103" s="5">
        <f>IFERROR(__xludf.DUMMYFUNCTION("""COMPUTED_VALUE"""),1908.0)</f>
        <v>1908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tr">
        <f>IFERROR(__xludf.DUMMYFUNCTION("""COMPUTED_VALUE"""),"محمد بهاء")</f>
        <v>محمد بهاء</v>
      </c>
      <c r="B104" s="5">
        <f>IFERROR(__xludf.DUMMYFUNCTION("""COMPUTED_VALUE"""),2.32180108363E11)</f>
        <v>232180108363</v>
      </c>
      <c r="C104" s="5" t="str">
        <f>IFERROR(__xludf.DUMMYFUNCTION("""COMPUTED_VALUE"""),"محمد بهاء")</f>
        <v>محمد بهاء</v>
      </c>
      <c r="D104" s="30" t="str">
        <f>IFERROR(__xludf.DUMMYFUNCTION("""COMPUTED_VALUE"""),"1924")</f>
        <v>1924</v>
      </c>
      <c r="E104" s="5"/>
      <c r="F104" s="5" t="str">
        <f>IFERROR(__xludf.DUMMYFUNCTION("""COMPUTED_VALUE"""),"mohamed.b.dahab@hotmail.com")</f>
        <v>mohamed.b.dahab@hotmail.com</v>
      </c>
      <c r="G104" s="5" t="str">
        <f>IFERROR(__xludf.DUMMYFUNCTION("""COMPUTED_VALUE"""),"01285237127")</f>
        <v>01285237127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tr">
        <f>IFERROR(__xludf.DUMMYFUNCTION("""COMPUTED_VALUE"""),"إسلام حُزين")</f>
        <v>إسلام حُزين</v>
      </c>
      <c r="B105" s="5">
        <f>IFERROR(__xludf.DUMMYFUNCTION("""COMPUTED_VALUE"""),5.29172543087E11)</f>
        <v>529172543087</v>
      </c>
      <c r="C105" s="5" t="str">
        <f>IFERROR(__xludf.DUMMYFUNCTION("""COMPUTED_VALUE"""),"إسلام حُزين")</f>
        <v>إسلام حُزين</v>
      </c>
      <c r="D105" s="30" t="str">
        <f>IFERROR(__xludf.DUMMYFUNCTION("""COMPUTED_VALUE"""),"1921")</f>
        <v>1921</v>
      </c>
      <c r="E105" s="5"/>
      <c r="F105" s="5" t="str">
        <f>IFERROR(__xludf.DUMMYFUNCTION("""COMPUTED_VALUE"""),"islamhozayen1@gmail.com")</f>
        <v>islamhozayen1@gmail.com</v>
      </c>
      <c r="G105" s="5" t="str">
        <f>IFERROR(__xludf.DUMMYFUNCTION("""COMPUTED_VALUE"""),"01000302485")</f>
        <v>01000302485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tr">
        <f>IFERROR(__xludf.DUMMYFUNCTION("""COMPUTED_VALUE"""),"رجب رمضان")</f>
        <v>رجب رمضان</v>
      </c>
      <c r="B106" s="5">
        <f>IFERROR(__xludf.DUMMYFUNCTION("""COMPUTED_VALUE"""),1.8517294629E11)</f>
        <v>185172946290</v>
      </c>
      <c r="C106" s="5" t="str">
        <f>IFERROR(__xludf.DUMMYFUNCTION("""COMPUTED_VALUE"""),"رجب رمضان")</f>
        <v>رجب رمضان</v>
      </c>
      <c r="D106" s="30" t="str">
        <f>IFERROR(__xludf.DUMMYFUNCTION("""COMPUTED_VALUE"""),"1927")</f>
        <v>1927</v>
      </c>
      <c r="E106" s="5" t="str">
        <f>IFERROR(__xludf.DUMMYFUNCTION("""COMPUTED_VALUE"""),"EG10-EG11-G12")</f>
        <v>EG10-EG11-G12</v>
      </c>
      <c r="F106" s="5" t="str">
        <f>IFERROR(__xludf.DUMMYFUNCTION("""COMPUTED_VALUE"""),"ragab313@gmail.com")</f>
        <v>ragab313@gmail.com</v>
      </c>
      <c r="G106" s="5" t="str">
        <f>IFERROR(__xludf.DUMMYFUNCTION("""COMPUTED_VALUE"""),"01550767106")</f>
        <v>01550767106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tr">
        <f>IFERROR(__xludf.DUMMYFUNCTION("""COMPUTED_VALUE"""),"فيرونيا ممدوح")</f>
        <v>فيرونيا ممدوح</v>
      </c>
      <c r="B107" s="5">
        <f>IFERROR(__xludf.DUMMYFUNCTION("""COMPUTED_VALUE"""),6.30168374236E11)</f>
        <v>630168374236</v>
      </c>
      <c r="C107" s="5" t="str">
        <f>IFERROR(__xludf.DUMMYFUNCTION("""COMPUTED_VALUE"""),"فيرونيا ممدوح")</f>
        <v>فيرونيا ممدوح</v>
      </c>
      <c r="D107" s="30" t="str">
        <f>IFERROR(__xludf.DUMMYFUNCTION("""COMPUTED_VALUE"""),"1930")</f>
        <v>1930</v>
      </c>
      <c r="E107" s="5" t="str">
        <f>IFERROR(__xludf.DUMMYFUNCTION("""COMPUTED_VALUE"""),"EG06-EG07-EG08-EG09-EG10")</f>
        <v>EG06-EG07-EG08-EG09-EG10</v>
      </c>
      <c r="F107" s="5" t="str">
        <f>IFERROR(__xludf.DUMMYFUNCTION("""COMPUTED_VALUE"""),"veroniamamdouh332@gmail.com")</f>
        <v>veroniamamdouh332@gmail.com</v>
      </c>
      <c r="G107" s="5" t="str">
        <f>IFERROR(__xludf.DUMMYFUNCTION("""COMPUTED_VALUE"""),"01285314528")</f>
        <v>01285314528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tr">
        <f>IFERROR(__xludf.DUMMYFUNCTION("""COMPUTED_VALUE"""),"إيمان أمين")</f>
        <v>إيمان أمين</v>
      </c>
      <c r="B108" s="5">
        <f>IFERROR(__xludf.DUMMYFUNCTION("""COMPUTED_VALUE"""),9.62104368108E11)</f>
        <v>962104368108</v>
      </c>
      <c r="C108" s="5" t="str">
        <f>IFERROR(__xludf.DUMMYFUNCTION("""COMPUTED_VALUE"""),"إيمان أمين")</f>
        <v>إيمان أمين</v>
      </c>
      <c r="D108" s="5">
        <f>IFERROR(__xludf.DUMMYFUNCTION("""COMPUTED_VALUE"""),1928.0)</f>
        <v>1928</v>
      </c>
      <c r="E108" s="5" t="str">
        <f>IFERROR(__xludf.DUMMYFUNCTION("""COMPUTED_VALUE"""),"EG04-EG05-EG06-EG07-EG08-EG09")</f>
        <v>EG04-EG05-EG06-EG07-EG08-EG09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tr">
        <f>IFERROR(__xludf.DUMMYFUNCTION("""COMPUTED_VALUE"""),"أحمد عوض")</f>
        <v>أحمد عوض</v>
      </c>
      <c r="B109" s="5">
        <f>IFERROR(__xludf.DUMMYFUNCTION("""COMPUTED_VALUE"""),6.95159151032E11)</f>
        <v>695159151032</v>
      </c>
      <c r="C109" s="5" t="str">
        <f>IFERROR(__xludf.DUMMYFUNCTION("""COMPUTED_VALUE"""),"أحمد عوض")</f>
        <v>أحمد عوض</v>
      </c>
      <c r="D109" s="30" t="str">
        <f>IFERROR(__xludf.DUMMYFUNCTION("""COMPUTED_VALUE"""),"1905")</f>
        <v>1905</v>
      </c>
      <c r="E109" s="5"/>
      <c r="F109" s="5" t="str">
        <f>IFERROR(__xludf.DUMMYFUNCTION("""COMPUTED_VALUE"""),"ahmedawad695@gmail.com")</f>
        <v>ahmedawad695@gmail.com</v>
      </c>
      <c r="G109" s="5" t="str">
        <f>IFERROR(__xludf.DUMMYFUNCTION("""COMPUTED_VALUE"""),"01012040409")</f>
        <v>01012040409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tr">
        <f>IFERROR(__xludf.DUMMYFUNCTION("""COMPUTED_VALUE"""),"أحمد حسن أحمد")</f>
        <v>أحمد حسن أحمد</v>
      </c>
      <c r="B110" s="5">
        <f>IFERROR(__xludf.DUMMYFUNCTION("""COMPUTED_VALUE"""),6.30193927137E11)</f>
        <v>630193927137</v>
      </c>
      <c r="C110" s="5" t="str">
        <f>IFERROR(__xludf.DUMMYFUNCTION("""COMPUTED_VALUE"""),"أحمد حسن أحمد")</f>
        <v>أحمد حسن أحمد</v>
      </c>
      <c r="D110" s="5">
        <f>IFERROR(__xludf.DUMMYFUNCTION("""COMPUTED_VALUE"""),1929.0)</f>
        <v>1929</v>
      </c>
      <c r="E110" s="5" t="str">
        <f>IFERROR(__xludf.DUMMYFUNCTION("""COMPUTED_VALUE"""),"EG07-EG08-EG09")</f>
        <v>EG07-EG08-EG09</v>
      </c>
      <c r="F110" s="5" t="str">
        <f>IFERROR(__xludf.DUMMYFUNCTION("""COMPUTED_VALUE"""),"ahmedhym99.ah@gmail.com")</f>
        <v>ahmedhym99.ah@gmail.com</v>
      </c>
      <c r="G110" s="5" t="str">
        <f>IFERROR(__xludf.DUMMYFUNCTION("""COMPUTED_VALUE"""),"01286412331")</f>
        <v>01286412331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tr">
        <f>IFERROR(__xludf.DUMMYFUNCTION("""COMPUTED_VALUE"""),"محمود حسن")</f>
        <v>محمود حسن</v>
      </c>
      <c r="B111" s="5">
        <f>IFERROR(__xludf.DUMMYFUNCTION("""COMPUTED_VALUE"""),5.94131489651E11)</f>
        <v>594131489651</v>
      </c>
      <c r="C111" s="5" t="str">
        <f>IFERROR(__xludf.DUMMYFUNCTION("""COMPUTED_VALUE"""),"محمود حسن")</f>
        <v>محمود حسن</v>
      </c>
      <c r="D111" s="5">
        <f>IFERROR(__xludf.DUMMYFUNCTION("""COMPUTED_VALUE"""),1926.0)</f>
        <v>1926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tr">
        <f>IFERROR(__xludf.DUMMYFUNCTION("""COMPUTED_VALUE"""),"حسام علي")</f>
        <v>حسام علي</v>
      </c>
      <c r="B112" s="5">
        <f>IFERROR(__xludf.DUMMYFUNCTION("""COMPUTED_VALUE"""),7.18163107616E11)</f>
        <v>718163107616</v>
      </c>
      <c r="C112" s="5" t="str">
        <f>IFERROR(__xludf.DUMMYFUNCTION("""COMPUTED_VALUE"""),"حسام علي")</f>
        <v>حسام علي</v>
      </c>
      <c r="D112" s="30" t="str">
        <f>IFERROR(__xludf.DUMMYFUNCTION("""COMPUTED_VALUE"""),"1942")</f>
        <v>1942</v>
      </c>
      <c r="E112" s="5"/>
      <c r="F112" s="5" t="str">
        <f>IFERROR(__xludf.DUMMYFUNCTION("""COMPUTED_VALUE"""),"hossamhs2@gmail.com")</f>
        <v>hossamhs2@gmail.com</v>
      </c>
      <c r="G112" s="5" t="str">
        <f>IFERROR(__xludf.DUMMYFUNCTION("""COMPUTED_VALUE"""),"01140444210")</f>
        <v>01140444210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tr">
        <f>IFERROR(__xludf.DUMMYFUNCTION("""COMPUTED_VALUE"""),"فاتن سيد")</f>
        <v>فاتن سيد</v>
      </c>
      <c r="B113" s="5">
        <f>IFERROR(__xludf.DUMMYFUNCTION("""COMPUTED_VALUE"""),2.96150317528E11)</f>
        <v>296150317528</v>
      </c>
      <c r="C113" s="5" t="str">
        <f>IFERROR(__xludf.DUMMYFUNCTION("""COMPUTED_VALUE"""),"فاتن سيد")</f>
        <v>فاتن سيد</v>
      </c>
      <c r="D113" s="30" t="str">
        <f>IFERROR(__xludf.DUMMYFUNCTION("""COMPUTED_VALUE"""),"1714")</f>
        <v>1714</v>
      </c>
      <c r="E113" s="5" t="str">
        <f>IFERROR(__xludf.DUMMYFUNCTION("""COMPUTED_VALUE"""),"EG04-EG05-EG06-EG07")</f>
        <v>EG04-EG05-EG06-EG07</v>
      </c>
      <c r="F113" s="5" t="str">
        <f>IFERROR(__xludf.DUMMYFUNCTION("""COMPUTED_VALUE"""),"faten4.sayed@gmail.com")</f>
        <v>faten4.sayed@gmail.com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tr">
        <f>IFERROR(__xludf.DUMMYFUNCTION("""COMPUTED_VALUE"""),"أحمد صلاح الدين")</f>
        <v>أحمد صلاح الدين</v>
      </c>
      <c r="B114" s="5">
        <f>IFERROR(__xludf.DUMMYFUNCTION("""COMPUTED_VALUE"""),8.48146561605E11)</f>
        <v>848146561605</v>
      </c>
      <c r="C114" s="5" t="str">
        <f>IFERROR(__xludf.DUMMYFUNCTION("""COMPUTED_VALUE"""),"أحمد صلاح الدين")</f>
        <v>أحمد صلاح الدين</v>
      </c>
      <c r="D114" s="30" t="str">
        <f>IFERROR(__xludf.DUMMYFUNCTION("""COMPUTED_VALUE"""),"1943")</f>
        <v>1943</v>
      </c>
      <c r="E114" s="5" t="str">
        <f>IFERROR(__xludf.DUMMYFUNCTION("""COMPUTED_VALUE"""),"تخلف كثيرا عن الالتحاق بفصوله من البداية ولن نعتمد عليه ثانية
EG08-EG09-EG10-EG11-EG12")</f>
        <v>تخلف كثيرا عن الالتحاق بفصوله من البداية ولن نعتمد عليه ثانية
EG08-EG09-EG10-EG11-EG12</v>
      </c>
      <c r="F114" s="5" t="str">
        <f>IFERROR(__xludf.DUMMYFUNCTION("""COMPUTED_VALUE"""),"ahmedsaladin10@gmail.com")</f>
        <v>ahmedsaladin10@gmail.com</v>
      </c>
      <c r="G114" s="5" t="str">
        <f>IFERROR(__xludf.DUMMYFUNCTION("""COMPUTED_VALUE"""),"01141745377")</f>
        <v>01141745377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tr">
        <f>IFERROR(__xludf.DUMMYFUNCTION("""COMPUTED_VALUE"""),"أميرة علي")</f>
        <v>أميرة علي</v>
      </c>
      <c r="B115" s="5">
        <f>IFERROR(__xludf.DUMMYFUNCTION("""COMPUTED_VALUE"""),9.28179812341E11)</f>
        <v>928179812341</v>
      </c>
      <c r="C115" s="5" t="str">
        <f>IFERROR(__xludf.DUMMYFUNCTION("""COMPUTED_VALUE"""),"أميرة علي")</f>
        <v>أميرة علي</v>
      </c>
      <c r="D115" s="5">
        <f>IFERROR(__xludf.DUMMYFUNCTION("""COMPUTED_VALUE"""),1945.0)</f>
        <v>1945</v>
      </c>
      <c r="E115" s="5"/>
      <c r="F115" s="5" t="str">
        <f>IFERROR(__xludf.DUMMYFUNCTION("""COMPUTED_VALUE"""),"amiraaliphy@gmail.com")</f>
        <v>amiraaliphy@gmail.com</v>
      </c>
      <c r="G115" s="5" t="str">
        <f>IFERROR(__xludf.DUMMYFUNCTION("""COMPUTED_VALUE"""),"01016171473")</f>
        <v>01016171473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tr">
        <f>IFERROR(__xludf.DUMMYFUNCTION("""COMPUTED_VALUE"""),"أسماء الحماقي")</f>
        <v>أسماء الحماقي</v>
      </c>
      <c r="B116" s="5">
        <f>IFERROR(__xludf.DUMMYFUNCTION("""COMPUTED_VALUE"""),8.70105869516E11)</f>
        <v>870105869516</v>
      </c>
      <c r="C116" s="5" t="str">
        <f>IFERROR(__xludf.DUMMYFUNCTION("""COMPUTED_VALUE"""),"أسماء الحماقي")</f>
        <v>أسماء الحماقي</v>
      </c>
      <c r="D116" s="30" t="str">
        <f>IFERROR(__xludf.DUMMYFUNCTION("""COMPUTED_VALUE"""),"1968")</f>
        <v>1968</v>
      </c>
      <c r="E116" s="5" t="str">
        <f>IFERROR(__xludf.DUMMYFUNCTION("""COMPUTED_VALUE"""),"EG04-EG05-EG06-EG07")</f>
        <v>EG04-EG05-EG06-EG07</v>
      </c>
      <c r="F116" s="5" t="str">
        <f>IFERROR(__xludf.DUMMYFUNCTION("""COMPUTED_VALUE"""),"aalhamaqi@gmail.com")</f>
        <v>aalhamaqi@gmail.com</v>
      </c>
      <c r="G116" s="5" t="str">
        <f>IFERROR(__xludf.DUMMYFUNCTION("""COMPUTED_VALUE"""),"01097689004")</f>
        <v>01097689004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tr">
        <f>IFERROR(__xludf.DUMMYFUNCTION("""COMPUTED_VALUE"""),"علي محمد")</f>
        <v>علي محمد</v>
      </c>
      <c r="B117" s="5">
        <f>IFERROR(__xludf.DUMMYFUNCTION("""COMPUTED_VALUE"""),6.09123972619E11)</f>
        <v>609123972619</v>
      </c>
      <c r="C117" s="5" t="str">
        <f>IFERROR(__xludf.DUMMYFUNCTION("""COMPUTED_VALUE"""),"علي محمد")</f>
        <v>علي محمد</v>
      </c>
      <c r="D117" s="30" t="str">
        <f>IFERROR(__xludf.DUMMYFUNCTION("""COMPUTED_VALUE"""),"1944")</f>
        <v>1944</v>
      </c>
      <c r="E117" s="5"/>
      <c r="F117" s="5" t="str">
        <f>IFERROR(__xludf.DUMMYFUNCTION("""COMPUTED_VALUE"""),"aly121981@gmail.com")</f>
        <v>aly121981@gmail.com</v>
      </c>
      <c r="G117" s="5" t="str">
        <f>IFERROR(__xludf.DUMMYFUNCTION("""COMPUTED_VALUE"""),"01026870040")</f>
        <v>01026870040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tr">
        <f>IFERROR(__xludf.DUMMYFUNCTION("""COMPUTED_VALUE"""),"دينا البهي")</f>
        <v>دينا البهي</v>
      </c>
      <c r="B118" s="5">
        <f>IFERROR(__xludf.DUMMYFUNCTION("""COMPUTED_VALUE"""),6.94184180652E11)</f>
        <v>694184180652</v>
      </c>
      <c r="C118" s="5" t="str">
        <f>IFERROR(__xludf.DUMMYFUNCTION("""COMPUTED_VALUE"""),"دينا البهي")</f>
        <v>دينا البهي</v>
      </c>
      <c r="D118" s="30" t="str">
        <f>IFERROR(__xludf.DUMMYFUNCTION("""COMPUTED_VALUE"""),"1965")</f>
        <v>1965</v>
      </c>
      <c r="E118" s="5"/>
      <c r="F118" s="5" t="str">
        <f>IFERROR(__xludf.DUMMYFUNCTION("""COMPUTED_VALUE"""),"delbahay@gmail.com")</f>
        <v>delbahay@gmail.com</v>
      </c>
      <c r="G118" s="5" t="str">
        <f>IFERROR(__xludf.DUMMYFUNCTION("""COMPUTED_VALUE"""),"01099696140")</f>
        <v>01099696140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tr">
        <f>IFERROR(__xludf.DUMMYFUNCTION("""COMPUTED_VALUE"""),"ولاء سعد")</f>
        <v>ولاء سعد</v>
      </c>
      <c r="B119" s="5">
        <f>IFERROR(__xludf.DUMMYFUNCTION("""COMPUTED_VALUE"""),4.72189645925E11)</f>
        <v>472189645925</v>
      </c>
      <c r="C119" s="5" t="str">
        <f>IFERROR(__xludf.DUMMYFUNCTION("""COMPUTED_VALUE"""),"ولاء سعد")</f>
        <v>ولاء سعد</v>
      </c>
      <c r="D119" s="30" t="str">
        <f>IFERROR(__xludf.DUMMYFUNCTION("""COMPUTED_VALUE"""),"1956")</f>
        <v>1956</v>
      </c>
      <c r="E119" s="5"/>
      <c r="F119" s="5" t="str">
        <f>IFERROR(__xludf.DUMMYFUNCTION("""COMPUTED_VALUE"""),"walaasaad17@gmail.com")</f>
        <v>walaasaad17@gmail.com</v>
      </c>
      <c r="G119" s="5" t="str">
        <f>IFERROR(__xludf.DUMMYFUNCTION("""COMPUTED_VALUE"""),"01120350201")</f>
        <v>01120350201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tr">
        <f>IFERROR(__xludf.DUMMYFUNCTION("""COMPUTED_VALUE"""),"ماجد مجدي")</f>
        <v>ماجد مجدي</v>
      </c>
      <c r="B120" s="5">
        <f>IFERROR(__xludf.DUMMYFUNCTION("""COMPUTED_VALUE"""),2.89190751325E11)</f>
        <v>289190751325</v>
      </c>
      <c r="C120" s="5" t="str">
        <f>IFERROR(__xludf.DUMMYFUNCTION("""COMPUTED_VALUE"""),"ماجد مجدي")</f>
        <v>ماجد مجدي</v>
      </c>
      <c r="D120" s="30" t="str">
        <f>IFERROR(__xludf.DUMMYFUNCTION("""COMPUTED_VALUE"""),"1959")</f>
        <v>1959</v>
      </c>
      <c r="E120" s="5"/>
      <c r="F120" s="5" t="str">
        <f>IFERROR(__xludf.DUMMYFUNCTION("""COMPUTED_VALUE"""),"maged0bebawy@gmail.com")</f>
        <v>maged0bebawy@gmail.com</v>
      </c>
      <c r="G120" s="5" t="str">
        <f>IFERROR(__xludf.DUMMYFUNCTION("""COMPUTED_VALUE"""),"01271303012")</f>
        <v>01271303012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tr">
        <f>IFERROR(__xludf.DUMMYFUNCTION("""COMPUTED_VALUE"""),"سيد صبري")</f>
        <v>سيد صبري</v>
      </c>
      <c r="B121" s="5">
        <f>IFERROR(__xludf.DUMMYFUNCTION("""COMPUTED_VALUE"""),6.9813171628E11)</f>
        <v>698131716280</v>
      </c>
      <c r="C121" s="5" t="str">
        <f>IFERROR(__xludf.DUMMYFUNCTION("""COMPUTED_VALUE"""),"سيد صبري")</f>
        <v>سيد صبري</v>
      </c>
      <c r="D121" s="30" t="str">
        <f>IFERROR(__xludf.DUMMYFUNCTION("""COMPUTED_VALUE"""),"1955")</f>
        <v>1955</v>
      </c>
      <c r="E121" s="5"/>
      <c r="F121" s="5" t="str">
        <f>IFERROR(__xludf.DUMMYFUNCTION("""COMPUTED_VALUE"""),"mr.sayedsabry.ss10@gmail.com")</f>
        <v>mr.sayedsabry.ss10@gmail.com</v>
      </c>
      <c r="G121" s="5">
        <f>IFERROR(__xludf.DUMMYFUNCTION("""COMPUTED_VALUE"""),1.204000519E9)</f>
        <v>1204000519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tr">
        <f>IFERROR(__xludf.DUMMYFUNCTION("""COMPUTED_VALUE"""),"الحسين محمد")</f>
        <v>الحسين محمد</v>
      </c>
      <c r="B122" s="5">
        <f>IFERROR(__xludf.DUMMYFUNCTION("""COMPUTED_VALUE"""),1.08136563671E11)</f>
        <v>108136563671</v>
      </c>
      <c r="C122" s="5" t="str">
        <f>IFERROR(__xludf.DUMMYFUNCTION("""COMPUTED_VALUE"""),"الحسين محمد")</f>
        <v>الحسين محمد</v>
      </c>
      <c r="D122" s="30" t="str">
        <f>IFERROR(__xludf.DUMMYFUNCTION("""COMPUTED_VALUE"""),"1954")</f>
        <v>1954</v>
      </c>
      <c r="E122" s="5"/>
      <c r="F122" s="5" t="str">
        <f>IFERROR(__xludf.DUMMYFUNCTION("""COMPUTED_VALUE"""),"elhussein_mohamed@outlook.com")</f>
        <v>elhussein_mohamed@outlook.com</v>
      </c>
      <c r="G122" s="5" t="str">
        <f>IFERROR(__xludf.DUMMYFUNCTION("""COMPUTED_VALUE"""),"+201096252126")</f>
        <v>+201096252126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tr">
        <f>IFERROR(__xludf.DUMMYFUNCTION("""COMPUTED_VALUE"""),"هدير سيد")</f>
        <v>هدير سيد</v>
      </c>
      <c r="B123" s="5">
        <f>IFERROR(__xludf.DUMMYFUNCTION("""COMPUTED_VALUE"""),1.97173080732E11)</f>
        <v>197173080732</v>
      </c>
      <c r="C123" s="5" t="str">
        <f>IFERROR(__xludf.DUMMYFUNCTION("""COMPUTED_VALUE"""),"هدير سيد")</f>
        <v>هدير سيد</v>
      </c>
      <c r="D123" s="30" t="str">
        <f>IFERROR(__xludf.DUMMYFUNCTION("""COMPUTED_VALUE"""),"1960")</f>
        <v>1960</v>
      </c>
      <c r="E123" s="5"/>
      <c r="F123" s="5" t="str">
        <f>IFERROR(__xludf.DUMMYFUNCTION("""COMPUTED_VALUE"""),"hadeersayeed68@gmail.com")</f>
        <v>hadeersayeed68@gmail.com</v>
      </c>
      <c r="G123" s="5" t="str">
        <f>IFERROR(__xludf.DUMMYFUNCTION("""COMPUTED_VALUE"""),"01028000334")</f>
        <v>01028000334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tr">
        <f>IFERROR(__xludf.DUMMYFUNCTION("""COMPUTED_VALUE"""),"رحاب الصعيدي")</f>
        <v>رحاب الصعيدي</v>
      </c>
      <c r="B124" s="5">
        <f>IFERROR(__xludf.DUMMYFUNCTION("""COMPUTED_VALUE"""),2.39195281814E11)</f>
        <v>239195281814</v>
      </c>
      <c r="C124" s="5" t="str">
        <f>IFERROR(__xludf.DUMMYFUNCTION("""COMPUTED_VALUE"""),"رحاب الصعيدي")</f>
        <v>رحاب الصعيدي</v>
      </c>
      <c r="D124" s="30" t="str">
        <f>IFERROR(__xludf.DUMMYFUNCTION("""COMPUTED_VALUE"""),"1969")</f>
        <v>1969</v>
      </c>
      <c r="E124" s="5" t="str">
        <f>IFERROR(__xludf.DUMMYFUNCTION("""COMPUTED_VALUE"""),"G11-G12")</f>
        <v>G11-G12</v>
      </c>
      <c r="F124" s="5" t="str">
        <f>IFERROR(__xludf.DUMMYFUNCTION("""COMPUTED_VALUE"""),"rehab.a.alsaidi@gmail.com")</f>
        <v>rehab.a.alsaidi@gmail.com</v>
      </c>
      <c r="G124" s="5" t="str">
        <f>IFERROR(__xludf.DUMMYFUNCTION("""COMPUTED_VALUE"""),"01062441609")</f>
        <v>01062441609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tr">
        <f>IFERROR(__xludf.DUMMYFUNCTION("""COMPUTED_VALUE"""),"عبير عبد الحليم")</f>
        <v>عبير عبد الحليم</v>
      </c>
      <c r="B125" s="5">
        <f>IFERROR(__xludf.DUMMYFUNCTION("""COMPUTED_VALUE"""),3.05108276197E11)</f>
        <v>305108276197</v>
      </c>
      <c r="C125" s="5" t="str">
        <f>IFERROR(__xludf.DUMMYFUNCTION("""COMPUTED_VALUE"""),"عبير عبد الحليم")</f>
        <v>عبير عبد الحليم</v>
      </c>
      <c r="D125" s="30" t="str">
        <f>IFERROR(__xludf.DUMMYFUNCTION("""COMPUTED_VALUE"""),"1970")</f>
        <v>1970</v>
      </c>
      <c r="E125" s="5" t="str">
        <f>IFERROR(__xludf.DUMMYFUNCTION("""COMPUTED_VALUE"""),"EG10-EG11-G12")</f>
        <v>EG10-EG11-G12</v>
      </c>
      <c r="F125" s="5" t="str">
        <f>IFERROR(__xludf.DUMMYFUNCTION("""COMPUTED_VALUE"""),"abeerabdelhalim153@gmail.com")</f>
        <v>abeerabdelhalim153@gmail.com</v>
      </c>
      <c r="G125" s="5">
        <f>IFERROR(__xludf.DUMMYFUNCTION("""COMPUTED_VALUE"""),1.012274118E9)</f>
        <v>1012274118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tr">
        <f>IFERROR(__xludf.DUMMYFUNCTION("""COMPUTED_VALUE"""),"سلمى عصام")</f>
        <v>سلمى عصام</v>
      </c>
      <c r="B126" s="5">
        <f>IFERROR(__xludf.DUMMYFUNCTION("""COMPUTED_VALUE"""),4.18196047464E11)</f>
        <v>418196047464</v>
      </c>
      <c r="C126" s="5" t="str">
        <f>IFERROR(__xludf.DUMMYFUNCTION("""COMPUTED_VALUE"""),"سلمى عصام")</f>
        <v>سلمى عصام</v>
      </c>
      <c r="D126" s="30" t="str">
        <f>IFERROR(__xludf.DUMMYFUNCTION("""COMPUTED_VALUE"""),"1974")</f>
        <v>1974</v>
      </c>
      <c r="E126" s="5"/>
      <c r="F126" s="5" t="str">
        <f>IFERROR(__xludf.DUMMYFUNCTION("""COMPUTED_VALUE"""),"salma.essam.saad@gmail.com")</f>
        <v>salma.essam.saad@gmail.com</v>
      </c>
      <c r="G126" s="5" t="str">
        <f>IFERROR(__xludf.DUMMYFUNCTION("""COMPUTED_VALUE"""),"01141184357")</f>
        <v>01141184357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tr">
        <f>IFERROR(__xludf.DUMMYFUNCTION("""COMPUTED_VALUE"""),"إنجي يحيى")</f>
        <v>إنجي يحيى</v>
      </c>
      <c r="B127" s="5">
        <f>IFERROR(__xludf.DUMMYFUNCTION("""COMPUTED_VALUE"""),8.72163032543E11)</f>
        <v>872163032543</v>
      </c>
      <c r="C127" s="5" t="str">
        <f>IFERROR(__xludf.DUMMYFUNCTION("""COMPUTED_VALUE"""),"إنجي يحيى")</f>
        <v>إنجي يحيى</v>
      </c>
      <c r="D127" s="30" t="str">
        <f>IFERROR(__xludf.DUMMYFUNCTION("""COMPUTED_VALUE"""),"1962")</f>
        <v>1962</v>
      </c>
      <c r="E127" s="5"/>
      <c r="F127" s="5" t="str">
        <f>IFERROR(__xludf.DUMMYFUNCTION("""COMPUTED_VALUE"""),"nojayehia2009@gmail.com")</f>
        <v>nojayehia2009@gmail.com</v>
      </c>
      <c r="G127" s="5">
        <f>IFERROR(__xludf.DUMMYFUNCTION("""COMPUTED_VALUE"""),1.115125755E9)</f>
        <v>1115125755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tr">
        <f>IFERROR(__xludf.DUMMYFUNCTION("""COMPUTED_VALUE"""),"محمد محرم")</f>
        <v>محمد محرم</v>
      </c>
      <c r="B128" s="5">
        <f>IFERROR(__xludf.DUMMYFUNCTION("""COMPUTED_VALUE"""),4.29127969509E11)</f>
        <v>429127969509</v>
      </c>
      <c r="C128" s="5" t="str">
        <f>IFERROR(__xludf.DUMMYFUNCTION("""COMPUTED_VALUE"""),"محمد محرم")</f>
        <v>محمد محرم</v>
      </c>
      <c r="D128" s="30" t="str">
        <f>IFERROR(__xludf.DUMMYFUNCTION("""COMPUTED_VALUE"""),"1964")</f>
        <v>1964</v>
      </c>
      <c r="E128" s="5" t="str">
        <f>IFERROR(__xludf.DUMMYFUNCTION("""COMPUTED_VALUE"""),"EG04-EG05-EG06-EG07-EG08-EG09")</f>
        <v>EG04-EG05-EG06-EG07-EG08-EG09</v>
      </c>
      <c r="F128" s="5" t="str">
        <f>IFERROR(__xludf.DUMMYFUNCTION("""COMPUTED_VALUE"""),"m.moharam91@gmail.com")</f>
        <v>m.moharam91@gmail.com</v>
      </c>
      <c r="G128" s="5" t="str">
        <f>IFERROR(__xludf.DUMMYFUNCTION("""COMPUTED_VALUE"""),"01009005365")</f>
        <v>01009005365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tr">
        <f>IFERROR(__xludf.DUMMYFUNCTION("""COMPUTED_VALUE"""),"رشا نصير")</f>
        <v>رشا نصير</v>
      </c>
      <c r="B129" s="5">
        <f>IFERROR(__xludf.DUMMYFUNCTION("""COMPUTED_VALUE"""),9.42138286345E11)</f>
        <v>942138286345</v>
      </c>
      <c r="C129" s="5" t="str">
        <f>IFERROR(__xludf.DUMMYFUNCTION("""COMPUTED_VALUE"""),"رشا نصير")</f>
        <v>رشا نصير</v>
      </c>
      <c r="D129" s="30" t="str">
        <f>IFERROR(__xludf.DUMMYFUNCTION("""COMPUTED_VALUE"""),"1975")</f>
        <v>1975</v>
      </c>
      <c r="E129" s="5" t="str">
        <f>IFERROR(__xludf.DUMMYFUNCTION("""COMPUTED_VALUE"""),"EG10-EG11-G12")</f>
        <v>EG10-EG11-G12</v>
      </c>
      <c r="F129" s="5" t="str">
        <f>IFERROR(__xludf.DUMMYFUNCTION("""COMPUTED_VALUE"""),"rnosier.72@gmail.com")</f>
        <v>rnosier.72@gmail.com</v>
      </c>
      <c r="G129" s="5" t="str">
        <f>IFERROR(__xludf.DUMMYFUNCTION("""COMPUTED_VALUE"""),"01004540715")</f>
        <v>01004540715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tr">
        <f>IFERROR(__xludf.DUMMYFUNCTION("""COMPUTED_VALUE"""),"البدراوي طلبة")</f>
        <v>البدراوي طلبة</v>
      </c>
      <c r="B130" s="5">
        <f>IFERROR(__xludf.DUMMYFUNCTION("""COMPUTED_VALUE"""),2.58141760167E11)</f>
        <v>258141760167</v>
      </c>
      <c r="C130" s="5" t="str">
        <f>IFERROR(__xludf.DUMMYFUNCTION("""COMPUTED_VALUE"""),"البدراوي طلبة")</f>
        <v>البدراوي طلبة</v>
      </c>
      <c r="D130" s="30" t="str">
        <f>IFERROR(__xludf.DUMMYFUNCTION("""COMPUTED_VALUE"""),"1971")</f>
        <v>1971</v>
      </c>
      <c r="E130" s="5" t="str">
        <f>IFERROR(__xludf.DUMMYFUNCTION("""COMPUTED_VALUE"""),"EG10-EG11-G12")</f>
        <v>EG10-EG11-G12</v>
      </c>
      <c r="F130" s="5" t="str">
        <f>IFERROR(__xludf.DUMMYFUNCTION("""COMPUTED_VALUE"""),"mrbadrawy333@gmail.com")</f>
        <v>mrbadrawy333@gmail.com</v>
      </c>
      <c r="G130" s="5" t="str">
        <f>IFERROR(__xludf.DUMMYFUNCTION("""COMPUTED_VALUE"""),"01152735223")</f>
        <v>01152735223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tr">
        <f>IFERROR(__xludf.DUMMYFUNCTION("""COMPUTED_VALUE"""),"أميرة غيث")</f>
        <v>أميرة غيث</v>
      </c>
      <c r="B131" s="5">
        <f>IFERROR(__xludf.DUMMYFUNCTION("""COMPUTED_VALUE"""),9.62134062378E11)</f>
        <v>962134062378</v>
      </c>
      <c r="C131" s="5" t="str">
        <f>IFERROR(__xludf.DUMMYFUNCTION("""COMPUTED_VALUE"""),"أميرة غيث")</f>
        <v>أميرة غيث</v>
      </c>
      <c r="D131" s="30" t="str">
        <f>IFERROR(__xludf.DUMMYFUNCTION("""COMPUTED_VALUE"""),"1963")</f>
        <v>1963</v>
      </c>
      <c r="E131" s="5"/>
      <c r="F131" s="5" t="str">
        <f>IFERROR(__xludf.DUMMYFUNCTION("""COMPUTED_VALUE"""),"amiraghth@gmail.com")</f>
        <v>amiraghth@gmail.com</v>
      </c>
      <c r="G131" s="5" t="str">
        <f>IFERROR(__xludf.DUMMYFUNCTION("""COMPUTED_VALUE"""),"01119682313")</f>
        <v>01119682313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tr">
        <f>IFERROR(__xludf.DUMMYFUNCTION("""COMPUTED_VALUE"""),"سارة محمد")</f>
        <v>سارة محمد</v>
      </c>
      <c r="B132" s="5">
        <f>IFERROR(__xludf.DUMMYFUNCTION("""COMPUTED_VALUE"""),4.12161359614E11)</f>
        <v>412161359614</v>
      </c>
      <c r="C132" s="5" t="str">
        <f>IFERROR(__xludf.DUMMYFUNCTION("""COMPUTED_VALUE"""),"سارة محمد")</f>
        <v>سارة محمد</v>
      </c>
      <c r="D132" s="30" t="str">
        <f>IFERROR(__xludf.DUMMYFUNCTION("""COMPUTED_VALUE"""),"1958")</f>
        <v>1958</v>
      </c>
      <c r="E132" s="5"/>
      <c r="F132" s="5" t="str">
        <f>IFERROR(__xludf.DUMMYFUNCTION("""COMPUTED_VALUE"""),"sararef3t90@gmail.com")</f>
        <v>sararef3t90@gmail.com</v>
      </c>
      <c r="G132" s="5" t="str">
        <f>IFERROR(__xludf.DUMMYFUNCTION("""COMPUTED_VALUE"""),"+201100848903")</f>
        <v>+201100848903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tr">
        <f>IFERROR(__xludf.DUMMYFUNCTION("""COMPUTED_VALUE"""),"تقى السيد")</f>
        <v>تقى السيد</v>
      </c>
      <c r="B133" s="5">
        <f>IFERROR(__xludf.DUMMYFUNCTION("""COMPUTED_VALUE"""),8.60125604984E11)</f>
        <v>860125604984</v>
      </c>
      <c r="C133" s="5" t="str">
        <f>IFERROR(__xludf.DUMMYFUNCTION("""COMPUTED_VALUE"""),"تقى السيد")</f>
        <v>تقى السيد</v>
      </c>
      <c r="D133" s="5">
        <f>IFERROR(__xludf.DUMMYFUNCTION("""COMPUTED_VALUE"""),1961.0)</f>
        <v>1961</v>
      </c>
      <c r="E133" s="5"/>
      <c r="F133" s="5" t="str">
        <f>IFERROR(__xludf.DUMMYFUNCTION("""COMPUTED_VALUE"""),"toka.shokran@gmail.com")</f>
        <v>toka.shokran@gmail.com</v>
      </c>
      <c r="G133" s="5" t="str">
        <f>IFERROR(__xludf.DUMMYFUNCTION("""COMPUTED_VALUE"""),"01111163114")</f>
        <v>01111163114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tr">
        <f>IFERROR(__xludf.DUMMYFUNCTION("""COMPUTED_VALUE"""),"رانيا عبد الجواد")</f>
        <v>رانيا عبد الجواد</v>
      </c>
      <c r="B134" s="5">
        <f>IFERROR(__xludf.DUMMYFUNCTION("""COMPUTED_VALUE"""),2.92171703567E11)</f>
        <v>292171703567</v>
      </c>
      <c r="C134" s="5" t="str">
        <f>IFERROR(__xludf.DUMMYFUNCTION("""COMPUTED_VALUE"""),"رانيا عبد الجواد")</f>
        <v>رانيا عبد الجواد</v>
      </c>
      <c r="D134" s="30" t="str">
        <f>IFERROR(__xludf.DUMMYFUNCTION("""COMPUTED_VALUE"""),"1979")</f>
        <v>1979</v>
      </c>
      <c r="E134" s="5" t="str">
        <f>IFERROR(__xludf.DUMMYFUNCTION("""COMPUTED_VALUE"""),"اعتذرت عن استكمال فصول السنة لمروره بظرف صحي، وستستقيل
")</f>
        <v>اعتذرت عن استكمال فصول السنة لمروره بظرف صحي، وستستقيل
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tr">
        <f>IFERROR(__xludf.DUMMYFUNCTION("""COMPUTED_VALUE"""),"مرسي خالد")</f>
        <v>مرسي خالد</v>
      </c>
      <c r="B135" s="5">
        <f>IFERROR(__xludf.DUMMYFUNCTION("""COMPUTED_VALUE"""),4.39197564751E11)</f>
        <v>439197564751</v>
      </c>
      <c r="C135" s="5" t="str">
        <f>IFERROR(__xludf.DUMMYFUNCTION("""COMPUTED_VALUE"""),"مرسي خالد")</f>
        <v>مرسي خالد</v>
      </c>
      <c r="D135" s="30" t="str">
        <f>IFERROR(__xludf.DUMMYFUNCTION("""COMPUTED_VALUE"""),"1957")</f>
        <v>1957</v>
      </c>
      <c r="E135" s="5"/>
      <c r="F135" s="5" t="str">
        <f>IFERROR(__xludf.DUMMYFUNCTION("""COMPUTED_VALUE"""),"morsykhaledmorsy@outlook.com")</f>
        <v>morsykhaledmorsy@outlook.com</v>
      </c>
      <c r="G135" s="5" t="str">
        <f>IFERROR(__xludf.DUMMYFUNCTION("""COMPUTED_VALUE"""),"01555050003")</f>
        <v>01555050003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tr">
        <f>IFERROR(__xludf.DUMMYFUNCTION("""COMPUTED_VALUE"""),"إبراهيم سعيد")</f>
        <v>إبراهيم سعيد</v>
      </c>
      <c r="B136" s="5">
        <f>IFERROR(__xludf.DUMMYFUNCTION("""COMPUTED_VALUE"""),1.38121769423E11)</f>
        <v>138121769423</v>
      </c>
      <c r="C136" s="5" t="str">
        <f>IFERROR(__xludf.DUMMYFUNCTION("""COMPUTED_VALUE"""),"إبراهيم سعيد")</f>
        <v>إبراهيم سعيد</v>
      </c>
      <c r="D136" s="30" t="str">
        <f>IFERROR(__xludf.DUMMYFUNCTION("""COMPUTED_VALUE"""),"1967")</f>
        <v>1967</v>
      </c>
      <c r="E136" s="5"/>
      <c r="F136" s="5" t="str">
        <f>IFERROR(__xludf.DUMMYFUNCTION("""COMPUTED_VALUE"""),"ibrahimsaid1741977@gmail.com")</f>
        <v>ibrahimsaid1741977@gmail.com</v>
      </c>
      <c r="G136" s="5">
        <f>IFERROR(__xludf.DUMMYFUNCTION("""COMPUTED_VALUE"""),1.020307471E9)</f>
        <v>1020307471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tr">
        <f>IFERROR(__xludf.DUMMYFUNCTION("""COMPUTED_VALUE"""),"إيمان فايز")</f>
        <v>إيمان فايز</v>
      </c>
      <c r="B137" s="5">
        <f>IFERROR(__xludf.DUMMYFUNCTION("""COMPUTED_VALUE"""),5.10130705852E11)</f>
        <v>510130705852</v>
      </c>
      <c r="C137" s="5" t="str">
        <f>IFERROR(__xludf.DUMMYFUNCTION("""COMPUTED_VALUE"""),"إيمان فايز")</f>
        <v>إيمان فايز</v>
      </c>
      <c r="D137" s="30" t="str">
        <f>IFERROR(__xludf.DUMMYFUNCTION("""COMPUTED_VALUE"""),"1966")</f>
        <v>1966</v>
      </c>
      <c r="E137" s="5"/>
      <c r="F137" s="5" t="str">
        <f>IFERROR(__xludf.DUMMYFUNCTION("""COMPUTED_VALUE"""),"emanfayezkhalil@gmail.com")</f>
        <v>emanfayezkhalil@gmail.com</v>
      </c>
      <c r="G137" s="5" t="str">
        <f>IFERROR(__xludf.DUMMYFUNCTION("""COMPUTED_VALUE"""),"01220761144")</f>
        <v>01220761144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tr">
        <f>IFERROR(__xludf.DUMMYFUNCTION("""COMPUTED_VALUE"""),"مي غرابة")</f>
        <v>مي غرابة</v>
      </c>
      <c r="B138" s="5">
        <f>IFERROR(__xludf.DUMMYFUNCTION("""COMPUTED_VALUE"""),5.35169286572E11)</f>
        <v>535169286572</v>
      </c>
      <c r="C138" s="5" t="str">
        <f>IFERROR(__xludf.DUMMYFUNCTION("""COMPUTED_VALUE"""),"مي غرابة")</f>
        <v>مي غرابة</v>
      </c>
      <c r="D138" s="30">
        <f>IFERROR(__xludf.DUMMYFUNCTION("""COMPUTED_VALUE"""),1980.0)</f>
        <v>1980</v>
      </c>
      <c r="E138" s="5"/>
      <c r="F138" s="5" t="str">
        <f>IFERROR(__xludf.DUMMYFUNCTION("""COMPUTED_VALUE"""),"mg306@hotmail.com")</f>
        <v>mg306@hotmail.com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tr">
        <f>IFERROR(__xludf.DUMMYFUNCTION("""COMPUTED_VALUE"""),"شيرين حافظ")</f>
        <v>شيرين حافظ</v>
      </c>
      <c r="B139" s="5">
        <f>IFERROR(__xludf.DUMMYFUNCTION("""COMPUTED_VALUE"""),2.85163691768E11)</f>
        <v>285163691768</v>
      </c>
      <c r="C139" s="5" t="str">
        <f>IFERROR(__xludf.DUMMYFUNCTION("""COMPUTED_VALUE"""),"شيرين حافظ")</f>
        <v>شيرين حافظ</v>
      </c>
      <c r="D139" s="30" t="str">
        <f>IFERROR(__xludf.DUMMYFUNCTION("""COMPUTED_VALUE"""),"1972")</f>
        <v>1972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tr">
        <f>IFERROR(__xludf.DUMMYFUNCTION("""COMPUTED_VALUE"""),"شيرين حلمي")</f>
        <v>شيرين حلمي</v>
      </c>
      <c r="B140" s="5">
        <f>IFERROR(__xludf.DUMMYFUNCTION("""COMPUTED_VALUE"""),8.76106203518E11)</f>
        <v>876106203518</v>
      </c>
      <c r="C140" s="5" t="str">
        <f>IFERROR(__xludf.DUMMYFUNCTION("""COMPUTED_VALUE"""),"شيرين حلمي")</f>
        <v>شيرين حلمي</v>
      </c>
      <c r="D140" s="30" t="str">
        <f>IFERROR(__xludf.DUMMYFUNCTION("""COMPUTED_VALUE"""),"1982")</f>
        <v>1982</v>
      </c>
      <c r="E140" s="5" t="str">
        <f>IFERROR(__xludf.DUMMYFUNCTION("""COMPUTED_VALUE"""),"EG04-EG05-EG06-EG07-EG08")</f>
        <v>EG04-EG05-EG06-EG07-EG08</v>
      </c>
      <c r="F140" s="5" t="str">
        <f>IFERROR(__xludf.DUMMYFUNCTION("""COMPUTED_VALUE"""),"shereenhelmy710@gmail.com")</f>
        <v>shereenhelmy710@gmail.com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tr">
        <f>IFERROR(__xludf.DUMMYFUNCTION("""COMPUTED_VALUE"""),"محمد الغرباوي")</f>
        <v>محمد الغرباوي</v>
      </c>
      <c r="B141" s="5">
        <f>IFERROR(__xludf.DUMMYFUNCTION("""COMPUTED_VALUE"""),1.64139350921E11)</f>
        <v>164139350921</v>
      </c>
      <c r="C141" s="5" t="str">
        <f>IFERROR(__xludf.DUMMYFUNCTION("""COMPUTED_VALUE"""),"محمد الغرباوي")</f>
        <v>محمد الغرباوي</v>
      </c>
      <c r="D141" s="30" t="str">
        <f>IFERROR(__xludf.DUMMYFUNCTION("""COMPUTED_VALUE"""),"2054")</f>
        <v>2054</v>
      </c>
      <c r="E141" s="5" t="str">
        <f>IFERROR(__xludf.DUMMYFUNCTION("""COMPUTED_VALUE"""),"EG10-EG11-G12")</f>
        <v>EG10-EG11-G12</v>
      </c>
      <c r="F141" s="5" t="str">
        <f>IFERROR(__xludf.DUMMYFUNCTION("""COMPUTED_VALUE"""),"mhd.elgharabawi@gmail.com")</f>
        <v>mhd.elgharabawi@gmail.com</v>
      </c>
      <c r="G141" s="5" t="str">
        <f>IFERROR(__xludf.DUMMYFUNCTION("""COMPUTED_VALUE"""),"01030556439 - 01146640967")</f>
        <v>01030556439 - 01146640967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tr">
        <f>IFERROR(__xludf.DUMMYFUNCTION("""COMPUTED_VALUE"""),"سارة نجيب")</f>
        <v>سارة نجيب</v>
      </c>
      <c r="B142" s="5">
        <f>IFERROR(__xludf.DUMMYFUNCTION("""COMPUTED_VALUE"""),7.60171643192E11)</f>
        <v>760171643192</v>
      </c>
      <c r="C142" s="5" t="str">
        <f>IFERROR(__xludf.DUMMYFUNCTION("""COMPUTED_VALUE"""),"سارة نجيب")</f>
        <v>سارة نجيب</v>
      </c>
      <c r="D142" s="30" t="str">
        <f>IFERROR(__xludf.DUMMYFUNCTION("""COMPUTED_VALUE"""),"1986")</f>
        <v>1986</v>
      </c>
      <c r="E142" s="5"/>
      <c r="F142" s="5" t="str">
        <f>IFERROR(__xludf.DUMMYFUNCTION("""COMPUTED_VALUE"""),"saranaguib005@gmail.com")</f>
        <v>saranaguib005@gmail.com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tr">
        <f>IFERROR(__xludf.DUMMYFUNCTION("""COMPUTED_VALUE"""),"زينب الصغير")</f>
        <v>زينب الصغير</v>
      </c>
      <c r="B143" s="5">
        <f>IFERROR(__xludf.DUMMYFUNCTION("""COMPUTED_VALUE"""),9.23159143268E11)</f>
        <v>923159143268</v>
      </c>
      <c r="C143" s="5" t="str">
        <f>IFERROR(__xludf.DUMMYFUNCTION("""COMPUTED_VALUE"""),"زينب الصغير")</f>
        <v>زينب الصغير</v>
      </c>
      <c r="D143" s="30" t="str">
        <f>IFERROR(__xludf.DUMMYFUNCTION("""COMPUTED_VALUE"""),"1985")</f>
        <v>1985</v>
      </c>
      <c r="E143" s="5"/>
      <c r="F143" s="5" t="str">
        <f>IFERROR(__xludf.DUMMYFUNCTION("""COMPUTED_VALUE"""),"ms.zeinabelsagheer.paoh@gmail.com")</f>
        <v>ms.zeinabelsagheer.paoh@gmail.com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tr">
        <f>IFERROR(__xludf.DUMMYFUNCTION("""COMPUTED_VALUE"""),"أشرف القيصر")</f>
        <v>أشرف القيصر</v>
      </c>
      <c r="B144" s="5">
        <f>IFERROR(__xludf.DUMMYFUNCTION("""COMPUTED_VALUE"""),1.79134063021E11)</f>
        <v>179134063021</v>
      </c>
      <c r="C144" s="5" t="str">
        <f>IFERROR(__xludf.DUMMYFUNCTION("""COMPUTED_VALUE"""),"أشرف القيصر")</f>
        <v>أشرف القيصر</v>
      </c>
      <c r="D144" s="30" t="str">
        <f>IFERROR(__xludf.DUMMYFUNCTION("""COMPUTED_VALUE"""),"1987")</f>
        <v>1987</v>
      </c>
      <c r="E144" s="5"/>
      <c r="F144" s="5" t="str">
        <f>IFERROR(__xludf.DUMMYFUNCTION("""COMPUTED_VALUE"""),"alkiser.ashraf@gmail.com")</f>
        <v>alkiser.ashraf@gmail.com</v>
      </c>
      <c r="G144" s="5" t="str">
        <f>IFERROR(__xludf.DUMMYFUNCTION("""COMPUTED_VALUE"""),"01144603025")</f>
        <v>01144603025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tr">
        <f>IFERROR(__xludf.DUMMYFUNCTION("""COMPUTED_VALUE"""),"رانيا شعبان")</f>
        <v>رانيا شعبان</v>
      </c>
      <c r="B145" s="5">
        <f>IFERROR(__xludf.DUMMYFUNCTION("""COMPUTED_VALUE"""),2.67179017974E11)</f>
        <v>267179017974</v>
      </c>
      <c r="C145" s="5" t="str">
        <f>IFERROR(__xludf.DUMMYFUNCTION("""COMPUTED_VALUE"""),"رانيا شعبان")</f>
        <v>رانيا شعبان</v>
      </c>
      <c r="D145" s="30" t="str">
        <f>IFERROR(__xludf.DUMMYFUNCTION("""COMPUTED_VALUE"""),"1984")</f>
        <v>1984</v>
      </c>
      <c r="E145" s="5" t="str">
        <f>IFERROR(__xludf.DUMMYFUNCTION("""COMPUTED_VALUE"""),"EG04-EG05-EG06-EG07-EG08-EG09")</f>
        <v>EG04-EG05-EG06-EG07-EG08-EG09</v>
      </c>
      <c r="F145" s="5" t="str">
        <f>IFERROR(__xludf.DUMMYFUNCTION("""COMPUTED_VALUE"""),"raniashabanmohamed99@gmail.com")</f>
        <v>raniashabanmohamed99@gmail.com</v>
      </c>
      <c r="G145" s="5">
        <f>IFERROR(__xludf.DUMMYFUNCTION("""COMPUTED_VALUE"""),1.09170272E9)</f>
        <v>1091702720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tr">
        <f>IFERROR(__xludf.DUMMYFUNCTION("""COMPUTED_VALUE"""),"ماهينور راغب")</f>
        <v>ماهينور راغب</v>
      </c>
      <c r="B146" s="5">
        <f>IFERROR(__xludf.DUMMYFUNCTION("""COMPUTED_VALUE"""),4.24149471034E11)</f>
        <v>424149471034</v>
      </c>
      <c r="C146" s="5" t="str">
        <f>IFERROR(__xludf.DUMMYFUNCTION("""COMPUTED_VALUE"""),"ماهينور راغب")</f>
        <v>ماهينور راغب</v>
      </c>
      <c r="D146" s="5">
        <f>IFERROR(__xludf.DUMMYFUNCTION("""COMPUTED_VALUE"""),1989.0)</f>
        <v>1989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tr">
        <f>IFERROR(__xludf.DUMMYFUNCTION("""COMPUTED_VALUE"""),"طه محمد")</f>
        <v>طه محمد</v>
      </c>
      <c r="B147" s="5">
        <f>IFERROR(__xludf.DUMMYFUNCTION("""COMPUTED_VALUE"""),4.03165323978E11)</f>
        <v>403165323978</v>
      </c>
      <c r="C147" s="5" t="str">
        <f>IFERROR(__xludf.DUMMYFUNCTION("""COMPUTED_VALUE"""),"طه محمد")</f>
        <v>طه محمد</v>
      </c>
      <c r="D147" s="30" t="str">
        <f>IFERROR(__xludf.DUMMYFUNCTION("""COMPUTED_VALUE"""),"1990")</f>
        <v>1990</v>
      </c>
      <c r="E147" s="5"/>
      <c r="F147" s="5" t="str">
        <f>IFERROR(__xludf.DUMMYFUNCTION("""COMPUTED_VALUE"""),"tahaeldaowdy@gmail.com")</f>
        <v>tahaeldaowdy@gmail.com</v>
      </c>
      <c r="G147" s="5" t="str">
        <f>IFERROR(__xludf.DUMMYFUNCTION("""COMPUTED_VALUE"""),"+201119688644")</f>
        <v>+201119688644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tr">
        <f>IFERROR(__xludf.DUMMYFUNCTION("""COMPUTED_VALUE"""),"منة والي")</f>
        <v>منة والي</v>
      </c>
      <c r="B148" s="5">
        <f>IFERROR(__xludf.DUMMYFUNCTION("""COMPUTED_VALUE"""),7.24162474043E11)</f>
        <v>724162474043</v>
      </c>
      <c r="C148" s="5" t="str">
        <f>IFERROR(__xludf.DUMMYFUNCTION("""COMPUTED_VALUE"""),"منة والي")</f>
        <v>منة والي</v>
      </c>
      <c r="D148" s="30" t="str">
        <f>IFERROR(__xludf.DUMMYFUNCTION("""COMPUTED_VALUE"""),"1988")</f>
        <v>1988</v>
      </c>
      <c r="E148" s="5"/>
      <c r="F148" s="5" t="str">
        <f>IFERROR(__xludf.DUMMYFUNCTION("""COMPUTED_VALUE"""),"memawaly578@gmail.com")</f>
        <v>memawaly578@gmail.com</v>
      </c>
      <c r="G148" s="5" t="str">
        <f>IFERROR(__xludf.DUMMYFUNCTION("""COMPUTED_VALUE"""),"01030282653")</f>
        <v>01030282653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tr">
        <f>IFERROR(__xludf.DUMMYFUNCTION("""COMPUTED_VALUE"""),"جاكلين عطا الله")</f>
        <v>جاكلين عطا الله</v>
      </c>
      <c r="B149" s="5">
        <f>IFERROR(__xludf.DUMMYFUNCTION("""COMPUTED_VALUE"""),1.79171592097E11)</f>
        <v>179171592097</v>
      </c>
      <c r="C149" s="5" t="str">
        <f>IFERROR(__xludf.DUMMYFUNCTION("""COMPUTED_VALUE"""),"جاكلين عطا الله")</f>
        <v>جاكلين عطا الله</v>
      </c>
      <c r="D149" s="30" t="str">
        <f>IFERROR(__xludf.DUMMYFUNCTION("""COMPUTED_VALUE"""),"1994")</f>
        <v>1994</v>
      </c>
      <c r="E149" s="5"/>
      <c r="F149" s="5" t="str">
        <f>IFERROR(__xludf.DUMMYFUNCTION("""COMPUTED_VALUE"""),"jakleenattalla99@gmail.com")</f>
        <v>jakleenattalla99@gmail.com</v>
      </c>
      <c r="G149" s="5" t="str">
        <f>IFERROR(__xludf.DUMMYFUNCTION("""COMPUTED_VALUE"""),"+201275832257")</f>
        <v>+201275832257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tr">
        <f>IFERROR(__xludf.DUMMYFUNCTION("""COMPUTED_VALUE"""),"كامل خير الله")</f>
        <v>كامل خير الله</v>
      </c>
      <c r="B150" s="5">
        <f>IFERROR(__xludf.DUMMYFUNCTION("""COMPUTED_VALUE"""),1.75120578185E11)</f>
        <v>175120578185</v>
      </c>
      <c r="C150" s="5" t="str">
        <f>IFERROR(__xludf.DUMMYFUNCTION("""COMPUTED_VALUE"""),"كامل خير الله")</f>
        <v>كامل خير الله</v>
      </c>
      <c r="D150" s="30" t="str">
        <f>IFERROR(__xludf.DUMMYFUNCTION("""COMPUTED_VALUE"""),"2001")</f>
        <v>2001</v>
      </c>
      <c r="E150" s="5" t="str">
        <f>IFERROR(__xludf.DUMMYFUNCTION("""COMPUTED_VALUE"""),"EG07-EG08-EG09")</f>
        <v>EG07-EG08-EG09</v>
      </c>
      <c r="F150" s="5" t="str">
        <f>IFERROR(__xludf.DUMMYFUNCTION("""COMPUTED_VALUE"""),"kamelreda7815@gmail.com")</f>
        <v>kamelreda7815@gmail.com</v>
      </c>
      <c r="G150" s="5" t="str">
        <f>IFERROR(__xludf.DUMMYFUNCTION("""COMPUTED_VALUE"""),"01009142422")</f>
        <v>01009142422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tr">
        <f>IFERROR(__xludf.DUMMYFUNCTION("""COMPUTED_VALUE"""),"خلود محمد")</f>
        <v>خلود محمد</v>
      </c>
      <c r="B151" s="5">
        <f>IFERROR(__xludf.DUMMYFUNCTION("""COMPUTED_VALUE"""),9.43124527415E11)</f>
        <v>943124527415</v>
      </c>
      <c r="C151" s="5" t="str">
        <f>IFERROR(__xludf.DUMMYFUNCTION("""COMPUTED_VALUE"""),"خلود محمد")</f>
        <v>خلود محمد</v>
      </c>
      <c r="D151" s="30" t="str">
        <f>IFERROR(__xludf.DUMMYFUNCTION("""COMPUTED_VALUE"""),"1997")</f>
        <v>1997</v>
      </c>
      <c r="E151" s="5"/>
      <c r="F151" s="5" t="str">
        <f>IFERROR(__xludf.DUMMYFUNCTION("""COMPUTED_VALUE"""),"khookha.geushy@gmail.com")</f>
        <v>khookha.geushy@gmail.com</v>
      </c>
      <c r="G151" s="5" t="str">
        <f>IFERROR(__xludf.DUMMYFUNCTION("""COMPUTED_VALUE"""),"01000285051")</f>
        <v>01000285051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tr">
        <f>IFERROR(__xludf.DUMMYFUNCTION("""COMPUTED_VALUE"""),"مي جمال")</f>
        <v>مي جمال</v>
      </c>
      <c r="B152" s="5">
        <f>IFERROR(__xludf.DUMMYFUNCTION("""COMPUTED_VALUE"""),3.2814835702E11)</f>
        <v>328148357020</v>
      </c>
      <c r="C152" s="5" t="str">
        <f>IFERROR(__xludf.DUMMYFUNCTION("""COMPUTED_VALUE"""),"مي جمال")</f>
        <v>مي جمال</v>
      </c>
      <c r="D152" s="30" t="str">
        <f>IFERROR(__xludf.DUMMYFUNCTION("""COMPUTED_VALUE"""),"1998")</f>
        <v>1998</v>
      </c>
      <c r="E152" s="5"/>
      <c r="F152" s="5" t="str">
        <f>IFERROR(__xludf.DUMMYFUNCTION("""COMPUTED_VALUE"""),"maigamalhassan@gmail.com")</f>
        <v>maigamalhassan@gmail.com</v>
      </c>
      <c r="G152" s="5" t="str">
        <f>IFERROR(__xludf.DUMMYFUNCTION("""COMPUTED_VALUE"""),"01095502036")</f>
        <v>01095502036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tr">
        <f>IFERROR(__xludf.DUMMYFUNCTION("""COMPUTED_VALUE"""),"موسى عثمان")</f>
        <v>موسى عثمان</v>
      </c>
      <c r="B153" s="5">
        <f>IFERROR(__xludf.DUMMYFUNCTION("""COMPUTED_VALUE"""),3.89173598098E11)</f>
        <v>389173598098</v>
      </c>
      <c r="C153" s="5" t="str">
        <f>IFERROR(__xludf.DUMMYFUNCTION("""COMPUTED_VALUE"""),"موسى عثمان")</f>
        <v>موسى عثمان</v>
      </c>
      <c r="D153" s="30" t="str">
        <f>IFERROR(__xludf.DUMMYFUNCTION("""COMPUTED_VALUE"""),"2002")</f>
        <v>2002</v>
      </c>
      <c r="E153" s="5" t="str">
        <f>IFERROR(__xludf.DUMMYFUNCTION("""COMPUTED_VALUE"""),"EG10-EG11-G12")</f>
        <v>EG10-EG11-G12</v>
      </c>
      <c r="F153" s="5" t="str">
        <f>IFERROR(__xludf.DUMMYFUNCTION("""COMPUTED_VALUE"""),"mosa0122428710970@gmail.com")</f>
        <v>mosa0122428710970@gmail.com</v>
      </c>
      <c r="G153" s="5" t="str">
        <f>IFERROR(__xludf.DUMMYFUNCTION("""COMPUTED_VALUE"""),"01224287109")</f>
        <v>01224287109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tr">
        <f>IFERROR(__xludf.DUMMYFUNCTION("""COMPUTED_VALUE"""),"نانسي مجاهد")</f>
        <v>نانسي مجاهد</v>
      </c>
      <c r="B154" s="5">
        <f>IFERROR(__xludf.DUMMYFUNCTION("""COMPUTED_VALUE"""),9.57149214309E11)</f>
        <v>957149214309</v>
      </c>
      <c r="C154" s="5" t="str">
        <f>IFERROR(__xludf.DUMMYFUNCTION("""COMPUTED_VALUE"""),"نانسي مجاهد")</f>
        <v>نانسي مجاهد</v>
      </c>
      <c r="D154" s="30">
        <f>IFERROR(__xludf.DUMMYFUNCTION("""COMPUTED_VALUE"""),1995.0)</f>
        <v>1995</v>
      </c>
      <c r="E154" s="5"/>
      <c r="F154" s="5" t="str">
        <f>IFERROR(__xludf.DUMMYFUNCTION("""COMPUTED_VALUE"""),"nancy_88312@hotmail.com")</f>
        <v>nancy_88312@hotmail.com</v>
      </c>
      <c r="G154" s="5" t="str">
        <f>IFERROR(__xludf.DUMMYFUNCTION("""COMPUTED_VALUE"""),"01004166127")</f>
        <v>01004166127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tr">
        <f>IFERROR(__xludf.DUMMYFUNCTION("""COMPUTED_VALUE"""),"أماني نيكولا")</f>
        <v>أماني نيكولا</v>
      </c>
      <c r="B155" s="5">
        <f>IFERROR(__xludf.DUMMYFUNCTION("""COMPUTED_VALUE"""),6.26126867906E11)</f>
        <v>626126867906</v>
      </c>
      <c r="C155" s="5" t="str">
        <f>IFERROR(__xludf.DUMMYFUNCTION("""COMPUTED_VALUE"""),"أماني نيكولا")</f>
        <v>أماني نيكولا</v>
      </c>
      <c r="D155" s="30" t="str">
        <f>IFERROR(__xludf.DUMMYFUNCTION("""COMPUTED_VALUE"""),"1993")</f>
        <v>1993</v>
      </c>
      <c r="E155" s="5"/>
      <c r="F155" s="5" t="str">
        <f>IFERROR(__xludf.DUMMYFUNCTION("""COMPUTED_VALUE"""),"amany.nicola6@gmail.com")</f>
        <v>amany.nicola6@gmail.com</v>
      </c>
      <c r="G155" s="5" t="str">
        <f>IFERROR(__xludf.DUMMYFUNCTION("""COMPUTED_VALUE"""),"01222711176")</f>
        <v>01222711176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tr">
        <f>IFERROR(__xludf.DUMMYFUNCTION("""COMPUTED_VALUE"""),"إيريني عاطف")</f>
        <v>إيريني عاطف</v>
      </c>
      <c r="B156" s="5">
        <f>IFERROR(__xludf.DUMMYFUNCTION("""COMPUTED_VALUE"""),5.3018978463E11)</f>
        <v>530189784630</v>
      </c>
      <c r="C156" s="5" t="str">
        <f>IFERROR(__xludf.DUMMYFUNCTION("""COMPUTED_VALUE"""),"إيريني عاطف")</f>
        <v>إيريني عاطف</v>
      </c>
      <c r="D156" s="30" t="str">
        <f>IFERROR(__xludf.DUMMYFUNCTION("""COMPUTED_VALUE"""),"2003")</f>
        <v>2003</v>
      </c>
      <c r="E156" s="5" t="str">
        <f>IFERROR(__xludf.DUMMYFUNCTION("""COMPUTED_VALUE"""),"EG01-EG02-EG03-EG04-EG05")</f>
        <v>EG01-EG02-EG03-EG04-EG05</v>
      </c>
      <c r="F156" s="5" t="str">
        <f>IFERROR(__xludf.DUMMYFUNCTION("""COMPUTED_VALUE"""),"erineyatef@gmail.com")</f>
        <v>erineyatef@gmail.com</v>
      </c>
      <c r="G156" s="5" t="str">
        <f>IFERROR(__xludf.DUMMYFUNCTION("""COMPUTED_VALUE"""),"01211816220")</f>
        <v>01211816220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tr">
        <f>IFERROR(__xludf.DUMMYFUNCTION("""COMPUTED_VALUE"""),"رضوى هشام")</f>
        <v>رضوى هشام</v>
      </c>
      <c r="B157" s="5">
        <f>IFERROR(__xludf.DUMMYFUNCTION("""COMPUTED_VALUE"""),8.04187379101E11)</f>
        <v>804187379101</v>
      </c>
      <c r="C157" s="5" t="str">
        <f>IFERROR(__xludf.DUMMYFUNCTION("""COMPUTED_VALUE"""),"رضوى هشام")</f>
        <v>رضوى هشام</v>
      </c>
      <c r="D157" s="30" t="str">
        <f>IFERROR(__xludf.DUMMYFUNCTION("""COMPUTED_VALUE"""),"2013")</f>
        <v>2013</v>
      </c>
      <c r="E157" s="5" t="str">
        <f>IFERROR(__xludf.DUMMYFUNCTION("""COMPUTED_VALUE"""),"EG04-EG05-EG06-EG07-EG08-EG09")</f>
        <v>EG04-EG05-EG06-EG07-EG08-EG09</v>
      </c>
      <c r="F157" s="5" t="str">
        <f>IFERROR(__xludf.DUMMYFUNCTION("""COMPUTED_VALUE"""),"radwakadrey@gmail.com")</f>
        <v>radwakadrey@gmail.com</v>
      </c>
      <c r="G157" s="5" t="str">
        <f>IFERROR(__xludf.DUMMYFUNCTION("""COMPUTED_VALUE"""),"01228963698")</f>
        <v>01228963698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tr">
        <f>IFERROR(__xludf.DUMMYFUNCTION("""COMPUTED_VALUE"""),"بيشوي عادل")</f>
        <v>بيشوي عادل</v>
      </c>
      <c r="B158" s="5">
        <f>IFERROR(__xludf.DUMMYFUNCTION("""COMPUTED_VALUE"""),1.94194607634E11)</f>
        <v>194194607634</v>
      </c>
      <c r="C158" s="5" t="str">
        <f>IFERROR(__xludf.DUMMYFUNCTION("""COMPUTED_VALUE"""),"بيشوي عادل")</f>
        <v>بيشوي عادل</v>
      </c>
      <c r="D158" s="30" t="str">
        <f>IFERROR(__xludf.DUMMYFUNCTION("""COMPUTED_VALUE"""),"2006")</f>
        <v>2006</v>
      </c>
      <c r="E158" s="5"/>
      <c r="F158" s="5" t="str">
        <f>IFERROR(__xludf.DUMMYFUNCTION("""COMPUTED_VALUE"""),"bichoiadel@gmail.com")</f>
        <v>bichoiadel@gmail.com</v>
      </c>
      <c r="G158" s="5" t="str">
        <f>IFERROR(__xludf.DUMMYFUNCTION("""COMPUTED_VALUE"""),"01283973691")</f>
        <v>01283973691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tr">
        <f>IFERROR(__xludf.DUMMYFUNCTION("""COMPUTED_VALUE"""),"جهاد عبد المقصود")</f>
        <v>جهاد عبد المقصود</v>
      </c>
      <c r="B159" s="5">
        <f>IFERROR(__xludf.DUMMYFUNCTION("""COMPUTED_VALUE"""),4.15159138915E11)</f>
        <v>415159138915</v>
      </c>
      <c r="C159" s="5" t="str">
        <f>IFERROR(__xludf.DUMMYFUNCTION("""COMPUTED_VALUE"""),"جهاد عبد المقصود")</f>
        <v>جهاد عبد المقصود</v>
      </c>
      <c r="D159" s="30" t="str">
        <f>IFERROR(__xludf.DUMMYFUNCTION("""COMPUTED_VALUE"""),"2007")</f>
        <v>2007</v>
      </c>
      <c r="E159" s="5" t="str">
        <f>IFERROR(__xludf.DUMMYFUNCTION("""COMPUTED_VALUE"""),"أبلغت عن عدم رضاها عن التعديلات الجديدة من حيث التسجيل وحساب المدرس، وستستقيل")</f>
        <v>أبلغت عن عدم رضاها عن التعديلات الجديدة من حيث التسجيل وحساب المدرس، وستستقيل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tr">
        <f>IFERROR(__xludf.DUMMYFUNCTION("""COMPUTED_VALUE"""),"ميرونا سرور")</f>
        <v>ميرونا سرور</v>
      </c>
      <c r="B160" s="5">
        <f>IFERROR(__xludf.DUMMYFUNCTION("""COMPUTED_VALUE"""),8.48121420401E11)</f>
        <v>848121420401</v>
      </c>
      <c r="C160" s="5" t="str">
        <f>IFERROR(__xludf.DUMMYFUNCTION("""COMPUTED_VALUE"""),"ميرونا سرور")</f>
        <v>ميرونا سرور</v>
      </c>
      <c r="D160" s="30" t="str">
        <f>IFERROR(__xludf.DUMMYFUNCTION("""COMPUTED_VALUE"""),"2012")</f>
        <v>2012</v>
      </c>
      <c r="E160" s="5" t="str">
        <f>IFERROR(__xludf.DUMMYFUNCTION("""COMPUTED_VALUE"""),"EG07-EG08-EG09")</f>
        <v>EG07-EG08-EG09</v>
      </c>
      <c r="F160" s="5" t="str">
        <f>IFERROR(__xludf.DUMMYFUNCTION("""COMPUTED_VALUE"""),"sorormerona@gmail.com")</f>
        <v>sorormerona@gmail.com</v>
      </c>
      <c r="G160" s="5" t="str">
        <f>IFERROR(__xludf.DUMMYFUNCTION("""COMPUTED_VALUE"""),"01222986055")</f>
        <v>01222986055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tr">
        <f>IFERROR(__xludf.DUMMYFUNCTION("""COMPUTED_VALUE"""),"وليد بكر")</f>
        <v>وليد بكر</v>
      </c>
      <c r="B161" s="5">
        <f>IFERROR(__xludf.DUMMYFUNCTION("""COMPUTED_VALUE"""),4.93105352632E11)</f>
        <v>493105352632</v>
      </c>
      <c r="C161" s="5" t="str">
        <f>IFERROR(__xludf.DUMMYFUNCTION("""COMPUTED_VALUE"""),"وليد بكر")</f>
        <v>وليد بكر</v>
      </c>
      <c r="D161" s="30" t="str">
        <f>IFERROR(__xludf.DUMMYFUNCTION("""COMPUTED_VALUE"""),"2017")</f>
        <v>2017</v>
      </c>
      <c r="E161" s="5" t="str">
        <f>IFERROR(__xludf.DUMMYFUNCTION("""COMPUTED_VALUE"""),"G11-G12")</f>
        <v>G11-G12</v>
      </c>
      <c r="F161" s="5" t="str">
        <f>IFERROR(__xludf.DUMMYFUNCTION("""COMPUTED_VALUE"""),"wailpoet76@gmail.com")</f>
        <v>wailpoet76@gmail.com</v>
      </c>
      <c r="G161" s="5" t="str">
        <f>IFERROR(__xludf.DUMMYFUNCTION("""COMPUTED_VALUE"""),"+201004104024")</f>
        <v>+201004104024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tr">
        <f>IFERROR(__xludf.DUMMYFUNCTION("""COMPUTED_VALUE"""),"جمال إسماعيل")</f>
        <v>جمال إسماعيل</v>
      </c>
      <c r="B162" s="5">
        <f>IFERROR(__xludf.DUMMYFUNCTION("""COMPUTED_VALUE"""),7.18157635385E11)</f>
        <v>718157635385</v>
      </c>
      <c r="C162" s="5" t="str">
        <f>IFERROR(__xludf.DUMMYFUNCTION("""COMPUTED_VALUE"""),"جمال إسماعيل")</f>
        <v>جمال إسماعيل</v>
      </c>
      <c r="D162" s="30" t="str">
        <f>IFERROR(__xludf.DUMMYFUNCTION("""COMPUTED_VALUE"""),"2014")</f>
        <v>2014</v>
      </c>
      <c r="E162" s="5" t="str">
        <f>IFERROR(__xludf.DUMMYFUNCTION("""COMPUTED_VALUE"""),"EG10-EG11-G12")</f>
        <v>EG10-EG11-G12</v>
      </c>
      <c r="F162" s="5" t="str">
        <f>IFERROR(__xludf.DUMMYFUNCTION("""COMPUTED_VALUE"""),"safaa68gamal@gmail.com")</f>
        <v>safaa68gamal@gmail.com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tr">
        <f>IFERROR(__xludf.DUMMYFUNCTION("""COMPUTED_VALUE"""),"محمد جودة")</f>
        <v>محمد جودة</v>
      </c>
      <c r="B163" s="5">
        <f>IFERROR(__xludf.DUMMYFUNCTION("""COMPUTED_VALUE"""),1.28156935718E11)</f>
        <v>128156935718</v>
      </c>
      <c r="C163" s="5" t="str">
        <f>IFERROR(__xludf.DUMMYFUNCTION("""COMPUTED_VALUE"""),"محمد جودة")</f>
        <v>محمد جودة</v>
      </c>
      <c r="D163" s="30" t="str">
        <f>IFERROR(__xludf.DUMMYFUNCTION("""COMPUTED_VALUE"""),"2019")</f>
        <v>2019</v>
      </c>
      <c r="E163" s="5" t="str">
        <f>IFERROR(__xludf.DUMMYFUNCTION("""COMPUTED_VALUE"""),"EG10-EG11-EG12")</f>
        <v>EG10-EG11-EG12</v>
      </c>
      <c r="F163" s="5" t="str">
        <f>IFERROR(__xludf.DUMMYFUNCTION("""COMPUTED_VALUE"""),"mhmmd55501@gmail.com")</f>
        <v>mhmmd55501@gmail.com</v>
      </c>
      <c r="G163" s="5" t="str">
        <f>IFERROR(__xludf.DUMMYFUNCTION("""COMPUTED_VALUE"""),"01093988834")</f>
        <v>01093988834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tr">
        <f>IFERROR(__xludf.DUMMYFUNCTION("""COMPUTED_VALUE"""),"ماريا مجدي")</f>
        <v>ماريا مجدي</v>
      </c>
      <c r="B164" s="5">
        <f>IFERROR(__xludf.DUMMYFUNCTION("""COMPUTED_VALUE"""),1.03196870689E11)</f>
        <v>103196870689</v>
      </c>
      <c r="C164" s="5" t="str">
        <f>IFERROR(__xludf.DUMMYFUNCTION("""COMPUTED_VALUE"""),"ماريا مجدي")</f>
        <v>ماريا مجدي</v>
      </c>
      <c r="D164" s="30" t="str">
        <f>IFERROR(__xludf.DUMMYFUNCTION("""COMPUTED_VALUE"""),"2018")</f>
        <v>2018</v>
      </c>
      <c r="E164" s="5"/>
      <c r="F164" s="5" t="str">
        <f>IFERROR(__xludf.DUMMYFUNCTION("""COMPUTED_VALUE"""),"anna.maria.261997@gmail.com")</f>
        <v>anna.maria.261997@gmail.com</v>
      </c>
      <c r="G164" s="5" t="str">
        <f>IFERROR(__xludf.DUMMYFUNCTION("""COMPUTED_VALUE"""),"01202381996")</f>
        <v>01202381996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tr">
        <f>IFERROR(__xludf.DUMMYFUNCTION("""COMPUTED_VALUE"""),"محمد عبد المنعم")</f>
        <v>محمد عبد المنعم</v>
      </c>
      <c r="B165" s="5">
        <f>IFERROR(__xludf.DUMMYFUNCTION("""COMPUTED_VALUE"""),1.0217930543E11)</f>
        <v>102179305430</v>
      </c>
      <c r="C165" s="5" t="str">
        <f>IFERROR(__xludf.DUMMYFUNCTION("""COMPUTED_VALUE"""),"محمد عبد المنعم")</f>
        <v>محمد عبد المنعم</v>
      </c>
      <c r="D165" s="5">
        <f>IFERROR(__xludf.DUMMYFUNCTION("""COMPUTED_VALUE"""),2022.0)</f>
        <v>2022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tr">
        <f>IFERROR(__xludf.DUMMYFUNCTION("""COMPUTED_VALUE"""),"حسام عبد الحي")</f>
        <v>حسام عبد الحي</v>
      </c>
      <c r="B166" s="5">
        <f>IFERROR(__xludf.DUMMYFUNCTION("""COMPUTED_VALUE"""),5.76138787065E11)</f>
        <v>576138787065</v>
      </c>
      <c r="C166" s="5" t="str">
        <f>IFERROR(__xludf.DUMMYFUNCTION("""COMPUTED_VALUE"""),"حسام عبد الحي")</f>
        <v>حسام عبد الحي</v>
      </c>
      <c r="D166" s="30" t="str">
        <f>IFERROR(__xludf.DUMMYFUNCTION("""COMPUTED_VALUE"""),"2023")</f>
        <v>2023</v>
      </c>
      <c r="E166" s="5" t="str">
        <f>IFERROR(__xludf.DUMMYFUNCTION("""COMPUTED_VALUE"""),"EG10-EG11")</f>
        <v>EG10-EG11</v>
      </c>
      <c r="F166" s="5" t="str">
        <f>IFERROR(__xludf.DUMMYFUNCTION("""COMPUTED_VALUE"""),"hosamabdelhay90@gmail.com")</f>
        <v>hosamabdelhay90@gmail.com</v>
      </c>
      <c r="G166" s="5" t="str">
        <f>IFERROR(__xludf.DUMMYFUNCTION("""COMPUTED_VALUE"""),"01003137129")</f>
        <v>01003137129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tr">
        <f>IFERROR(__xludf.DUMMYFUNCTION("""COMPUTED_VALUE"""),"وسام الشناوي")</f>
        <v>وسام الشناوي</v>
      </c>
      <c r="B167" s="5">
        <f>IFERROR(__xludf.DUMMYFUNCTION("""COMPUTED_VALUE"""),2.42109375309E11)</f>
        <v>242109375309</v>
      </c>
      <c r="C167" s="5" t="str">
        <f>IFERROR(__xludf.DUMMYFUNCTION("""COMPUTED_VALUE"""),"وسام الشناوي")</f>
        <v>وسام الشناوي</v>
      </c>
      <c r="D167" s="30" t="str">
        <f>IFERROR(__xludf.DUMMYFUNCTION("""COMPUTED_VALUE"""),"2024")</f>
        <v>2024</v>
      </c>
      <c r="E167" s="5" t="str">
        <f>IFERROR(__xludf.DUMMYFUNCTION("""COMPUTED_VALUE"""),"EG10-EG11-G12")</f>
        <v>EG10-EG11-G12</v>
      </c>
      <c r="F167" s="5" t="str">
        <f>IFERROR(__xludf.DUMMYFUNCTION("""COMPUTED_VALUE"""),"wesamalshenawy36@gmail.com")</f>
        <v>wesamalshenawy36@gmail.com</v>
      </c>
      <c r="G167" s="5">
        <f>IFERROR(__xludf.DUMMYFUNCTION("""COMPUTED_VALUE"""),1.220508424E9)</f>
        <v>1220508424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tr">
        <f>IFERROR(__xludf.DUMMYFUNCTION("""COMPUTED_VALUE"""),"نزار الشافعي")</f>
        <v>نزار الشافعي</v>
      </c>
      <c r="B168" s="5">
        <f>IFERROR(__xludf.DUMMYFUNCTION("""COMPUTED_VALUE"""),5.10198282648E11)</f>
        <v>510198282648</v>
      </c>
      <c r="C168" s="5" t="str">
        <f>IFERROR(__xludf.DUMMYFUNCTION("""COMPUTED_VALUE"""),"نزار الشافعي")</f>
        <v>نزار الشافعي</v>
      </c>
      <c r="D168" s="30" t="str">
        <f>IFERROR(__xludf.DUMMYFUNCTION("""COMPUTED_VALUE"""),"2015")</f>
        <v>2015</v>
      </c>
      <c r="E168" s="5" t="str">
        <f>IFERROR(__xludf.DUMMYFUNCTION("""COMPUTED_VALUE"""),"EG10-EG11-G12")</f>
        <v>EG10-EG11-G12</v>
      </c>
      <c r="F168" s="5" t="str">
        <f>IFERROR(__xludf.DUMMYFUNCTION("""COMPUTED_VALUE"""),"nezarseliem@gmail.com")</f>
        <v>nezarseliem@gmail.com</v>
      </c>
      <c r="G168" s="5" t="str">
        <f>IFERROR(__xludf.DUMMYFUNCTION("""COMPUTED_VALUE"""),"01281280294")</f>
        <v>01281280294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tr">
        <f>IFERROR(__xludf.DUMMYFUNCTION("""COMPUTED_VALUE"""),"رحاب جمعة")</f>
        <v>رحاب جمعة</v>
      </c>
      <c r="B169" s="5">
        <f>IFERROR(__xludf.DUMMYFUNCTION("""COMPUTED_VALUE"""),1.23132196047E11)</f>
        <v>123132196047</v>
      </c>
      <c r="C169" s="5" t="str">
        <f>IFERROR(__xludf.DUMMYFUNCTION("""COMPUTED_VALUE"""),"رحاب جمعة")</f>
        <v>رحاب جمعة</v>
      </c>
      <c r="D169" s="30" t="str">
        <f>IFERROR(__xludf.DUMMYFUNCTION("""COMPUTED_VALUE"""),"2025")</f>
        <v>2025</v>
      </c>
      <c r="E169" s="5"/>
      <c r="F169" s="5" t="str">
        <f>IFERROR(__xludf.DUMMYFUNCTION("""COMPUTED_VALUE"""),"rouby_zico@yahoo.com")</f>
        <v>rouby_zico@yahoo.com</v>
      </c>
      <c r="G169" s="5" t="str">
        <f>IFERROR(__xludf.DUMMYFUNCTION("""COMPUTED_VALUE"""),"01100909748")</f>
        <v>01100909748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tr">
        <f>IFERROR(__xludf.DUMMYFUNCTION("""COMPUTED_VALUE"""),"كريستينا جرجس")</f>
        <v>كريستينا جرجس</v>
      </c>
      <c r="B170" s="5">
        <f>IFERROR(__xludf.DUMMYFUNCTION("""COMPUTED_VALUE"""),3.84108435424E11)</f>
        <v>384108435424</v>
      </c>
      <c r="C170" s="5" t="str">
        <f>IFERROR(__xludf.DUMMYFUNCTION("""COMPUTED_VALUE"""),"كريستينا جرجس")</f>
        <v>كريستينا جرجس</v>
      </c>
      <c r="D170" s="30" t="str">
        <f>IFERROR(__xludf.DUMMYFUNCTION("""COMPUTED_VALUE"""),"2029")</f>
        <v>2029</v>
      </c>
      <c r="E170" s="5" t="str">
        <f>IFERROR(__xludf.DUMMYFUNCTION("""COMPUTED_VALUE"""),"EG04-EG05-EG06-EG07-EG08-EG09")</f>
        <v>EG04-EG05-EG06-EG07-EG08-EG09</v>
      </c>
      <c r="F170" s="5" t="str">
        <f>IFERROR(__xludf.DUMMYFUNCTION("""COMPUTED_VALUE"""),"cristinagerges44@gmail.com")</f>
        <v>cristinagerges44@gmail.com</v>
      </c>
      <c r="G170" s="5" t="str">
        <f>IFERROR(__xludf.DUMMYFUNCTION("""COMPUTED_VALUE"""),"01229505808")</f>
        <v>01229505808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tr">
        <f>IFERROR(__xludf.DUMMYFUNCTION("""COMPUTED_VALUE"""),"شريف عبد المنعم")</f>
        <v>شريف عبد المنعم</v>
      </c>
      <c r="B171" s="5">
        <f>IFERROR(__xludf.DUMMYFUNCTION("""COMPUTED_VALUE"""),9.57170329636E11)</f>
        <v>957170329636</v>
      </c>
      <c r="C171" s="5" t="str">
        <f>IFERROR(__xludf.DUMMYFUNCTION("""COMPUTED_VALUE"""),"شريف عبد المنعم")</f>
        <v>شريف عبد المنعم</v>
      </c>
      <c r="D171" s="30" t="str">
        <f>IFERROR(__xludf.DUMMYFUNCTION("""COMPUTED_VALUE"""),"2035")</f>
        <v>2035</v>
      </c>
      <c r="E171" s="5" t="str">
        <f>IFERROR(__xludf.DUMMYFUNCTION("""COMPUTED_VALUE"""),"EG07-EG08-EG09")</f>
        <v>EG07-EG08-EG09</v>
      </c>
      <c r="F171" s="5" t="str">
        <f>IFERROR(__xludf.DUMMYFUNCTION("""COMPUTED_VALUE"""),"shirefagor166@gmail.com")</f>
        <v>shirefagor166@gmail.com</v>
      </c>
      <c r="G171" s="5" t="str">
        <f>IFERROR(__xludf.DUMMYFUNCTION("""COMPUTED_VALUE"""),"01223742383")</f>
        <v>01223742383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tr">
        <f>IFERROR(__xludf.DUMMYFUNCTION("""COMPUTED_VALUE"""),"أحمد عبد الشهيد")</f>
        <v>أحمد عبد الشهيد</v>
      </c>
      <c r="B172" s="5">
        <f>IFERROR(__xludf.DUMMYFUNCTION("""COMPUTED_VALUE"""),5.73182638724E11)</f>
        <v>573182638724</v>
      </c>
      <c r="C172" s="5" t="str">
        <f>IFERROR(__xludf.DUMMYFUNCTION("""COMPUTED_VALUE"""),"أحمد عبد الشهيد")</f>
        <v>أحمد عبد الشهيد</v>
      </c>
      <c r="D172" s="30" t="str">
        <f>IFERROR(__xludf.DUMMYFUNCTION("""COMPUTED_VALUE"""),"2045")</f>
        <v>2045</v>
      </c>
      <c r="E172" s="5"/>
      <c r="F172" s="5" t="str">
        <f>IFERROR(__xludf.DUMMYFUNCTION("""COMPUTED_VALUE"""),"ahmedabdelshaheed88@gmail.com")</f>
        <v>ahmedabdelshaheed88@gmail.com</v>
      </c>
      <c r="G172" s="5" t="str">
        <f>IFERROR(__xludf.DUMMYFUNCTION("""COMPUTED_VALUE"""),"01009361878")</f>
        <v>01009361878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tr">
        <f>IFERROR(__xludf.DUMMYFUNCTION("""COMPUTED_VALUE"""),"آية داود")</f>
        <v>آية داود</v>
      </c>
      <c r="B173" s="5">
        <f>IFERROR(__xludf.DUMMYFUNCTION("""COMPUTED_VALUE"""),3.95193419294E11)</f>
        <v>395193419294</v>
      </c>
      <c r="C173" s="5" t="str">
        <f>IFERROR(__xludf.DUMMYFUNCTION("""COMPUTED_VALUE"""),"آية داود")</f>
        <v>آية داود</v>
      </c>
      <c r="D173" s="30" t="str">
        <f>IFERROR(__xludf.DUMMYFUNCTION("""COMPUTED_VALUE"""),"2033")</f>
        <v>2033</v>
      </c>
      <c r="E173" s="5"/>
      <c r="F173" s="5" t="str">
        <f>IFERROR(__xludf.DUMMYFUNCTION("""COMPUTED_VALUE"""),"ayadaod2017@gmail.com")</f>
        <v>ayadaod2017@gmail.com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tr">
        <f>IFERROR(__xludf.DUMMYFUNCTION("""COMPUTED_VALUE"""),"محمد إبراهيم")</f>
        <v>محمد إبراهيم</v>
      </c>
      <c r="B174" s="5">
        <f>IFERROR(__xludf.DUMMYFUNCTION("""COMPUTED_VALUE"""),5.07191054317E11)</f>
        <v>507191054317</v>
      </c>
      <c r="C174" s="5" t="str">
        <f>IFERROR(__xludf.DUMMYFUNCTION("""COMPUTED_VALUE"""),"محمد إبراهيم")</f>
        <v>محمد إبراهيم</v>
      </c>
      <c r="D174" s="30" t="str">
        <f>IFERROR(__xludf.DUMMYFUNCTION("""COMPUTED_VALUE"""),"2034")</f>
        <v>2034</v>
      </c>
      <c r="E174" s="5"/>
      <c r="F174" s="5" t="str">
        <f>IFERROR(__xludf.DUMMYFUNCTION("""COMPUTED_VALUE"""),"viplol85@gmail.com")</f>
        <v>viplol85@gmail.com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tr">
        <f>IFERROR(__xludf.DUMMYFUNCTION("""COMPUTED_VALUE"""),"سارة محمود")</f>
        <v>سارة محمود</v>
      </c>
      <c r="B175" s="5">
        <f>IFERROR(__xludf.DUMMYFUNCTION("""COMPUTED_VALUE"""),6.07182043274E11)</f>
        <v>607182043274</v>
      </c>
      <c r="C175" s="5" t="str">
        <f>IFERROR(__xludf.DUMMYFUNCTION("""COMPUTED_VALUE"""),"سارة محمود")</f>
        <v>سارة محمود</v>
      </c>
      <c r="D175" s="30" t="str">
        <f>IFERROR(__xludf.DUMMYFUNCTION("""COMPUTED_VALUE"""),"2036")</f>
        <v>2036</v>
      </c>
      <c r="E175" s="5"/>
      <c r="F175" s="5" t="str">
        <f>IFERROR(__xludf.DUMMYFUNCTION("""COMPUTED_VALUE"""),"saramelgendy@gmail.com")</f>
        <v>saramelgendy@gmail.com</v>
      </c>
      <c r="G175" s="5" t="str">
        <f>IFERROR(__xludf.DUMMYFUNCTION("""COMPUTED_VALUE"""),"01128004018")</f>
        <v>01128004018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tr">
        <f>IFERROR(__xludf.DUMMYFUNCTION("""COMPUTED_VALUE"""),"عماد عرابي")</f>
        <v>عماد عرابي</v>
      </c>
      <c r="B176" s="5">
        <f>IFERROR(__xludf.DUMMYFUNCTION("""COMPUTED_VALUE"""),7.97194713202E11)</f>
        <v>797194713202</v>
      </c>
      <c r="C176" s="5" t="str">
        <f>IFERROR(__xludf.DUMMYFUNCTION("""COMPUTED_VALUE"""),"عماد عرابي")</f>
        <v>عماد عرابي</v>
      </c>
      <c r="D176" s="30" t="str">
        <f>IFERROR(__xludf.DUMMYFUNCTION("""COMPUTED_VALUE"""),"2037")</f>
        <v>2037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tr">
        <f>IFERROR(__xludf.DUMMYFUNCTION("""COMPUTED_VALUE"""),"سماح محمد")</f>
        <v>سماح محمد</v>
      </c>
      <c r="B177" s="5">
        <f>IFERROR(__xludf.DUMMYFUNCTION("""COMPUTED_VALUE"""),9.74193190698E11)</f>
        <v>974193190698</v>
      </c>
      <c r="C177" s="5" t="str">
        <f>IFERROR(__xludf.DUMMYFUNCTION("""COMPUTED_VALUE"""),"سماح محمد")</f>
        <v>سماح محمد</v>
      </c>
      <c r="D177" s="30">
        <f>IFERROR(__xludf.DUMMYFUNCTION("""COMPUTED_VALUE"""),2038.0)</f>
        <v>2038</v>
      </c>
      <c r="E177" s="5"/>
      <c r="F177" s="5" t="str">
        <f>IFERROR(__xludf.DUMMYFUNCTION("""COMPUTED_VALUE"""),"smah46158@gmail.com")</f>
        <v>smah46158@gmail.com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tr">
        <f>IFERROR(__xludf.DUMMYFUNCTION("""COMPUTED_VALUE"""),"ريمون مجدي")</f>
        <v>ريمون مجدي</v>
      </c>
      <c r="B178" s="5">
        <f>IFERROR(__xludf.DUMMYFUNCTION("""COMPUTED_VALUE"""),7.85152928659E11)</f>
        <v>785152928659</v>
      </c>
      <c r="C178" s="5" t="str">
        <f>IFERROR(__xludf.DUMMYFUNCTION("""COMPUTED_VALUE"""),"ريمون مجدي")</f>
        <v>ريمون مجدي</v>
      </c>
      <c r="D178" s="30" t="str">
        <f>IFERROR(__xludf.DUMMYFUNCTION("""COMPUTED_VALUE"""),"2039")</f>
        <v>2039</v>
      </c>
      <c r="E178" s="5"/>
      <c r="F178" s="5" t="str">
        <f>IFERROR(__xludf.DUMMYFUNCTION("""COMPUTED_VALUE"""),"remonseha009@gmail.com")</f>
        <v>remonseha009@gmail.com</v>
      </c>
      <c r="G178" s="5" t="str">
        <f>IFERROR(__xludf.DUMMYFUNCTION("""COMPUTED_VALUE"""),"01010341068")</f>
        <v>01010341068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tr">
        <f>IFERROR(__xludf.DUMMYFUNCTION("""COMPUTED_VALUE"""),"إيمان دسوقي")</f>
        <v>إيمان دسوقي</v>
      </c>
      <c r="B179" s="5">
        <f>IFERROR(__xludf.DUMMYFUNCTION("""COMPUTED_VALUE"""),9.08173825031E11)</f>
        <v>908173825031</v>
      </c>
      <c r="C179" s="5" t="str">
        <f>IFERROR(__xludf.DUMMYFUNCTION("""COMPUTED_VALUE"""),"إيمان دسوقي")</f>
        <v>إيمان دسوقي</v>
      </c>
      <c r="D179" s="30" t="str">
        <f>IFERROR(__xludf.DUMMYFUNCTION("""COMPUTED_VALUE"""),"2040")</f>
        <v>2040</v>
      </c>
      <c r="E179" s="5"/>
      <c r="F179" s="5" t="str">
        <f>IFERROR(__xludf.DUMMYFUNCTION("""COMPUTED_VALUE"""),"emiliamony@gmail.com")</f>
        <v>emiliamony@gmail.com</v>
      </c>
      <c r="G179" s="5">
        <f>IFERROR(__xludf.DUMMYFUNCTION("""COMPUTED_VALUE"""),2.8310280200527E13)</f>
        <v>28310280200527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tr">
        <f>IFERROR(__xludf.DUMMYFUNCTION("""COMPUTED_VALUE"""),"عبد المنعم سرور")</f>
        <v>عبد المنعم سرور</v>
      </c>
      <c r="B180" s="5">
        <f>IFERROR(__xludf.DUMMYFUNCTION("""COMPUTED_VALUE"""),5.86171628191E11)</f>
        <v>586171628191</v>
      </c>
      <c r="C180" s="5" t="str">
        <f>IFERROR(__xludf.DUMMYFUNCTION("""COMPUTED_VALUE"""),"عبد المنعم سرور")</f>
        <v>عبد المنعم سرور</v>
      </c>
      <c r="D180" s="30" t="str">
        <f>IFERROR(__xludf.DUMMYFUNCTION("""COMPUTED_VALUE"""),"2042")</f>
        <v>2042</v>
      </c>
      <c r="E180" s="5" t="str">
        <f>IFERROR(__xludf.DUMMYFUNCTION("""COMPUTED_VALUE"""),"EG07-EG08-EG09")</f>
        <v>EG07-EG08-EG09</v>
      </c>
      <c r="F180" s="5" t="str">
        <f>IFERROR(__xludf.DUMMYFUNCTION("""COMPUTED_VALUE"""),"meneimpharma@gmail.com")</f>
        <v>meneimpharma@gmail.com</v>
      </c>
      <c r="G180" s="5" t="str">
        <f>IFERROR(__xludf.DUMMYFUNCTION("""COMPUTED_VALUE"""),"01225606274")</f>
        <v>01225606274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tr">
        <f>IFERROR(__xludf.DUMMYFUNCTION("""COMPUTED_VALUE"""),"عمر خالد")</f>
        <v>عمر خالد</v>
      </c>
      <c r="B181" s="5">
        <f>IFERROR(__xludf.DUMMYFUNCTION("""COMPUTED_VALUE"""),3.47126195768E11)</f>
        <v>347126195768</v>
      </c>
      <c r="C181" s="5" t="str">
        <f>IFERROR(__xludf.DUMMYFUNCTION("""COMPUTED_VALUE"""),"عمر خالد")</f>
        <v>عمر خالد</v>
      </c>
      <c r="D181" s="30" t="str">
        <f>IFERROR(__xludf.DUMMYFUNCTION("""COMPUTED_VALUE"""),"2041")</f>
        <v>2041</v>
      </c>
      <c r="E181" s="5" t="str">
        <f>IFERROR(__xludf.DUMMYFUNCTION("""COMPUTED_VALUE"""),"G11")</f>
        <v>G11</v>
      </c>
      <c r="F181" s="5" t="str">
        <f>IFERROR(__xludf.DUMMYFUNCTION("""COMPUTED_VALUE"""),"omarkhaled7772016@gmail.com")</f>
        <v>omarkhaled7772016@gmail.com</v>
      </c>
      <c r="G181" s="5" t="str">
        <f>IFERROR(__xludf.DUMMYFUNCTION("""COMPUTED_VALUE"""),"01119231204")</f>
        <v>01119231204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tr">
        <f>IFERROR(__xludf.DUMMYFUNCTION("""COMPUTED_VALUE"""),"محمود جودة")</f>
        <v>محمود جودة</v>
      </c>
      <c r="B182" s="5">
        <f>IFERROR(__xludf.DUMMYFUNCTION("""COMPUTED_VALUE"""),8.73160320409E11)</f>
        <v>873160320409</v>
      </c>
      <c r="C182" s="5" t="str">
        <f>IFERROR(__xludf.DUMMYFUNCTION("""COMPUTED_VALUE"""),"محمود جودة")</f>
        <v>محمود جودة</v>
      </c>
      <c r="D182" s="5" t="str">
        <f>IFERROR(__xludf.DUMMYFUNCTION("""COMPUTED_VALUE"""),"#N/A")</f>
        <v>#N/A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tr">
        <f>IFERROR(__xludf.DUMMYFUNCTION("""COMPUTED_VALUE"""),"حاتم محمد")</f>
        <v>حاتم محمد</v>
      </c>
      <c r="B183" s="5">
        <f>IFERROR(__xludf.DUMMYFUNCTION("""COMPUTED_VALUE"""),5.09154312983E11)</f>
        <v>509154312983</v>
      </c>
      <c r="C183" s="5" t="str">
        <f>IFERROR(__xludf.DUMMYFUNCTION("""COMPUTED_VALUE"""),"حاتم محمد")</f>
        <v>حاتم محمد</v>
      </c>
      <c r="D183" s="30" t="str">
        <f>IFERROR(__xludf.DUMMYFUNCTION("""COMPUTED_VALUE"""),"2060")</f>
        <v>2060</v>
      </c>
      <c r="E183" s="5"/>
      <c r="F183" s="5" t="str">
        <f>IFERROR(__xludf.DUMMYFUNCTION("""COMPUTED_VALUE"""),"hatem01144465866@gmail.com")</f>
        <v>hatem01144465866@gmail.com</v>
      </c>
      <c r="G183" s="5" t="str">
        <f>IFERROR(__xludf.DUMMYFUNCTION("""COMPUTED_VALUE"""),"01005244058/01144465866")</f>
        <v>01005244058/01144465866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tr">
        <f>IFERROR(__xludf.DUMMYFUNCTION("""COMPUTED_VALUE"""),"مروة مصطفى")</f>
        <v>مروة مصطفى</v>
      </c>
      <c r="B184" s="5">
        <f>IFERROR(__xludf.DUMMYFUNCTION("""COMPUTED_VALUE"""),9.63158235375E11)</f>
        <v>963158235375</v>
      </c>
      <c r="C184" s="5" t="str">
        <f>IFERROR(__xludf.DUMMYFUNCTION("""COMPUTED_VALUE"""),"مروة مصطفى")</f>
        <v>مروة مصطفى</v>
      </c>
      <c r="D184" s="30" t="str">
        <f>IFERROR(__xludf.DUMMYFUNCTION("""COMPUTED_VALUE"""),"2062")</f>
        <v>2062</v>
      </c>
      <c r="E184" s="5"/>
      <c r="F184" s="5" t="str">
        <f>IFERROR(__xludf.DUMMYFUNCTION("""COMPUTED_VALUE"""),"marwa_mostafa_@hotmail.com")</f>
        <v>marwa_mostafa_@hotmail.com</v>
      </c>
      <c r="G184" s="5" t="str">
        <f>IFERROR(__xludf.DUMMYFUNCTION("""COMPUTED_VALUE"""),"01003732776")</f>
        <v>01003732776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tr">
        <f>IFERROR(__xludf.DUMMYFUNCTION("""COMPUTED_VALUE"""),"جلال محمد")</f>
        <v>جلال محمد</v>
      </c>
      <c r="B185" s="5">
        <f>IFERROR(__xludf.DUMMYFUNCTION("""COMPUTED_VALUE"""),2.70108515474E11)</f>
        <v>270108515474</v>
      </c>
      <c r="C185" s="5" t="str">
        <f>IFERROR(__xludf.DUMMYFUNCTION("""COMPUTED_VALUE"""),"جلال محمد")</f>
        <v>جلال محمد</v>
      </c>
      <c r="D185" s="30" t="str">
        <f>IFERROR(__xludf.DUMMYFUNCTION("""COMPUTED_VALUE"""),"2052")</f>
        <v>2052</v>
      </c>
      <c r="E185" s="5"/>
      <c r="F185" s="5" t="str">
        <f>IFERROR(__xludf.DUMMYFUNCTION("""COMPUTED_VALUE"""),"galalmohamed33@gmail.com")</f>
        <v>galalmohamed33@gmail.com</v>
      </c>
      <c r="G185" s="5" t="str">
        <f>IFERROR(__xludf.DUMMYFUNCTION("""COMPUTED_VALUE"""),"+201069423949")</f>
        <v>+201069423949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tr">
        <f>IFERROR(__xludf.DUMMYFUNCTION("""COMPUTED_VALUE"""),"محمد لقمان")</f>
        <v>محمد لقمان</v>
      </c>
      <c r="B186" s="5">
        <f>IFERROR(__xludf.DUMMYFUNCTION("""COMPUTED_VALUE"""),5.65175096735E11)</f>
        <v>565175096735</v>
      </c>
      <c r="C186" s="5" t="str">
        <f>IFERROR(__xludf.DUMMYFUNCTION("""COMPUTED_VALUE"""),"محمد لقمان")</f>
        <v>محمد لقمان</v>
      </c>
      <c r="D186" s="30" t="str">
        <f>IFERROR(__xludf.DUMMYFUNCTION("""COMPUTED_VALUE"""),"2049")</f>
        <v>2049</v>
      </c>
      <c r="E186" s="5"/>
      <c r="F186" s="5" t="str">
        <f>IFERROR(__xludf.DUMMYFUNCTION("""COMPUTED_VALUE"""),"mohamedlokman055@gmail.com")</f>
        <v>mohamedlokman055@gmail.com</v>
      </c>
      <c r="G186" s="5" t="str">
        <f>IFERROR(__xludf.DUMMYFUNCTION("""COMPUTED_VALUE"""),"01006721017")</f>
        <v>01006721017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tr">
        <f>IFERROR(__xludf.DUMMYFUNCTION("""COMPUTED_VALUE"""),"ياسر عبد الجواد")</f>
        <v>ياسر عبد الجواد</v>
      </c>
      <c r="B187" s="5">
        <f>IFERROR(__xludf.DUMMYFUNCTION("""COMPUTED_VALUE"""),8.97176765424E11)</f>
        <v>897176765424</v>
      </c>
      <c r="C187" s="5" t="str">
        <f>IFERROR(__xludf.DUMMYFUNCTION("""COMPUTED_VALUE"""),"ياسر عبد الجواد")</f>
        <v>ياسر عبد الجواد</v>
      </c>
      <c r="D187" s="30" t="str">
        <f>IFERROR(__xludf.DUMMYFUNCTION("""COMPUTED_VALUE"""),"2063")</f>
        <v>2063</v>
      </c>
      <c r="E187" s="5" t="str">
        <f>IFERROR(__xludf.DUMMYFUNCTION("""COMPUTED_VALUE"""),"EG08-EG09-EG10-EG11-EG12")</f>
        <v>EG08-EG09-EG10-EG11-EG12</v>
      </c>
      <c r="F187" s="5" t="str">
        <f>IFERROR(__xludf.DUMMYFUNCTION("""COMPUTED_VALUE"""),"yasour2007@yahoo.com")</f>
        <v>yasour2007@yahoo.com</v>
      </c>
      <c r="G187" s="5" t="str">
        <f>IFERROR(__xludf.DUMMYFUNCTION("""COMPUTED_VALUE"""),"01553440630")</f>
        <v>01553440630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tr">
        <f>IFERROR(__xludf.DUMMYFUNCTION("""COMPUTED_VALUE"""),"محمد عيد")</f>
        <v>محمد عيد</v>
      </c>
      <c r="B188" s="5">
        <f>IFERROR(__xludf.DUMMYFUNCTION("""COMPUTED_VALUE"""),5.16103937369E11)</f>
        <v>516103937369</v>
      </c>
      <c r="C188" s="5" t="str">
        <f>IFERROR(__xludf.DUMMYFUNCTION("""COMPUTED_VALUE"""),"محمد عيد")</f>
        <v>محمد عيد</v>
      </c>
      <c r="D188" s="5" t="str">
        <f>IFERROR(__xludf.DUMMYFUNCTION("""COMPUTED_VALUE"""),"#N/A")</f>
        <v>#N/A</v>
      </c>
      <c r="E188" s="5"/>
      <c r="F188" s="5" t="str">
        <f>IFERROR(__xludf.DUMMYFUNCTION("""COMPUTED_VALUE"""),"mohammed.eid.gad@gmail.com")</f>
        <v>mohammed.eid.gad@gmail.com</v>
      </c>
      <c r="G188" s="5" t="str">
        <f>IFERROR(__xludf.DUMMYFUNCTION("""COMPUTED_VALUE"""),"01027610533")</f>
        <v>01027610533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tr">
        <f>IFERROR(__xludf.DUMMYFUNCTION("""COMPUTED_VALUE"""),"أحمد سليمان")</f>
        <v>أحمد سليمان</v>
      </c>
      <c r="B189" s="5">
        <f>IFERROR(__xludf.DUMMYFUNCTION("""COMPUTED_VALUE"""),6.95171650641E11)</f>
        <v>695171650641</v>
      </c>
      <c r="C189" s="5" t="str">
        <f>IFERROR(__xludf.DUMMYFUNCTION("""COMPUTED_VALUE"""),"أحمد سليمان")</f>
        <v>أحمد سليمان</v>
      </c>
      <c r="D189" s="30" t="str">
        <f>IFERROR(__xludf.DUMMYFUNCTION("""COMPUTED_VALUE"""),"2080")</f>
        <v>2080</v>
      </c>
      <c r="E189" s="5" t="str">
        <f>IFERROR(__xludf.DUMMYFUNCTION("""COMPUTED_VALUE"""),"EG10-EG11-EG12")</f>
        <v>EG10-EG11-EG12</v>
      </c>
      <c r="F189" s="5" t="str">
        <f>IFERROR(__xludf.DUMMYFUNCTION("""COMPUTED_VALUE"""),"ahmedsoliman200040@yahoo.com")</f>
        <v>ahmedsoliman200040@yahoo.com</v>
      </c>
      <c r="G189" s="5" t="str">
        <f>IFERROR(__xludf.DUMMYFUNCTION("""COMPUTED_VALUE"""),"01007569392")</f>
        <v>01007569392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tr">
        <f>IFERROR(__xludf.DUMMYFUNCTION("""COMPUTED_VALUE"""),"السيد سابق")</f>
        <v>السيد سابق</v>
      </c>
      <c r="B190" s="5">
        <f>IFERROR(__xludf.DUMMYFUNCTION("""COMPUTED_VALUE"""),6.49109540563E11)</f>
        <v>649109540563</v>
      </c>
      <c r="C190" s="5" t="str">
        <f>IFERROR(__xludf.DUMMYFUNCTION("""COMPUTED_VALUE"""),"السيد سابق")</f>
        <v>السيد سابق</v>
      </c>
      <c r="D190" s="30" t="str">
        <f>IFERROR(__xludf.DUMMYFUNCTION("""COMPUTED_VALUE"""),"2081")</f>
        <v>2081</v>
      </c>
      <c r="E190" s="5" t="str">
        <f>IFERROR(__xludf.DUMMYFUNCTION("""COMPUTED_VALUE"""),"EG04-EG05-EG06")</f>
        <v>EG04-EG05-EG06</v>
      </c>
      <c r="F190" s="5" t="str">
        <f>IFERROR(__xludf.DUMMYFUNCTION("""COMPUTED_VALUE"""),"apoapdo3000@gmail.com")</f>
        <v>apoapdo3000@gmail.com</v>
      </c>
      <c r="G190" s="5" t="str">
        <f>IFERROR(__xludf.DUMMYFUNCTION("""COMPUTED_VALUE"""),"01119730825")</f>
        <v>01119730825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tr">
        <f>IFERROR(__xludf.DUMMYFUNCTION("""COMPUTED_VALUE"""),"مسعد عبد الرحيم")</f>
        <v>مسعد عبد الرحيم</v>
      </c>
      <c r="B191" s="5">
        <f>IFERROR(__xludf.DUMMYFUNCTION("""COMPUTED_VALUE"""),9.19178945796E11)</f>
        <v>919178945796</v>
      </c>
      <c r="C191" s="5" t="str">
        <f>IFERROR(__xludf.DUMMYFUNCTION("""COMPUTED_VALUE"""),"مسعد عبد الرحيم")</f>
        <v>مسعد عبد الرحيم</v>
      </c>
      <c r="D191" s="30" t="str">
        <f>IFERROR(__xludf.DUMMYFUNCTION("""COMPUTED_VALUE"""),"2082")</f>
        <v>2082</v>
      </c>
      <c r="E191" s="5" t="str">
        <f>IFERROR(__xludf.DUMMYFUNCTION("""COMPUTED_VALUE"""),"EG07-EG08-EG09-EG10-EG11-EG12")</f>
        <v>EG07-EG08-EG09-EG10-EG11-EG12</v>
      </c>
      <c r="F191" s="5" t="str">
        <f>IFERROR(__xludf.DUMMYFUNCTION("""COMPUTED_VALUE"""),"mosadalmakhrat@gmail.com")</f>
        <v>mosadalmakhrat@gmail.com</v>
      </c>
      <c r="G191" s="5" t="str">
        <f>IFERROR(__xludf.DUMMYFUNCTION("""COMPUTED_VALUE"""),"01226434618")</f>
        <v>01226434618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tr">
        <f>IFERROR(__xludf.DUMMYFUNCTION("""COMPUTED_VALUE"""),"ريم نصار")</f>
        <v>ريم نصار</v>
      </c>
      <c r="B192" s="5">
        <f>IFERROR(__xludf.DUMMYFUNCTION("""COMPUTED_VALUE"""),9.56176242726E11)</f>
        <v>956176242726</v>
      </c>
      <c r="C192" s="5" t="str">
        <f>IFERROR(__xludf.DUMMYFUNCTION("""COMPUTED_VALUE"""),"ريم نصار")</f>
        <v>ريم نصار</v>
      </c>
      <c r="D192" s="30" t="str">
        <f>IFERROR(__xludf.DUMMYFUNCTION("""COMPUTED_VALUE"""),"2070")</f>
        <v>2070</v>
      </c>
      <c r="E192" s="5" t="str">
        <f>IFERROR(__xludf.DUMMYFUNCTION("""COMPUTED_VALUE"""),"EG04-EG05-EG06-EG07-EG08-EG09")</f>
        <v>EG04-EG05-EG06-EG07-EG08-EG09</v>
      </c>
      <c r="F192" s="5" t="str">
        <f>IFERROR(__xludf.DUMMYFUNCTION("""COMPUTED_VALUE"""),"reemhassannassar209@gmail.com")</f>
        <v>reemhassannassar209@gmail.com</v>
      </c>
      <c r="G192" s="5" t="str">
        <f>IFERROR(__xludf.DUMMYFUNCTION("""COMPUTED_VALUE"""),"01118953299")</f>
        <v>01118953299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tr">
        <f>IFERROR(__xludf.DUMMYFUNCTION("""COMPUTED_VALUE"""),"كرستين مراد")</f>
        <v>كرستين مراد</v>
      </c>
      <c r="B193" s="5">
        <f>IFERROR(__xludf.DUMMYFUNCTION("""COMPUTED_VALUE"""),7.57153589828E11)</f>
        <v>757153589828</v>
      </c>
      <c r="C193" s="5" t="str">
        <f>IFERROR(__xludf.DUMMYFUNCTION("""COMPUTED_VALUE"""),"كرستين مراد")</f>
        <v>كرستين مراد</v>
      </c>
      <c r="D193" s="30" t="str">
        <f>IFERROR(__xludf.DUMMYFUNCTION("""COMPUTED_VALUE"""),"2066")</f>
        <v>2066</v>
      </c>
      <c r="E193" s="5" t="str">
        <f>IFERROR(__xludf.DUMMYFUNCTION("""COMPUTED_VALUE"""),"EG04-EG05-EG06")</f>
        <v>EG04-EG05-EG06</v>
      </c>
      <c r="F193" s="5" t="str">
        <f>IFERROR(__xludf.DUMMYFUNCTION("""COMPUTED_VALUE"""),"christinemourad6@gmail.com")</f>
        <v>christinemourad6@gmail.com</v>
      </c>
      <c r="G193" s="5" t="str">
        <f>IFERROR(__xludf.DUMMYFUNCTION("""COMPUTED_VALUE"""),"01202636991")</f>
        <v>01202636991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tr">
        <f>IFERROR(__xludf.DUMMYFUNCTION("""COMPUTED_VALUE"""),"محمود علاء")</f>
        <v>محمود علاء</v>
      </c>
      <c r="B194" s="5">
        <f>IFERROR(__xludf.DUMMYFUNCTION("""COMPUTED_VALUE"""),2.83104384369E11)</f>
        <v>283104384369</v>
      </c>
      <c r="C194" s="5" t="str">
        <f>IFERROR(__xludf.DUMMYFUNCTION("""COMPUTED_VALUE"""),"محمود علاء")</f>
        <v>محمود علاء</v>
      </c>
      <c r="D194" s="30" t="str">
        <f>IFERROR(__xludf.DUMMYFUNCTION("""COMPUTED_VALUE"""),"2083")</f>
        <v>2083</v>
      </c>
      <c r="E194" s="5"/>
      <c r="F194" s="5" t="str">
        <f>IFERROR(__xludf.DUMMYFUNCTION("""COMPUTED_VALUE"""),"mahmoud.mohameed26@gmail.com")</f>
        <v>mahmoud.mohameed26@gmail.com</v>
      </c>
      <c r="G194" s="5" t="str">
        <f>IFERROR(__xludf.DUMMYFUNCTION("""COMPUTED_VALUE"""),"01006764019")</f>
        <v>01006764019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tr">
        <f>IFERROR(__xludf.DUMMYFUNCTION("""COMPUTED_VALUE"""),"أحمد داود")</f>
        <v>أحمد داود</v>
      </c>
      <c r="B195" s="5">
        <f>IFERROR(__xludf.DUMMYFUNCTION("""COMPUTED_VALUE"""),9.64127341684E11)</f>
        <v>964127341684</v>
      </c>
      <c r="C195" s="5" t="str">
        <f>IFERROR(__xludf.DUMMYFUNCTION("""COMPUTED_VALUE"""),"أحمد داود")</f>
        <v>أحمد داود</v>
      </c>
      <c r="D195" s="30" t="str">
        <f>IFERROR(__xludf.DUMMYFUNCTION("""COMPUTED_VALUE"""),"2071")</f>
        <v>2071</v>
      </c>
      <c r="E195" s="5"/>
      <c r="F195" s="5" t="str">
        <f>IFERROR(__xludf.DUMMYFUNCTION("""COMPUTED_VALUE"""),"dream201037@gmail.com")</f>
        <v>dream201037@gmail.com</v>
      </c>
      <c r="G195" s="5" t="str">
        <f>IFERROR(__xludf.DUMMYFUNCTION("""COMPUTED_VALUE"""),"01550085874")</f>
        <v>01550085874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tr">
        <f>IFERROR(__xludf.DUMMYFUNCTION("""COMPUTED_VALUE"""),"أحمد الشرقاوي")</f>
        <v>أحمد الشرقاوي</v>
      </c>
      <c r="B196" s="5">
        <f>IFERROR(__xludf.DUMMYFUNCTION("""COMPUTED_VALUE"""),1.48160160523E11)</f>
        <v>148160160523</v>
      </c>
      <c r="C196" s="5" t="str">
        <f>IFERROR(__xludf.DUMMYFUNCTION("""COMPUTED_VALUE"""),"أحمد الشرقاوي")</f>
        <v>أحمد الشرقاوي</v>
      </c>
      <c r="D196" s="5" t="str">
        <f>IFERROR(__xludf.DUMMYFUNCTION("""COMPUTED_VALUE"""),"2068")</f>
        <v>2068</v>
      </c>
      <c r="E196" s="5"/>
      <c r="F196" s="5" t="str">
        <f>IFERROR(__xludf.DUMMYFUNCTION("""COMPUTED_VALUE"""),"mogeograpgic@gmail.com")</f>
        <v>mogeograpgic@gmail.com</v>
      </c>
      <c r="G196" s="5">
        <f>IFERROR(__xludf.DUMMYFUNCTION("""COMPUTED_VALUE"""),1.14469709E9)</f>
        <v>1144697090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tr">
        <f>IFERROR(__xludf.DUMMYFUNCTION("""COMPUTED_VALUE"""),"بسيوني مسعد")</f>
        <v>بسيوني مسعد</v>
      </c>
      <c r="B197" s="5">
        <f>IFERROR(__xludf.DUMMYFUNCTION("""COMPUTED_VALUE"""),4.35127547073E11)</f>
        <v>435127547073</v>
      </c>
      <c r="C197" s="5" t="str">
        <f>IFERROR(__xludf.DUMMYFUNCTION("""COMPUTED_VALUE"""),"بسيوني مسعد")</f>
        <v>بسيوني مسعد</v>
      </c>
      <c r="D197" s="30" t="str">
        <f>IFERROR(__xludf.DUMMYFUNCTION("""COMPUTED_VALUE"""),"2086")</f>
        <v>2086</v>
      </c>
      <c r="E197" s="5"/>
      <c r="F197" s="5" t="str">
        <f>IFERROR(__xludf.DUMMYFUNCTION("""COMPUTED_VALUE"""),"bassiouny3311@gmail.com")</f>
        <v>bassiouny3311@gmail.com</v>
      </c>
      <c r="G197" s="5" t="str">
        <f>IFERROR(__xludf.DUMMYFUNCTION("""COMPUTED_VALUE"""),"+201147654033")</f>
        <v>+201147654033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tr">
        <f>IFERROR(__xludf.DUMMYFUNCTION("""COMPUTED_VALUE"""),"نادر وجدي")</f>
        <v>نادر وجدي</v>
      </c>
      <c r="B198" s="5">
        <f>IFERROR(__xludf.DUMMYFUNCTION("""COMPUTED_VALUE"""),3.72149691918E11)</f>
        <v>372149691918</v>
      </c>
      <c r="C198" s="5" t="str">
        <f>IFERROR(__xludf.DUMMYFUNCTION("""COMPUTED_VALUE"""),"نادر وجدي")</f>
        <v>نادر وجدي</v>
      </c>
      <c r="D198" s="30" t="str">
        <f>IFERROR(__xludf.DUMMYFUNCTION("""COMPUTED_VALUE"""),"2084")</f>
        <v>2084</v>
      </c>
      <c r="E198" s="5"/>
      <c r="F198" s="5" t="str">
        <f>IFERROR(__xludf.DUMMYFUNCTION("""COMPUTED_VALUE"""),"naderwagdy666@gmail.com")</f>
        <v>naderwagdy666@gmail.com</v>
      </c>
      <c r="G198" s="5" t="str">
        <f>IFERROR(__xludf.DUMMYFUNCTION("""COMPUTED_VALUE"""),"01280490085")</f>
        <v>01280490085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tr">
        <f>IFERROR(__xludf.DUMMYFUNCTION("""COMPUTED_VALUE"""),"نور علام")</f>
        <v>نور علام</v>
      </c>
      <c r="B199" s="5">
        <f>IFERROR(__xludf.DUMMYFUNCTION("""COMPUTED_VALUE"""),4.82158476754E11)</f>
        <v>482158476754</v>
      </c>
      <c r="C199" s="5" t="str">
        <f>IFERROR(__xludf.DUMMYFUNCTION("""COMPUTED_VALUE"""),"نور علام")</f>
        <v>نور علام</v>
      </c>
      <c r="D199" s="5" t="str">
        <f>IFERROR(__xludf.DUMMYFUNCTION("""COMPUTED_VALUE"""),"#N/A")</f>
        <v>#N/A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tr">
        <f>IFERROR(__xludf.DUMMYFUNCTION("""COMPUTED_VALUE"""),"إبراهيم طارق")</f>
        <v>إبراهيم طارق</v>
      </c>
      <c r="B200" s="5">
        <f>IFERROR(__xludf.DUMMYFUNCTION("""COMPUTED_VALUE"""),3.76107598539E11)</f>
        <v>376107598539</v>
      </c>
      <c r="C200" s="5" t="str">
        <f>IFERROR(__xludf.DUMMYFUNCTION("""COMPUTED_VALUE"""),"إبراهيم طارق")</f>
        <v>إبراهيم طارق</v>
      </c>
      <c r="D200" s="30" t="str">
        <f>IFERROR(__xludf.DUMMYFUNCTION("""COMPUTED_VALUE"""),"2092")</f>
        <v>2092</v>
      </c>
      <c r="E200" s="5" t="str">
        <f>IFERROR(__xludf.DUMMYFUNCTION("""COMPUTED_VALUE"""),"EG01-EG02-EG03-EG04-EG05-EG06")</f>
        <v>EG01-EG02-EG03-EG04-EG05-EG06</v>
      </c>
      <c r="F200" s="5" t="str">
        <f>IFERROR(__xludf.DUMMYFUNCTION("""COMPUTED_VALUE"""),"ibrahimtarek1412@gmail.com")</f>
        <v>ibrahimtarek1412@gmail.com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tr">
        <f>IFERROR(__xludf.DUMMYFUNCTION("""COMPUTED_VALUE"""),"أحمد سالم")</f>
        <v>أحمد سالم</v>
      </c>
      <c r="B201" s="5">
        <f>IFERROR(__xludf.DUMMYFUNCTION("""COMPUTED_VALUE"""),9.72182920695E11)</f>
        <v>972182920695</v>
      </c>
      <c r="C201" s="5" t="str">
        <f>IFERROR(__xludf.DUMMYFUNCTION("""COMPUTED_VALUE"""),"أحمد سالم")</f>
        <v>أحمد سالم</v>
      </c>
      <c r="D201" s="30" t="str">
        <f>IFERROR(__xludf.DUMMYFUNCTION("""COMPUTED_VALUE"""),"1137")</f>
        <v>1137</v>
      </c>
      <c r="E201" s="5" t="str">
        <f>IFERROR(__xludf.DUMMYFUNCTION("""COMPUTED_VALUE"""),"EG04-EG05-EG06-EG07-EG08-EG09-EG10-EG11-EG12")</f>
        <v>EG04-EG05-EG06-EG07-EG08-EG09-EG10-EG11-EG12</v>
      </c>
      <c r="F201" s="5" t="str">
        <f>IFERROR(__xludf.DUMMYFUNCTION("""COMPUTED_VALUE"""),"ahmedsalem6060@gmail.com")</f>
        <v>ahmedsalem6060@gmail.com</v>
      </c>
      <c r="G201" s="5" t="str">
        <f>IFERROR(__xludf.DUMMYFUNCTION("""COMPUTED_VALUE"""),"01143409562")</f>
        <v>01143409562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tr">
        <f>IFERROR(__xludf.DUMMYFUNCTION("""COMPUTED_VALUE"""),"ماريا ماجد")</f>
        <v>ماريا ماجد</v>
      </c>
      <c r="B202" s="5">
        <f>IFERROR(__xludf.DUMMYFUNCTION("""COMPUTED_VALUE"""),1.07149593948E11)</f>
        <v>107149593948</v>
      </c>
      <c r="C202" s="5" t="str">
        <f>IFERROR(__xludf.DUMMYFUNCTION("""COMPUTED_VALUE"""),"ماريا ماجد")</f>
        <v>ماريا ماجد</v>
      </c>
      <c r="D202" s="5">
        <f>IFERROR(__xludf.DUMMYFUNCTION("""COMPUTED_VALUE"""),2095.0)</f>
        <v>2095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tr">
        <f>IFERROR(__xludf.DUMMYFUNCTION("""COMPUTED_VALUE"""),"محمد سالم")</f>
        <v>محمد سالم</v>
      </c>
      <c r="B203" s="5">
        <f>IFERROR(__xludf.DUMMYFUNCTION("""COMPUTED_VALUE"""),7.09139503259E11)</f>
        <v>709139503259</v>
      </c>
      <c r="C203" s="5" t="str">
        <f>IFERROR(__xludf.DUMMYFUNCTION("""COMPUTED_VALUE"""),"محمد سالم")</f>
        <v>محمد سالم</v>
      </c>
      <c r="D203" s="5">
        <f>IFERROR(__xludf.DUMMYFUNCTION("""COMPUTED_VALUE"""),2096.0)</f>
        <v>2096</v>
      </c>
      <c r="E203" s="5" t="str">
        <f>IFERROR(__xludf.DUMMYFUNCTION("""COMPUTED_VALUE"""),"EG10-EG11-G12")</f>
        <v>EG10-EG11-G12</v>
      </c>
      <c r="F203" s="5" t="str">
        <f>IFERROR(__xludf.DUMMYFUNCTION("""COMPUTED_VALUE"""),"korashy.1411@gmail.com")</f>
        <v>korashy.1411@gmail.com</v>
      </c>
      <c r="G203" s="5" t="str">
        <f>IFERROR(__xludf.DUMMYFUNCTION("""COMPUTED_VALUE"""),"01126633295")</f>
        <v>01126633295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tr">
        <f>IFERROR(__xludf.DUMMYFUNCTION("""COMPUTED_VALUE"""),"تريزا نجيب")</f>
        <v>تريزا نجيب</v>
      </c>
      <c r="B204" s="5">
        <f>IFERROR(__xludf.DUMMYFUNCTION("""COMPUTED_VALUE"""),7.69151943943E11)</f>
        <v>769151943943</v>
      </c>
      <c r="C204" s="5" t="str">
        <f>IFERROR(__xludf.DUMMYFUNCTION("""COMPUTED_VALUE"""),"تريزا نجيب")</f>
        <v>تريزا نجيب</v>
      </c>
      <c r="D204" s="30" t="str">
        <f>IFERROR(__xludf.DUMMYFUNCTION("""COMPUTED_VALUE"""),"2098")</f>
        <v>2098</v>
      </c>
      <c r="E204" s="5" t="str">
        <f>IFERROR(__xludf.DUMMYFUNCTION("""COMPUTED_VALUE"""),"EG04-EG05-EG06-EG07-EG08-EG09")</f>
        <v>EG04-EG05-EG06-EG07-EG08-EG09</v>
      </c>
      <c r="F204" s="5" t="str">
        <f>IFERROR(__xludf.DUMMYFUNCTION("""COMPUTED_VALUE"""),"theresanaguib84@gmail.com")</f>
        <v>theresanaguib84@gmail.com</v>
      </c>
      <c r="G204" s="5" t="str">
        <f>IFERROR(__xludf.DUMMYFUNCTION("""COMPUTED_VALUE"""),"01272245620")</f>
        <v>01272245620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tr">
        <f>IFERROR(__xludf.DUMMYFUNCTION("""COMPUTED_VALUE"""),"شروق أمين")</f>
        <v>شروق أمين</v>
      </c>
      <c r="B205" s="5">
        <f>IFERROR(__xludf.DUMMYFUNCTION("""COMPUTED_VALUE"""),7.85160848368E11)</f>
        <v>785160848368</v>
      </c>
      <c r="C205" s="5" t="str">
        <f>IFERROR(__xludf.DUMMYFUNCTION("""COMPUTED_VALUE"""),"شروق أمين")</f>
        <v>شروق أمين</v>
      </c>
      <c r="D205" s="5" t="str">
        <f>IFERROR(__xludf.DUMMYFUNCTION("""COMPUTED_VALUE"""),"#N/A")</f>
        <v>#N/A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tr">
        <f>IFERROR(__xludf.DUMMYFUNCTION("""COMPUTED_VALUE"""),"ماهينور توفيق")</f>
        <v>ماهينور توفيق</v>
      </c>
      <c r="B206" s="5">
        <f>IFERROR(__xludf.DUMMYFUNCTION("""COMPUTED_VALUE"""),9.56195390908E11)</f>
        <v>956195390908</v>
      </c>
      <c r="C206" s="5" t="str">
        <f>IFERROR(__xludf.DUMMYFUNCTION("""COMPUTED_VALUE"""),"ماهينور توفيق")</f>
        <v>ماهينور توفيق</v>
      </c>
      <c r="D206" s="5" t="str">
        <f>IFERROR(__xludf.DUMMYFUNCTION("""COMPUTED_VALUE"""),"#N/A")</f>
        <v>#N/A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tr">
        <f>IFERROR(__xludf.DUMMYFUNCTION("""COMPUTED_VALUE"""),"هبة عبد الحميد")</f>
        <v>هبة عبد الحميد</v>
      </c>
      <c r="B207" s="5">
        <f>IFERROR(__xludf.DUMMYFUNCTION("""COMPUTED_VALUE"""),6.03187625747E11)</f>
        <v>603187625747</v>
      </c>
      <c r="C207" s="5" t="str">
        <f>IFERROR(__xludf.DUMMYFUNCTION("""COMPUTED_VALUE"""),"هبة عبد الحميد")</f>
        <v>هبة عبد الحميد</v>
      </c>
      <c r="D207" s="30" t="str">
        <f>IFERROR(__xludf.DUMMYFUNCTION("""COMPUTED_VALUE"""),"2103")</f>
        <v>2103</v>
      </c>
      <c r="E207" s="5"/>
      <c r="F207" s="5" t="str">
        <f>IFERROR(__xludf.DUMMYFUNCTION("""COMPUTED_VALUE"""),"heba.abdelhameed99@gmail.com")</f>
        <v>heba.abdelhameed99@gmail.com</v>
      </c>
      <c r="G207" s="5" t="str">
        <f>IFERROR(__xludf.DUMMYFUNCTION("""COMPUTED_VALUE"""),"01126571109")</f>
        <v>01126571109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tr">
        <f>IFERROR(__xludf.DUMMYFUNCTION("""COMPUTED_VALUE"""),"إبراهيم رشدي")</f>
        <v>إبراهيم رشدي</v>
      </c>
      <c r="B208" s="5">
        <f>IFERROR(__xludf.DUMMYFUNCTION("""COMPUTED_VALUE"""),3.5718168484E11)</f>
        <v>357181684840</v>
      </c>
      <c r="C208" s="5" t="str">
        <f>IFERROR(__xludf.DUMMYFUNCTION("""COMPUTED_VALUE"""),"إبراهيم رشدي")</f>
        <v>إبراهيم رشدي</v>
      </c>
      <c r="D208" s="30" t="str">
        <f>IFERROR(__xludf.DUMMYFUNCTION("""COMPUTED_VALUE"""),"2104")</f>
        <v>2104</v>
      </c>
      <c r="E208" s="5" t="str">
        <f>IFERROR(__xludf.DUMMYFUNCTION("""COMPUTED_VALUE"""),"EG04-EG05-EG06-EG07-EG08-EG09")</f>
        <v>EG04-EG05-EG06-EG07-EG08-EG09</v>
      </c>
      <c r="F208" s="5" t="str">
        <f>IFERROR(__xludf.DUMMYFUNCTION("""COMPUTED_VALUE"""),"ibrahimroshdy20202021@gmail.com")</f>
        <v>ibrahimroshdy20202021@gmail.com</v>
      </c>
      <c r="G208" s="5" t="str">
        <f>IFERROR(__xludf.DUMMYFUNCTION("""COMPUTED_VALUE"""),"01092350359")</f>
        <v>01092350359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tr">
        <f>IFERROR(__xludf.DUMMYFUNCTION("""COMPUTED_VALUE"""),"زكي سعيد")</f>
        <v>زكي سعيد</v>
      </c>
      <c r="B209" s="5">
        <f>IFERROR(__xludf.DUMMYFUNCTION("""COMPUTED_VALUE"""),4.24154524098E11)</f>
        <v>424154524098</v>
      </c>
      <c r="C209" s="5" t="str">
        <f>IFERROR(__xludf.DUMMYFUNCTION("""COMPUTED_VALUE"""),"زكي سعيد")</f>
        <v>زكي سعيد</v>
      </c>
      <c r="D209" s="30" t="str">
        <f>IFERROR(__xludf.DUMMYFUNCTION("""COMPUTED_VALUE"""),"2135")</f>
        <v>2135</v>
      </c>
      <c r="E209" s="5"/>
      <c r="F209" s="5" t="str">
        <f>IFERROR(__xludf.DUMMYFUNCTION("""COMPUTED_VALUE"""),"zakisaeedfrs@gmail.com")</f>
        <v>zakisaeedfrs@gmail.com</v>
      </c>
      <c r="G209" s="5" t="str">
        <f>IFERROR(__xludf.DUMMYFUNCTION("""COMPUTED_VALUE"""),"01202812574")</f>
        <v>01202812574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tr">
        <f>IFERROR(__xludf.DUMMYFUNCTION("""COMPUTED_VALUE"""),"عبد الله أحمد")</f>
        <v>عبد الله أحمد</v>
      </c>
      <c r="B210" s="5">
        <f>IFERROR(__xludf.DUMMYFUNCTION("""COMPUTED_VALUE"""),4.92152627064E11)</f>
        <v>492152627064</v>
      </c>
      <c r="C210" s="5" t="str">
        <f>IFERROR(__xludf.DUMMYFUNCTION("""COMPUTED_VALUE"""),"عبد الله أحمد")</f>
        <v>عبد الله أحمد</v>
      </c>
      <c r="D210" s="30" t="str">
        <f>IFERROR(__xludf.DUMMYFUNCTION("""COMPUTED_VALUE"""),"2134")</f>
        <v>2134</v>
      </c>
      <c r="E210" s="5"/>
      <c r="F210" s="5" t="str">
        <f>IFERROR(__xludf.DUMMYFUNCTION("""COMPUTED_VALUE"""),"abdo.gemy5@gmail.com")</f>
        <v>abdo.gemy5@gmail.com</v>
      </c>
      <c r="G210" s="5" t="str">
        <f>IFERROR(__xludf.DUMMYFUNCTION("""COMPUTED_VALUE"""),"01126147349")</f>
        <v>01126147349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tr">
        <f>IFERROR(__xludf.DUMMYFUNCTION("""COMPUTED_VALUE"""),"إسلام زيان")</f>
        <v>إسلام زيان</v>
      </c>
      <c r="B211" s="5">
        <f>IFERROR(__xludf.DUMMYFUNCTION("""COMPUTED_VALUE"""),6.17175650841E11)</f>
        <v>617175650841</v>
      </c>
      <c r="C211" s="5" t="str">
        <f>IFERROR(__xludf.DUMMYFUNCTION("""COMPUTED_VALUE"""),"إسلام زيان")</f>
        <v>إسلام زيان</v>
      </c>
      <c r="D211" s="30" t="str">
        <f>IFERROR(__xludf.DUMMYFUNCTION("""COMPUTED_VALUE"""),"2136")</f>
        <v>2136</v>
      </c>
      <c r="E211" s="5" t="str">
        <f>IFERROR(__xludf.DUMMYFUNCTION("""COMPUTED_VALUE"""),"EG08-EG09-EG10-EG11-EG12")</f>
        <v>EG08-EG09-EG10-EG11-EG12</v>
      </c>
      <c r="F211" s="5" t="str">
        <f>IFERROR(__xludf.DUMMYFUNCTION("""COMPUTED_VALUE"""),"islamzayan2333@gmail.com")</f>
        <v>islamzayan2333@gmail.com</v>
      </c>
      <c r="G211" s="5" t="str">
        <f>IFERROR(__xludf.DUMMYFUNCTION("""COMPUTED_VALUE"""),"01012793634")</f>
        <v>01012793634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tr">
        <f>IFERROR(__xludf.DUMMYFUNCTION("""COMPUTED_VALUE"""),"سارة هشام")</f>
        <v>سارة هشام</v>
      </c>
      <c r="B212" s="5">
        <f>IFERROR(__xludf.DUMMYFUNCTION("""COMPUTED_VALUE"""),5.0210389689E11)</f>
        <v>502103896890</v>
      </c>
      <c r="C212" s="5" t="str">
        <f>IFERROR(__xludf.DUMMYFUNCTION("""COMPUTED_VALUE"""),"سارة هشام")</f>
        <v>سارة هشام</v>
      </c>
      <c r="D212" s="30" t="str">
        <f>IFERROR(__xludf.DUMMYFUNCTION("""COMPUTED_VALUE"""),"2138")</f>
        <v>2138</v>
      </c>
      <c r="E212" s="5" t="str">
        <f>IFERROR(__xludf.DUMMYFUNCTION("""COMPUTED_VALUE"""),"EG04-EG05")</f>
        <v>EG04-EG05</v>
      </c>
      <c r="F212" s="5" t="str">
        <f>IFERROR(__xludf.DUMMYFUNCTION("""COMPUTED_VALUE"""),"sarahhesham7777@gmail.com")</f>
        <v>sarahhesham7777@gmail.com</v>
      </c>
      <c r="G212" s="5" t="str">
        <f>IFERROR(__xludf.DUMMYFUNCTION("""COMPUTED_VALUE"""),"01024197640")</f>
        <v>01024197640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tr">
        <f>IFERROR(__xludf.DUMMYFUNCTION("""COMPUTED_VALUE"""),"سمر هريدي")</f>
        <v>سمر هريدي</v>
      </c>
      <c r="B213" s="5">
        <f>IFERROR(__xludf.DUMMYFUNCTION("""COMPUTED_VALUE"""),1.2817528506E11)</f>
        <v>128175285060</v>
      </c>
      <c r="C213" s="5" t="str">
        <f>IFERROR(__xludf.DUMMYFUNCTION("""COMPUTED_VALUE"""),"سمر هريدي")</f>
        <v>سمر هريدي</v>
      </c>
      <c r="D213" s="30" t="str">
        <f>IFERROR(__xludf.DUMMYFUNCTION("""COMPUTED_VALUE"""),"2145")</f>
        <v>2145</v>
      </c>
      <c r="E213" s="5"/>
      <c r="F213" s="5" t="str">
        <f>IFERROR(__xludf.DUMMYFUNCTION("""COMPUTED_VALUE"""),"laprofe1307@gmail.com")</f>
        <v>laprofe1307@gmail.com</v>
      </c>
      <c r="G213" s="5" t="str">
        <f>IFERROR(__xludf.DUMMYFUNCTION("""COMPUTED_VALUE"""),"01066912056")</f>
        <v>01066912056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tr">
        <f>IFERROR(__xludf.DUMMYFUNCTION("""COMPUTED_VALUE"""),"الطيب الطاهر")</f>
        <v>الطيب الطاهر</v>
      </c>
      <c r="B214" s="5">
        <f>IFERROR(__xludf.DUMMYFUNCTION("""COMPUTED_VALUE"""),5.2410307803E11)</f>
        <v>524103078030</v>
      </c>
      <c r="C214" s="5" t="str">
        <f>IFERROR(__xludf.DUMMYFUNCTION("""COMPUTED_VALUE"""),"الطيب الطاهر")</f>
        <v>الطيب الطاهر</v>
      </c>
      <c r="D214" s="30" t="str">
        <f>IFERROR(__xludf.DUMMYFUNCTION("""COMPUTED_VALUE"""),"2120")</f>
        <v>2120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tr">
        <f>IFERROR(__xludf.DUMMYFUNCTION("""COMPUTED_VALUE"""),"منة جلال")</f>
        <v>منة جلال</v>
      </c>
      <c r="B215" s="5">
        <f>IFERROR(__xludf.DUMMYFUNCTION("""COMPUTED_VALUE"""),8.02195734191E11)</f>
        <v>802195734191</v>
      </c>
      <c r="C215" s="5" t="str">
        <f>IFERROR(__xludf.DUMMYFUNCTION("""COMPUTED_VALUE"""),"منة جلال")</f>
        <v>منة جلال</v>
      </c>
      <c r="D215" s="5" t="str">
        <f>IFERROR(__xludf.DUMMYFUNCTION("""COMPUTED_VALUE"""),"#N/A")</f>
        <v>#N/A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tr">
        <f>IFERROR(__xludf.DUMMYFUNCTION("""COMPUTED_VALUE"""),"أماني السيد")</f>
        <v>أماني السيد</v>
      </c>
      <c r="B216" s="5">
        <f>IFERROR(__xludf.DUMMYFUNCTION("""COMPUTED_VALUE"""),6.37175861357E11)</f>
        <v>637175861357</v>
      </c>
      <c r="C216" s="5" t="str">
        <f>IFERROR(__xludf.DUMMYFUNCTION("""COMPUTED_VALUE"""),"أماني السيد")</f>
        <v>أماني السيد</v>
      </c>
      <c r="D216" s="30" t="str">
        <f>IFERROR(__xludf.DUMMYFUNCTION("""COMPUTED_VALUE"""),"2144")</f>
        <v>2144</v>
      </c>
      <c r="E216" s="5" t="str">
        <f>IFERROR(__xludf.DUMMYFUNCTION("""COMPUTED_VALUE"""),"EG03-EG04-EG05-EG06")</f>
        <v>EG03-EG04-EG05-EG06</v>
      </c>
      <c r="F216" s="5" t="str">
        <f>IFERROR(__xludf.DUMMYFUNCTION("""COMPUTED_VALUE"""),"amanyelsayed808@gmail.com")</f>
        <v>amanyelsayed808@gmail.com</v>
      </c>
      <c r="G216" s="5" t="str">
        <f>IFERROR(__xludf.DUMMYFUNCTION("""COMPUTED_VALUE"""),"01008649576")</f>
        <v>01008649576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tr">
        <f>IFERROR(__xludf.DUMMYFUNCTION("""COMPUTED_VALUE"""),"محمد هاني")</f>
        <v>محمد هاني</v>
      </c>
      <c r="B217" s="5">
        <f>IFERROR(__xludf.DUMMYFUNCTION("""COMPUTED_VALUE"""),9.64165080713E11)</f>
        <v>964165080713</v>
      </c>
      <c r="C217" s="5" t="str">
        <f>IFERROR(__xludf.DUMMYFUNCTION("""COMPUTED_VALUE"""),"محمد هاني")</f>
        <v>محمد هاني</v>
      </c>
      <c r="D217" s="30" t="str">
        <f>IFERROR(__xludf.DUMMYFUNCTION("""COMPUTED_VALUE"""),"2152")</f>
        <v>2152</v>
      </c>
      <c r="E217" s="5" t="str">
        <f>IFERROR(__xludf.DUMMYFUNCTION("""COMPUTED_VALUE"""),"EG10-EG11-G12")</f>
        <v>EG10-EG11-G12</v>
      </c>
      <c r="F217" s="5" t="str">
        <f>IFERROR(__xludf.DUMMYFUNCTION("""COMPUTED_VALUE"""),"muhmdhanii@gmail.com")</f>
        <v>muhmdhanii@gmail.com</v>
      </c>
      <c r="G217" s="5" t="str">
        <f>IFERROR(__xludf.DUMMYFUNCTION("""COMPUTED_VALUE"""),"01555776125")</f>
        <v>01555776125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tr">
        <f>IFERROR(__xludf.DUMMYFUNCTION("""COMPUTED_VALUE"""),"أحمد السيد")</f>
        <v>أحمد السيد</v>
      </c>
      <c r="B218" s="5">
        <f>IFERROR(__xludf.DUMMYFUNCTION("""COMPUTED_VALUE"""),1.59132748372E11)</f>
        <v>159132748372</v>
      </c>
      <c r="C218" s="5" t="str">
        <f>IFERROR(__xludf.DUMMYFUNCTION("""COMPUTED_VALUE"""),"أحمد السيد")</f>
        <v>أحمد السيد</v>
      </c>
      <c r="D218" s="5">
        <f>IFERROR(__xludf.DUMMYFUNCTION("""COMPUTED_VALUE"""),2679.0)</f>
        <v>2679</v>
      </c>
      <c r="E218" s="5" t="str">
        <f>IFERROR(__xludf.DUMMYFUNCTION("""COMPUTED_VALUE"""),"EG07-EG08-EG09")</f>
        <v>EG07-EG08-EG09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tr">
        <f>IFERROR(__xludf.DUMMYFUNCTION("""COMPUTED_VALUE"""),"رافد سلمان")</f>
        <v>رافد سلمان</v>
      </c>
      <c r="B219" s="5">
        <f>IFERROR(__xludf.DUMMYFUNCTION("""COMPUTED_VALUE"""),1.62140810204E11)</f>
        <v>162140810204</v>
      </c>
      <c r="C219" s="5" t="str">
        <f>IFERROR(__xludf.DUMMYFUNCTION("""COMPUTED_VALUE"""),"رافد سلمان")</f>
        <v>رافد سلمان</v>
      </c>
      <c r="D219" s="30" t="str">
        <f>IFERROR(__xludf.DUMMYFUNCTION("""COMPUTED_VALUE"""),"2153")</f>
        <v>2153</v>
      </c>
      <c r="E219" s="5"/>
      <c r="F219" s="5" t="str">
        <f>IFERROR(__xludf.DUMMYFUNCTION("""COMPUTED_VALUE"""),"der7afer@gmail.com")</f>
        <v>der7afer@gmail.com</v>
      </c>
      <c r="G219" s="5" t="str">
        <f>IFERROR(__xludf.DUMMYFUNCTION("""COMPUTED_VALUE"""),"01145433963")</f>
        <v>01145433963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tr">
        <f>IFERROR(__xludf.DUMMYFUNCTION("""COMPUTED_VALUE"""),"رضوى البرقوقي")</f>
        <v>رضوى البرقوقي</v>
      </c>
      <c r="B220" s="5">
        <f>IFERROR(__xludf.DUMMYFUNCTION("""COMPUTED_VALUE"""),9.28120793742E11)</f>
        <v>928120793742</v>
      </c>
      <c r="C220" s="5" t="str">
        <f>IFERROR(__xludf.DUMMYFUNCTION("""COMPUTED_VALUE"""),"رضوى البرقوقي")</f>
        <v>رضوى البرقوقي</v>
      </c>
      <c r="D220" s="30" t="str">
        <f>IFERROR(__xludf.DUMMYFUNCTION("""COMPUTED_VALUE"""),"2156")</f>
        <v>2156</v>
      </c>
      <c r="E220" s="5"/>
      <c r="F220" s="5" t="str">
        <f>IFERROR(__xludf.DUMMYFUNCTION("""COMPUTED_VALUE"""),"radwa1511@gmail.com")</f>
        <v>radwa1511@gmail.com</v>
      </c>
      <c r="G220" s="5" t="str">
        <f>IFERROR(__xludf.DUMMYFUNCTION("""COMPUTED_VALUE"""),"01118060999")</f>
        <v>01118060999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tr">
        <f>IFERROR(__xludf.DUMMYFUNCTION("""COMPUTED_VALUE"""),"أحمد سيف")</f>
        <v>أحمد سيف</v>
      </c>
      <c r="B221" s="5">
        <f>IFERROR(__xludf.DUMMYFUNCTION("""COMPUTED_VALUE"""),1.87120348783E11)</f>
        <v>187120348783</v>
      </c>
      <c r="C221" s="5" t="str">
        <f>IFERROR(__xludf.DUMMYFUNCTION("""COMPUTED_VALUE"""),"أحمد سيف")</f>
        <v>أحمد سيف</v>
      </c>
      <c r="D221" s="30" t="str">
        <f>IFERROR(__xludf.DUMMYFUNCTION("""COMPUTED_VALUE"""),"2085")</f>
        <v>2085</v>
      </c>
      <c r="E221" s="5"/>
      <c r="F221" s="5" t="str">
        <f>IFERROR(__xludf.DUMMYFUNCTION("""COMPUTED_VALUE"""),"t.ahmedseif@yahoo.com")</f>
        <v>t.ahmedseif@yahoo.com</v>
      </c>
      <c r="G221" s="5" t="str">
        <f>IFERROR(__xludf.DUMMYFUNCTION("""COMPUTED_VALUE"""),"01006792787")</f>
        <v>01006792787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tr">
        <f>IFERROR(__xludf.DUMMYFUNCTION("""COMPUTED_VALUE"""),"أشرف يوسف")</f>
        <v>أشرف يوسف</v>
      </c>
      <c r="B222" s="5">
        <f>IFERROR(__xludf.DUMMYFUNCTION("""COMPUTED_VALUE"""),1.3418642641E11)</f>
        <v>134186426410</v>
      </c>
      <c r="C222" s="5" t="str">
        <f>IFERROR(__xludf.DUMMYFUNCTION("""COMPUTED_VALUE"""),"أشرف يوسف")</f>
        <v>أشرف يوسف</v>
      </c>
      <c r="D222" s="5">
        <f>IFERROR(__xludf.DUMMYFUNCTION("""COMPUTED_VALUE"""),2046.0)</f>
        <v>2046</v>
      </c>
      <c r="E222" s="5" t="str">
        <f>IFERROR(__xludf.DUMMYFUNCTION("""COMPUTED_VALUE"""),"EG07-EG08-EG09")</f>
        <v>EG07-EG08-EG09</v>
      </c>
      <c r="F222" s="5" t="str">
        <f>IFERROR(__xludf.DUMMYFUNCTION("""COMPUTED_VALUE"""),"a0112020620@gmail.com")</f>
        <v>a0112020620@gmail.com</v>
      </c>
      <c r="G222" s="5" t="str">
        <f>IFERROR(__xludf.DUMMYFUNCTION("""COMPUTED_VALUE"""),"01224567255")</f>
        <v>01224567255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tr">
        <f>IFERROR(__xludf.DUMMYFUNCTION("""COMPUTED_VALUE"""),"محمد يحيى")</f>
        <v>محمد يحيى</v>
      </c>
      <c r="B223" s="5">
        <f>IFERROR(__xludf.DUMMYFUNCTION("""COMPUTED_VALUE"""),6.57126746527E11)</f>
        <v>657126746527</v>
      </c>
      <c r="C223" s="5" t="str">
        <f>IFERROR(__xludf.DUMMYFUNCTION("""COMPUTED_VALUE"""),"محمد يحيى")</f>
        <v>محمد يحيى</v>
      </c>
      <c r="D223" s="30" t="str">
        <f>IFERROR(__xludf.DUMMYFUNCTION("""COMPUTED_VALUE"""),"2257")</f>
        <v>2257</v>
      </c>
      <c r="E223" s="5"/>
      <c r="F223" s="5" t="str">
        <f>IFERROR(__xludf.DUMMYFUNCTION("""COMPUTED_VALUE"""),"mohamedyahya1921@gmail.com")</f>
        <v>mohamedyahya1921@gmail.com</v>
      </c>
      <c r="G223" s="5" t="str">
        <f>IFERROR(__xludf.DUMMYFUNCTION("""COMPUTED_VALUE"""),"01013531223 - 01123214248")</f>
        <v>01013531223 - 01123214248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tr">
        <f>IFERROR(__xludf.DUMMYFUNCTION("""COMPUTED_VALUE"""),"نورا جادو")</f>
        <v>نورا جادو</v>
      </c>
      <c r="B224" s="5">
        <f>IFERROR(__xludf.DUMMYFUNCTION("""COMPUTED_VALUE"""),7.94135291842E11)</f>
        <v>794135291842</v>
      </c>
      <c r="C224" s="5" t="str">
        <f>IFERROR(__xludf.DUMMYFUNCTION("""COMPUTED_VALUE"""),"نورا جادو")</f>
        <v>نورا جادو</v>
      </c>
      <c r="D224" s="30" t="str">
        <f>IFERROR(__xludf.DUMMYFUNCTION("""COMPUTED_VALUE"""),"2137")</f>
        <v>2137</v>
      </c>
      <c r="E224" s="5"/>
      <c r="F224" s="5" t="str">
        <f>IFERROR(__xludf.DUMMYFUNCTION("""COMPUTED_VALUE"""),"nouragadou2022@gmail.com")</f>
        <v>nouragadou2022@gmail.com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tr">
        <f>IFERROR(__xludf.DUMMYFUNCTION("""COMPUTED_VALUE"""),"نسرين زهران")</f>
        <v>نسرين زهران</v>
      </c>
      <c r="B225" s="5">
        <f>IFERROR(__xludf.DUMMYFUNCTION("""COMPUTED_VALUE"""),1.93156013197E11)</f>
        <v>193156013197</v>
      </c>
      <c r="C225" s="5" t="str">
        <f>IFERROR(__xludf.DUMMYFUNCTION("""COMPUTED_VALUE"""),"نسرين زهران")</f>
        <v>نسرين زهران</v>
      </c>
      <c r="D225" s="30" t="str">
        <f>IFERROR(__xludf.DUMMYFUNCTION("""COMPUTED_VALUE"""),"2172")</f>
        <v>2172</v>
      </c>
      <c r="E225" s="5" t="str">
        <f>IFERROR(__xludf.DUMMYFUNCTION("""COMPUTED_VALUE"""),"EG01-EG02-EG03")</f>
        <v>EG01-EG02-EG03</v>
      </c>
      <c r="F225" s="5" t="str">
        <f>IFERROR(__xludf.DUMMYFUNCTION("""COMPUTED_VALUE"""),"the.peace20006@gmail.com")</f>
        <v>the.peace20006@gmail.com</v>
      </c>
      <c r="G225" s="5" t="str">
        <f>IFERROR(__xludf.DUMMYFUNCTION("""COMPUTED_VALUE"""),"01067579926")</f>
        <v>01067579926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tr">
        <f>IFERROR(__xludf.DUMMYFUNCTION("""COMPUTED_VALUE"""),"رحاب حمدي")</f>
        <v>رحاب حمدي</v>
      </c>
      <c r="B226" s="5">
        <f>IFERROR(__xludf.DUMMYFUNCTION("""COMPUTED_VALUE"""),8.38198456425E11)</f>
        <v>838198456425</v>
      </c>
      <c r="C226" s="5" t="str">
        <f>IFERROR(__xludf.DUMMYFUNCTION("""COMPUTED_VALUE"""),"رحاب حمدي")</f>
        <v>رحاب حمدي</v>
      </c>
      <c r="D226" s="30" t="str">
        <f>IFERROR(__xludf.DUMMYFUNCTION("""COMPUTED_VALUE"""),"2171")</f>
        <v>2171</v>
      </c>
      <c r="E226" s="5" t="str">
        <f>IFERROR(__xludf.DUMMYFUNCTION("""COMPUTED_VALUE"""),"EG01-EG02-EG03")</f>
        <v>EG01-EG02-EG03</v>
      </c>
      <c r="F226" s="5" t="str">
        <f>IFERROR(__xludf.DUMMYFUNCTION("""COMPUTED_VALUE"""),"rehab533@gmail.com")</f>
        <v>rehab533@gmail.com</v>
      </c>
      <c r="G226" s="5" t="str">
        <f>IFERROR(__xludf.DUMMYFUNCTION("""COMPUTED_VALUE"""),"01019577994")</f>
        <v>01019577994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tr">
        <f>IFERROR(__xludf.DUMMYFUNCTION("""COMPUTED_VALUE"""),"سارة عبد الحميد")</f>
        <v>سارة عبد الحميد</v>
      </c>
      <c r="B227" s="5">
        <f>IFERROR(__xludf.DUMMYFUNCTION("""COMPUTED_VALUE"""),5.3816086131E11)</f>
        <v>538160861310</v>
      </c>
      <c r="C227" s="5" t="str">
        <f>IFERROR(__xludf.DUMMYFUNCTION("""COMPUTED_VALUE"""),"سارة عبد الحميد")</f>
        <v>سارة عبد الحميد</v>
      </c>
      <c r="D227" s="30" t="str">
        <f>IFERROR(__xludf.DUMMYFUNCTION("""COMPUTED_VALUE"""),"2178")</f>
        <v>2178</v>
      </c>
      <c r="E227" s="5" t="str">
        <f>IFERROR(__xludf.DUMMYFUNCTION("""COMPUTED_VALUE"""),"EG01-EG02-EG03")</f>
        <v>EG01-EG02-EG03</v>
      </c>
      <c r="F227" s="5" t="str">
        <f>IFERROR(__xludf.DUMMYFUNCTION("""COMPUTED_VALUE"""),"sara.mohmed409@gmail.com")</f>
        <v>sara.mohmed409@gmail.com</v>
      </c>
      <c r="G227" s="5" t="str">
        <f>IFERROR(__xludf.DUMMYFUNCTION("""COMPUTED_VALUE"""),"01155026319")</f>
        <v>01155026319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tr">
        <f>IFERROR(__xludf.DUMMYFUNCTION("""COMPUTED_VALUE"""),"خالد درويش")</f>
        <v>خالد درويش</v>
      </c>
      <c r="B228" s="5">
        <f>IFERROR(__xludf.DUMMYFUNCTION("""COMPUTED_VALUE"""),4.56173727324E11)</f>
        <v>456173727324</v>
      </c>
      <c r="C228" s="5" t="str">
        <f>IFERROR(__xludf.DUMMYFUNCTION("""COMPUTED_VALUE"""),"خالد درويش")</f>
        <v>خالد درويش</v>
      </c>
      <c r="D228" s="30" t="str">
        <f>IFERROR(__xludf.DUMMYFUNCTION("""COMPUTED_VALUE"""),"2176")</f>
        <v>2176</v>
      </c>
      <c r="E228" s="5" t="str">
        <f>IFERROR(__xludf.DUMMYFUNCTION("""COMPUTED_VALUE"""),"EG04-EG05-EG06-EG07-EG08-EG09")</f>
        <v>EG04-EG05-EG06-EG07-EG08-EG09</v>
      </c>
      <c r="F228" s="5" t="str">
        <f>IFERROR(__xludf.DUMMYFUNCTION("""COMPUTED_VALUE"""),"kdarwish436@gmail.com")</f>
        <v>kdarwish436@gmail.com</v>
      </c>
      <c r="G228" s="5" t="str">
        <f>IFERROR(__xludf.DUMMYFUNCTION("""COMPUTED_VALUE"""),"01148072407")</f>
        <v>01148072407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tr">
        <f>IFERROR(__xludf.DUMMYFUNCTION("""COMPUTED_VALUE"""),"محمد أنور")</f>
        <v>محمد أنور</v>
      </c>
      <c r="B229" s="5">
        <f>IFERROR(__xludf.DUMMYFUNCTION("""COMPUTED_VALUE"""),5.30179690959E11)</f>
        <v>530179690959</v>
      </c>
      <c r="C229" s="5" t="str">
        <f>IFERROR(__xludf.DUMMYFUNCTION("""COMPUTED_VALUE"""),"محمد أنور")</f>
        <v>محمد أنور</v>
      </c>
      <c r="D229" s="5">
        <f>IFERROR(__xludf.DUMMYFUNCTION("""COMPUTED_VALUE"""),2168.0)</f>
        <v>2168</v>
      </c>
      <c r="E229" s="5" t="str">
        <f>IFERROR(__xludf.DUMMYFUNCTION("""COMPUTED_VALUE"""),"EG09-EG10-EG11-EG12")</f>
        <v>EG09-EG10-EG11-EG12</v>
      </c>
      <c r="F229" s="5" t="str">
        <f>IFERROR(__xludf.DUMMYFUNCTION("""COMPUTED_VALUE"""),"samakamudy@gmail.com")</f>
        <v>samakamudy@gmail.com</v>
      </c>
      <c r="G229" s="5" t="str">
        <f>IFERROR(__xludf.DUMMYFUNCTION("""COMPUTED_VALUE"""),"01289058758")</f>
        <v>01289058758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tr">
        <f>IFERROR(__xludf.DUMMYFUNCTION("""COMPUTED_VALUE"""),"سالم محمد")</f>
        <v>سالم محمد</v>
      </c>
      <c r="B230" s="5">
        <f>IFERROR(__xludf.DUMMYFUNCTION("""COMPUTED_VALUE"""),1.38195736921E11)</f>
        <v>138195736921</v>
      </c>
      <c r="C230" s="5" t="str">
        <f>IFERROR(__xludf.DUMMYFUNCTION("""COMPUTED_VALUE"""),"سالم محمد")</f>
        <v>سالم محمد</v>
      </c>
      <c r="D230" s="30" t="str">
        <f>IFERROR(__xludf.DUMMYFUNCTION("""COMPUTED_VALUE"""),"2175")</f>
        <v>2175</v>
      </c>
      <c r="E230" s="5" t="str">
        <f>IFERROR(__xludf.DUMMYFUNCTION("""COMPUTED_VALUE"""),"EG07-EG08-EG09")</f>
        <v>EG07-EG08-EG09</v>
      </c>
      <c r="F230" s="5" t="str">
        <f>IFERROR(__xludf.DUMMYFUNCTION("""COMPUTED_VALUE"""),"salem.oikaa@gmail.com")</f>
        <v>salem.oikaa@gmail.com</v>
      </c>
      <c r="G230" s="5" t="str">
        <f>IFERROR(__xludf.DUMMYFUNCTION("""COMPUTED_VALUE"""),"01127797061 - 01000550304")</f>
        <v>01127797061 - 01000550304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tr">
        <f>IFERROR(__xludf.DUMMYFUNCTION("""COMPUTED_VALUE"""),"شيماء نبيل")</f>
        <v>شيماء نبيل</v>
      </c>
      <c r="B231" s="5">
        <f>IFERROR(__xludf.DUMMYFUNCTION("""COMPUTED_VALUE"""),8.52141603272E11)</f>
        <v>852141603272</v>
      </c>
      <c r="C231" s="5" t="str">
        <f>IFERROR(__xludf.DUMMYFUNCTION("""COMPUTED_VALUE"""),"شيماء نبيل")</f>
        <v>شيماء نبيل</v>
      </c>
      <c r="D231" s="30" t="str">
        <f>IFERROR(__xludf.DUMMYFUNCTION("""COMPUTED_VALUE"""),"2179")</f>
        <v>2179</v>
      </c>
      <c r="E231" s="5" t="str">
        <f>IFERROR(__xludf.DUMMYFUNCTION("""COMPUTED_VALUE"""),"EG01-EG02")</f>
        <v>EG01-EG02</v>
      </c>
      <c r="F231" s="5" t="str">
        <f>IFERROR(__xludf.DUMMYFUNCTION("""COMPUTED_VALUE"""),"shaimaa.nabil2410@gmail.com")</f>
        <v>shaimaa.nabil2410@gmail.com</v>
      </c>
      <c r="G231" s="5" t="str">
        <f>IFERROR(__xludf.DUMMYFUNCTION("""COMPUTED_VALUE"""),"01013159595")</f>
        <v>01013159595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tr">
        <f>IFERROR(__xludf.DUMMYFUNCTION("""COMPUTED_VALUE"""),"ندى سعيد")</f>
        <v>ندى سعيد</v>
      </c>
      <c r="B232" s="5">
        <f>IFERROR(__xludf.DUMMYFUNCTION("""COMPUTED_VALUE"""),4.35147575802E11)</f>
        <v>435147575802</v>
      </c>
      <c r="C232" s="5" t="str">
        <f>IFERROR(__xludf.DUMMYFUNCTION("""COMPUTED_VALUE"""),"ندى سعيد")</f>
        <v>ندى سعيد</v>
      </c>
      <c r="D232" s="30" t="str">
        <f>IFERROR(__xludf.DUMMYFUNCTION("""COMPUTED_VALUE"""),"2259")</f>
        <v>2259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tr">
        <f>IFERROR(__xludf.DUMMYFUNCTION("""COMPUTED_VALUE"""),"أحمد فتحي")</f>
        <v>أحمد فتحي</v>
      </c>
      <c r="B233" s="5">
        <f>IFERROR(__xludf.DUMMYFUNCTION("""COMPUTED_VALUE"""),4.05161986485E11)</f>
        <v>405161986485</v>
      </c>
      <c r="C233" s="5" t="str">
        <f>IFERROR(__xludf.DUMMYFUNCTION("""COMPUTED_VALUE"""),"أحمد فتحي")</f>
        <v>أحمد فتحي</v>
      </c>
      <c r="D233" s="30" t="str">
        <f>IFERROR(__xludf.DUMMYFUNCTION("""COMPUTED_VALUE"""),"2313")</f>
        <v>2313</v>
      </c>
      <c r="E233" s="5" t="str">
        <f>IFERROR(__xludf.DUMMYFUNCTION("""COMPUTED_VALUE"""),"EG04-EG05-EG06")</f>
        <v>EG04-EG05-EG06</v>
      </c>
      <c r="F233" s="5" t="str">
        <f>IFERROR(__xludf.DUMMYFUNCTION("""COMPUTED_VALUE"""),"afathy123654@gmail.com")</f>
        <v>afathy123654@gmail.com</v>
      </c>
      <c r="G233" s="5" t="str">
        <f>IFERROR(__xludf.DUMMYFUNCTION("""COMPUTED_VALUE"""),"01150395089")</f>
        <v>01150395089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tr">
        <f>IFERROR(__xludf.DUMMYFUNCTION("""COMPUTED_VALUE"""),"إسلام عماد")</f>
        <v>إسلام عماد</v>
      </c>
      <c r="B234" s="5">
        <f>IFERROR(__xludf.DUMMYFUNCTION("""COMPUTED_VALUE"""),5.27193759458E11)</f>
        <v>527193759458</v>
      </c>
      <c r="C234" s="5" t="str">
        <f>IFERROR(__xludf.DUMMYFUNCTION("""COMPUTED_VALUE"""),"إسلام عماد")</f>
        <v>إسلام عماد</v>
      </c>
      <c r="D234" s="30" t="str">
        <f>IFERROR(__xludf.DUMMYFUNCTION("""COMPUTED_VALUE"""),"2170")</f>
        <v>2170</v>
      </c>
      <c r="E234" s="5" t="str">
        <f>IFERROR(__xludf.DUMMYFUNCTION("""COMPUTED_VALUE"""),"G11-G12")</f>
        <v>G11-G12</v>
      </c>
      <c r="F234" s="5" t="str">
        <f>IFERROR(__xludf.DUMMYFUNCTION("""COMPUTED_VALUE"""),"eslamemad1311383@gmail.com")</f>
        <v>eslamemad1311383@gmail.com</v>
      </c>
      <c r="G234" s="5" t="str">
        <f>IFERROR(__xludf.DUMMYFUNCTION("""COMPUTED_VALUE"""),"01124845066")</f>
        <v>01124845066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tr">
        <f>IFERROR(__xludf.DUMMYFUNCTION("""COMPUTED_VALUE"""),"داليا عربي")</f>
        <v>داليا عربي</v>
      </c>
      <c r="B235" s="5">
        <f>IFERROR(__xludf.DUMMYFUNCTION("""COMPUTED_VALUE"""),9.63182417149E11)</f>
        <v>963182417149</v>
      </c>
      <c r="C235" s="5" t="str">
        <f>IFERROR(__xludf.DUMMYFUNCTION("""COMPUTED_VALUE"""),"داليا عربي")</f>
        <v>داليا عربي</v>
      </c>
      <c r="D235" s="30" t="str">
        <f>IFERROR(__xludf.DUMMYFUNCTION("""COMPUTED_VALUE"""),"2173")</f>
        <v>2173</v>
      </c>
      <c r="E235" s="5" t="str">
        <f>IFERROR(__xludf.DUMMYFUNCTION("""COMPUTED_VALUE"""),"EG07-EG08-EG09")</f>
        <v>EG07-EG08-EG09</v>
      </c>
      <c r="F235" s="5" t="str">
        <f>IFERROR(__xludf.DUMMYFUNCTION("""COMPUTED_VALUE"""),"daliaaraby810@gmail.com")</f>
        <v>daliaaraby810@gmail.com</v>
      </c>
      <c r="G235" s="5" t="str">
        <f>IFERROR(__xludf.DUMMYFUNCTION("""COMPUTED_VALUE"""),"01027661151")</f>
        <v>01027661151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tr">
        <f>IFERROR(__xludf.DUMMYFUNCTION("""COMPUTED_VALUE"""),"مريم عطا")</f>
        <v>مريم عطا</v>
      </c>
      <c r="B236" s="5">
        <f>IFERROR(__xludf.DUMMYFUNCTION("""COMPUTED_VALUE"""),6.15157028363E11)</f>
        <v>615157028363</v>
      </c>
      <c r="C236" s="5" t="str">
        <f>IFERROR(__xludf.DUMMYFUNCTION("""COMPUTED_VALUE"""),"مريم عطا")</f>
        <v>مريم عطا</v>
      </c>
      <c r="D236" s="30" t="str">
        <f>IFERROR(__xludf.DUMMYFUNCTION("""COMPUTED_VALUE"""),"2169")</f>
        <v>2169</v>
      </c>
      <c r="E236" s="5" t="str">
        <f>IFERROR(__xludf.DUMMYFUNCTION("""COMPUTED_VALUE"""),"EG04-EG05-EG06")</f>
        <v>EG04-EG05-EG06</v>
      </c>
      <c r="F236" s="5" t="str">
        <f>IFERROR(__xludf.DUMMYFUNCTION("""COMPUTED_VALUE"""),"mariamjohn2016@gmail.com")</f>
        <v>mariamjohn2016@gmail.com</v>
      </c>
      <c r="G236" s="5" t="str">
        <f>IFERROR(__xludf.DUMMYFUNCTION("""COMPUTED_VALUE"""),"01204817452")</f>
        <v>01204817452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tr">
        <f>IFERROR(__xludf.DUMMYFUNCTION("""COMPUTED_VALUE"""),"يمنى محمود")</f>
        <v>يمنى محمود</v>
      </c>
      <c r="B237" s="5">
        <f>IFERROR(__xludf.DUMMYFUNCTION("""COMPUTED_VALUE"""),2.5817901638E11)</f>
        <v>258179016380</v>
      </c>
      <c r="C237" s="5" t="str">
        <f>IFERROR(__xludf.DUMMYFUNCTION("""COMPUTED_VALUE"""),"يمنى محمود")</f>
        <v>يمنى محمود</v>
      </c>
      <c r="D237" s="30" t="str">
        <f>IFERROR(__xludf.DUMMYFUNCTION("""COMPUTED_VALUE"""),"2174")</f>
        <v>2174</v>
      </c>
      <c r="E237" s="5" t="str">
        <f>IFERROR(__xludf.DUMMYFUNCTION("""COMPUTED_VALUE"""),"EG07-EG08-EG09-EG10")</f>
        <v>EG07-EG08-EG09-EG10</v>
      </c>
      <c r="F237" s="5" t="str">
        <f>IFERROR(__xludf.DUMMYFUNCTION("""COMPUTED_VALUE"""),"yumna_elnennah@yahoo.com")</f>
        <v>yumna_elnennah@yahoo.com</v>
      </c>
      <c r="G237" s="5" t="str">
        <f>IFERROR(__xludf.DUMMYFUNCTION("""COMPUTED_VALUE"""),"01013423508")</f>
        <v>01013423508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tr">
        <f>IFERROR(__xludf.DUMMYFUNCTION("""COMPUTED_VALUE"""),"يسرا عبد الحميد")</f>
        <v>يسرا عبد الحميد</v>
      </c>
      <c r="B238" s="5">
        <f>IFERROR(__xludf.DUMMYFUNCTION("""COMPUTED_VALUE"""),2.95194323854E11)</f>
        <v>295194323854</v>
      </c>
      <c r="C238" s="5" t="str">
        <f>IFERROR(__xludf.DUMMYFUNCTION("""COMPUTED_VALUE"""),"يسرا عبد الحميد")</f>
        <v>يسرا عبد الحميد</v>
      </c>
      <c r="D238" s="30">
        <f>IFERROR(__xludf.DUMMYFUNCTION("""COMPUTED_VALUE"""),2167.0)</f>
        <v>2167</v>
      </c>
      <c r="E238" s="5"/>
      <c r="F238" s="5" t="str">
        <f>IFERROR(__xludf.DUMMYFUNCTION("""COMPUTED_VALUE"""),"yousramohamed1984@gmail.com")</f>
        <v>yousramohamed1984@gmail.com</v>
      </c>
      <c r="G238" s="5" t="str">
        <f>IFERROR(__xludf.DUMMYFUNCTION("""COMPUTED_VALUE"""),"01007474664")</f>
        <v>01007474664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tr">
        <f>IFERROR(__xludf.DUMMYFUNCTION("""COMPUTED_VALUE"""),"ماريان حنا")</f>
        <v>ماريان حنا</v>
      </c>
      <c r="B239" s="5">
        <f>IFERROR(__xludf.DUMMYFUNCTION("""COMPUTED_VALUE"""),4.58157430479E11)</f>
        <v>458157430479</v>
      </c>
      <c r="C239" s="5" t="str">
        <f>IFERROR(__xludf.DUMMYFUNCTION("""COMPUTED_VALUE"""),"ماريان حنا")</f>
        <v>ماريان حنا</v>
      </c>
      <c r="D239" s="30" t="str">
        <f>IFERROR(__xludf.DUMMYFUNCTION("""COMPUTED_VALUE"""),"2164")</f>
        <v>2164</v>
      </c>
      <c r="E239" s="5" t="str">
        <f>IFERROR(__xludf.DUMMYFUNCTION("""COMPUTED_VALUE"""),"اعتذرت عن استكمال العام الدراسي معنا ويبدو أنها ستستقيل")</f>
        <v>اعتذرت عن استكمال العام الدراسي معنا ويبدو أنها ستستقيل</v>
      </c>
      <c r="F239" s="5" t="str">
        <f>IFERROR(__xludf.DUMMYFUNCTION("""COMPUTED_VALUE"""),"maromina1986@gmail.com")</f>
        <v>maromina1986@gmail.com</v>
      </c>
      <c r="G239" s="5" t="str">
        <f>IFERROR(__xludf.DUMMYFUNCTION("""COMPUTED_VALUE"""),"01282662428")</f>
        <v>01282662428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tr">
        <f>IFERROR(__xludf.DUMMYFUNCTION("""COMPUTED_VALUE"""),"رانا عنتر")</f>
        <v>رانا عنتر</v>
      </c>
      <c r="B240" s="5">
        <f>IFERROR(__xludf.DUMMYFUNCTION("""COMPUTED_VALUE"""),7.08179253837E11)</f>
        <v>708179253837</v>
      </c>
      <c r="C240" s="5" t="str">
        <f>IFERROR(__xludf.DUMMYFUNCTION("""COMPUTED_VALUE"""),"رانا عنتر")</f>
        <v>رانا عنتر</v>
      </c>
      <c r="D240" s="30" t="str">
        <f>IFERROR(__xludf.DUMMYFUNCTION("""COMPUTED_VALUE"""),"2160")</f>
        <v>2160</v>
      </c>
      <c r="E240" s="5"/>
      <c r="F240" s="5" t="str">
        <f>IFERROR(__xludf.DUMMYFUNCTION("""COMPUTED_VALUE"""),"ranaantar33@gmail.com")</f>
        <v>ranaantar33@gmail.com</v>
      </c>
      <c r="G240" s="5" t="str">
        <f>IFERROR(__xludf.DUMMYFUNCTION("""COMPUTED_VALUE"""),"01128544922")</f>
        <v>01128544922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tr">
        <f>IFERROR(__xludf.DUMMYFUNCTION("""COMPUTED_VALUE"""),"ياسمين صلاح")</f>
        <v>ياسمين صلاح</v>
      </c>
      <c r="B241" s="5">
        <f>IFERROR(__xludf.DUMMYFUNCTION("""COMPUTED_VALUE"""),6.87104205132E11)</f>
        <v>687104205132</v>
      </c>
      <c r="C241" s="5" t="str">
        <f>IFERROR(__xludf.DUMMYFUNCTION("""COMPUTED_VALUE"""),"ياسمين صلاح")</f>
        <v>ياسمين صلاح</v>
      </c>
      <c r="D241" s="30" t="str">
        <f>IFERROR(__xludf.DUMMYFUNCTION("""COMPUTED_VALUE"""),"1383")</f>
        <v>1383</v>
      </c>
      <c r="E241" s="5" t="str">
        <f>IFERROR(__xludf.DUMMYFUNCTION("""COMPUTED_VALUE"""),"EG04-EG05-EG06")</f>
        <v>EG04-EG05-EG06</v>
      </c>
      <c r="F241" s="5" t="str">
        <f>IFERROR(__xludf.DUMMYFUNCTION("""COMPUTED_VALUE"""),"byasmins4288@gmail.com")</f>
        <v>byasmins4288@gmail.com</v>
      </c>
      <c r="G241" s="5" t="str">
        <f>IFERROR(__xludf.DUMMYFUNCTION("""COMPUTED_VALUE"""),"01004560430")</f>
        <v>01004560430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tr">
        <f>IFERROR(__xludf.DUMMYFUNCTION("""COMPUTED_VALUE"""),"تقى حسن")</f>
        <v>تقى حسن</v>
      </c>
      <c r="B242" s="5">
        <f>IFERROR(__xludf.DUMMYFUNCTION("""COMPUTED_VALUE"""),4.78141716532E11)</f>
        <v>478141716532</v>
      </c>
      <c r="C242" s="5" t="str">
        <f>IFERROR(__xludf.DUMMYFUNCTION("""COMPUTED_VALUE"""),"تقى حسن")</f>
        <v>تقى حسن</v>
      </c>
      <c r="D242" s="30" t="str">
        <f>IFERROR(__xludf.DUMMYFUNCTION("""COMPUTED_VALUE"""),"2069")</f>
        <v>2069</v>
      </c>
      <c r="E242" s="5"/>
      <c r="F242" s="5" t="str">
        <f>IFERROR(__xludf.DUMMYFUNCTION("""COMPUTED_VALUE"""),"tokahassan5@gmail.com")</f>
        <v>tokahassan5@gmail.com</v>
      </c>
      <c r="G242" s="5" t="str">
        <f>IFERROR(__xludf.DUMMYFUNCTION("""COMPUTED_VALUE"""),"01012286588")</f>
        <v>01012286588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tr">
        <f>IFERROR(__xludf.DUMMYFUNCTION("""COMPUTED_VALUE"""),"سارة كمال")</f>
        <v>سارة كمال</v>
      </c>
      <c r="B243" s="5">
        <f>IFERROR(__xludf.DUMMYFUNCTION("""COMPUTED_VALUE"""),4.35164906319E11)</f>
        <v>435164906319</v>
      </c>
      <c r="C243" s="5" t="str">
        <f>IFERROR(__xludf.DUMMYFUNCTION("""COMPUTED_VALUE"""),"سارة كمال")</f>
        <v>سارة كمال</v>
      </c>
      <c r="D243" s="30" t="str">
        <f>IFERROR(__xludf.DUMMYFUNCTION("""COMPUTED_VALUE"""),"2020")</f>
        <v>2020</v>
      </c>
      <c r="E243" s="5" t="str">
        <f>IFERROR(__xludf.DUMMYFUNCTION("""COMPUTED_VALUE"""),"اعتذرت عن استكمال العام الدراسي معنا ويبدو أنها ستستقيل")</f>
        <v>اعتذرت عن استكمال العام الدراسي معنا ويبدو أنها ستستقيل</v>
      </c>
      <c r="F243" s="5" t="str">
        <f>IFERROR(__xludf.DUMMYFUNCTION("""COMPUTED_VALUE"""),"sarakamalrezk@gmail.com")</f>
        <v>sarakamalrezk@gmail.com</v>
      </c>
      <c r="G243" s="5" t="str">
        <f>IFERROR(__xludf.DUMMYFUNCTION("""COMPUTED_VALUE"""),"0122 695 8654 ")</f>
        <v>0122 695 8654 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tr">
        <f>IFERROR(__xludf.DUMMYFUNCTION("""COMPUTED_VALUE"""),"لبنى عبد العزيز")</f>
        <v>لبنى عبد العزيز</v>
      </c>
      <c r="B244" s="5">
        <f>IFERROR(__xludf.DUMMYFUNCTION("""COMPUTED_VALUE"""),5.68186930704E11)</f>
        <v>568186930704</v>
      </c>
      <c r="C244" s="5" t="str">
        <f>IFERROR(__xludf.DUMMYFUNCTION("""COMPUTED_VALUE"""),"لبنى عبد العزيز")</f>
        <v>لبنى عبد العزيز</v>
      </c>
      <c r="D244" s="30" t="str">
        <f>IFERROR(__xludf.DUMMYFUNCTION("""COMPUTED_VALUE"""),"2185")</f>
        <v>2185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tr">
        <f>IFERROR(__xludf.DUMMYFUNCTION("""COMPUTED_VALUE"""),"نرمين جلال")</f>
        <v>نرمين جلال</v>
      </c>
      <c r="B245" s="5">
        <f>IFERROR(__xludf.DUMMYFUNCTION("""COMPUTED_VALUE"""),2.09148542918E11)</f>
        <v>209148542918</v>
      </c>
      <c r="C245" s="5" t="str">
        <f>IFERROR(__xludf.DUMMYFUNCTION("""COMPUTED_VALUE"""),"نرمين جلال")</f>
        <v>نرمين جلال</v>
      </c>
      <c r="D245" s="30" t="str">
        <f>IFERROR(__xludf.DUMMYFUNCTION("""COMPUTED_VALUE"""),"2191")</f>
        <v>2191</v>
      </c>
      <c r="E245" s="5" t="str">
        <f>IFERROR(__xludf.DUMMYFUNCTION("""COMPUTED_VALUE"""),"EG01-EG02-EG03-EG04-EG05")</f>
        <v>EG01-EG02-EG03-EG04-EG05</v>
      </c>
      <c r="F245" s="5" t="str">
        <f>IFERROR(__xludf.DUMMYFUNCTION("""COMPUTED_VALUE"""),"norenosman11@yahoo.com")</f>
        <v>norenosman11@yahoo.com</v>
      </c>
      <c r="G245" s="5" t="str">
        <f>IFERROR(__xludf.DUMMYFUNCTION("""COMPUTED_VALUE"""),"01285292060")</f>
        <v>01285292060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tr">
        <f>IFERROR(__xludf.DUMMYFUNCTION("""COMPUTED_VALUE"""),"سامح ماجد")</f>
        <v>سامح ماجد</v>
      </c>
      <c r="B246" s="5">
        <f>IFERROR(__xludf.DUMMYFUNCTION("""COMPUTED_VALUE"""),8.37194029802E11)</f>
        <v>837194029802</v>
      </c>
      <c r="C246" s="5" t="str">
        <f>IFERROR(__xludf.DUMMYFUNCTION("""COMPUTED_VALUE"""),"سامح ماجد")</f>
        <v>سامح ماجد</v>
      </c>
      <c r="D246" s="30" t="str">
        <f>IFERROR(__xludf.DUMMYFUNCTION("""COMPUTED_VALUE"""),"2196")</f>
        <v>2196</v>
      </c>
      <c r="E246" s="5" t="str">
        <f>IFERROR(__xludf.DUMMYFUNCTION("""COMPUTED_VALUE"""),"G11-G12")</f>
        <v>G11-G12</v>
      </c>
      <c r="F246" s="5" t="str">
        <f>IFERROR(__xludf.DUMMYFUNCTION("""COMPUTED_VALUE"""),"samehmaged304@gmail.com")</f>
        <v>samehmaged304@gmail.com</v>
      </c>
      <c r="G246" s="5" t="str">
        <f>IFERROR(__xludf.DUMMYFUNCTION("""COMPUTED_VALUE"""),"01281097754")</f>
        <v>01281097754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tr">
        <f>IFERROR(__xludf.DUMMYFUNCTION("""COMPUTED_VALUE"""),"محمد حسن")</f>
        <v>محمد حسن</v>
      </c>
      <c r="B247" s="5">
        <f>IFERROR(__xludf.DUMMYFUNCTION("""COMPUTED_VALUE"""),6.97161098253E11)</f>
        <v>697161098253</v>
      </c>
      <c r="C247" s="5" t="str">
        <f>IFERROR(__xludf.DUMMYFUNCTION("""COMPUTED_VALUE"""),"محمد حسن")</f>
        <v>محمد حسن</v>
      </c>
      <c r="D247" s="30" t="str">
        <f>IFERROR(__xludf.DUMMYFUNCTION("""COMPUTED_VALUE"""),"2195")</f>
        <v>2195</v>
      </c>
      <c r="E247" s="5" t="str">
        <f>IFERROR(__xludf.DUMMYFUNCTION("""COMPUTED_VALUE"""),"EG10-EG11-G12")</f>
        <v>EG10-EG11-G12</v>
      </c>
      <c r="F247" s="5" t="str">
        <f>IFERROR(__xludf.DUMMYFUNCTION("""COMPUTED_VALUE"""),"alhassan.physics@gmail.com")</f>
        <v>alhassan.physics@gmail.com</v>
      </c>
      <c r="G247" s="5" t="str">
        <f>IFERROR(__xludf.DUMMYFUNCTION("""COMPUTED_VALUE"""),"01275338309")</f>
        <v>01275338309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tr">
        <f>IFERROR(__xludf.DUMMYFUNCTION("""COMPUTED_VALUE"""),"إسراء السيد")</f>
        <v>إسراء السيد</v>
      </c>
      <c r="B248" s="5">
        <f>IFERROR(__xludf.DUMMYFUNCTION("""COMPUTED_VALUE"""),5.1612308538E11)</f>
        <v>516123085380</v>
      </c>
      <c r="C248" s="5" t="str">
        <f>IFERROR(__xludf.DUMMYFUNCTION("""COMPUTED_VALUE"""),"إسراء السيد")</f>
        <v>إسراء السيد</v>
      </c>
      <c r="D248" s="5" t="str">
        <f>IFERROR(__xludf.DUMMYFUNCTION("""COMPUTED_VALUE"""),"#N/A")</f>
        <v>#N/A</v>
      </c>
      <c r="E248" s="5"/>
      <c r="F248" s="5" t="str">
        <f>IFERROR(__xludf.DUMMYFUNCTION("""COMPUTED_VALUE"""),"israaibrahim182@gmail.com")</f>
        <v>israaibrahim182@gmail.com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tr">
        <f>IFERROR(__xludf.DUMMYFUNCTION("""COMPUTED_VALUE"""),"طه عبد الرازق")</f>
        <v>طه عبد الرازق</v>
      </c>
      <c r="B249" s="5">
        <f>IFERROR(__xludf.DUMMYFUNCTION("""COMPUTED_VALUE"""),5.06172862613E11)</f>
        <v>506172862613</v>
      </c>
      <c r="C249" s="5" t="str">
        <f>IFERROR(__xludf.DUMMYFUNCTION("""COMPUTED_VALUE"""),"طه عبد الرازق")</f>
        <v>طه عبد الرازق</v>
      </c>
      <c r="D249" s="30" t="str">
        <f>IFERROR(__xludf.DUMMYFUNCTION("""COMPUTED_VALUE"""),"2209")</f>
        <v>2209</v>
      </c>
      <c r="E249" s="5" t="str">
        <f>IFERROR(__xludf.DUMMYFUNCTION("""COMPUTED_VALUE"""),"EG10-EG11-G12")</f>
        <v>EG10-EG11-G12</v>
      </c>
      <c r="F249" s="5" t="str">
        <f>IFERROR(__xludf.DUMMYFUNCTION("""COMPUTED_VALUE"""),"tahaabdalrazek97@gmail.com")</f>
        <v>tahaabdalrazek97@gmail.com</v>
      </c>
      <c r="G249" s="5" t="str">
        <f>IFERROR(__xludf.DUMMYFUNCTION("""COMPUTED_VALUE"""),"01150011597")</f>
        <v>01150011597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tr">
        <f>IFERROR(__xludf.DUMMYFUNCTION("""COMPUTED_VALUE"""),"مهند مجدي")</f>
        <v>مهند مجدي</v>
      </c>
      <c r="B250" s="5">
        <f>IFERROR(__xludf.DUMMYFUNCTION("""COMPUTED_VALUE"""),7.47194232493E11)</f>
        <v>747194232493</v>
      </c>
      <c r="C250" s="5" t="str">
        <f>IFERROR(__xludf.DUMMYFUNCTION("""COMPUTED_VALUE"""),"مهند مجدي")</f>
        <v>مهند مجدي</v>
      </c>
      <c r="D250" s="30" t="str">
        <f>IFERROR(__xludf.DUMMYFUNCTION("""COMPUTED_VALUE"""),"2181")</f>
        <v>2181</v>
      </c>
      <c r="E250" s="5" t="str">
        <f>IFERROR(__xludf.DUMMYFUNCTION("""COMPUTED_VALUE"""),"EG07-EG08-EG09-EG10-EG11")</f>
        <v>EG07-EG08-EG09-EG10-EG11</v>
      </c>
      <c r="F250" s="5" t="str">
        <f>IFERROR(__xludf.DUMMYFUNCTION("""COMPUTED_VALUE"""),"muhannad.m.m.khalil@gmail.com")</f>
        <v>muhannad.m.m.khalil@gmail.com</v>
      </c>
      <c r="G250" s="5" t="str">
        <f>IFERROR(__xludf.DUMMYFUNCTION("""COMPUTED_VALUE"""),"01114420263")</f>
        <v>01114420263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tr">
        <f>IFERROR(__xludf.DUMMYFUNCTION("""COMPUTED_VALUE"""),"جوزيف ميشيل")</f>
        <v>جوزيف ميشيل</v>
      </c>
      <c r="B251" s="5">
        <f>IFERROR(__xludf.DUMMYFUNCTION("""COMPUTED_VALUE"""),7.89173210154E11)</f>
        <v>789173210154</v>
      </c>
      <c r="C251" s="5" t="str">
        <f>IFERROR(__xludf.DUMMYFUNCTION("""COMPUTED_VALUE"""),"جوزيف ميشيل")</f>
        <v>جوزيف ميشيل</v>
      </c>
      <c r="D251" s="30" t="str">
        <f>IFERROR(__xludf.DUMMYFUNCTION("""COMPUTED_VALUE"""),"2201")</f>
        <v>2201</v>
      </c>
      <c r="E251" s="5" t="str">
        <f>IFERROR(__xludf.DUMMYFUNCTION("""COMPUTED_VALUE"""),"EG10-EG11-G12")</f>
        <v>EG10-EG11-G12</v>
      </c>
      <c r="F251" s="5" t="str">
        <f>IFERROR(__xludf.DUMMYFUNCTION("""COMPUTED_VALUE"""),"jockey.jojo87@gmail.com")</f>
        <v>jockey.jojo87@gmail.com</v>
      </c>
      <c r="G251" s="5" t="str">
        <f>IFERROR(__xludf.DUMMYFUNCTION("""COMPUTED_VALUE"""),"01225423098")</f>
        <v>01225423098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tr">
        <f>IFERROR(__xludf.DUMMYFUNCTION("""COMPUTED_VALUE"""),"صلاح سالمان")</f>
        <v>صلاح سالمان</v>
      </c>
      <c r="B252" s="5">
        <f>IFERROR(__xludf.DUMMYFUNCTION("""COMPUTED_VALUE"""),4.72109857194E11)</f>
        <v>472109857194</v>
      </c>
      <c r="C252" s="5" t="str">
        <f>IFERROR(__xludf.DUMMYFUNCTION("""COMPUTED_VALUE"""),"صلاح سالمان")</f>
        <v>صلاح سالمان</v>
      </c>
      <c r="D252" s="30" t="str">
        <f>IFERROR(__xludf.DUMMYFUNCTION("""COMPUTED_VALUE"""),"2208")</f>
        <v>2208</v>
      </c>
      <c r="E252" s="5" t="str">
        <f>IFERROR(__xludf.DUMMYFUNCTION("""COMPUTED_VALUE"""),"EG10-EG11-G12")</f>
        <v>EG10-EG11-G12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tr">
        <f>IFERROR(__xludf.DUMMYFUNCTION("""COMPUTED_VALUE"""),"دسوقي إبراهيم")</f>
        <v>دسوقي إبراهيم</v>
      </c>
      <c r="B253" s="5">
        <f>IFERROR(__xludf.DUMMYFUNCTION("""COMPUTED_VALUE"""),8.93140536419E11)</f>
        <v>893140536419</v>
      </c>
      <c r="C253" s="5" t="str">
        <f>IFERROR(__xludf.DUMMYFUNCTION("""COMPUTED_VALUE"""),"دسوقي إبراهيم")</f>
        <v>دسوقي إبراهيم</v>
      </c>
      <c r="D253" s="30" t="str">
        <f>IFERROR(__xludf.DUMMYFUNCTION("""COMPUTED_VALUE"""),"2199")</f>
        <v>2199</v>
      </c>
      <c r="E253" s="5" t="str">
        <f>IFERROR(__xludf.DUMMYFUNCTION("""COMPUTED_VALUE"""),"EG10-EG11-G12")</f>
        <v>EG10-EG11-G12</v>
      </c>
      <c r="F253" s="5" t="str">
        <f>IFERROR(__xludf.DUMMYFUNCTION("""COMPUTED_VALUE"""),"ebrahim2721976@gmail.com")</f>
        <v>ebrahim2721976@gmail.com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tr">
        <f>IFERROR(__xludf.DUMMYFUNCTION("""COMPUTED_VALUE"""),"محمد الهناوي")</f>
        <v>محمد الهناوي</v>
      </c>
      <c r="B254" s="5">
        <f>IFERROR(__xludf.DUMMYFUNCTION("""COMPUTED_VALUE"""),5.68127010526E11)</f>
        <v>568127010526</v>
      </c>
      <c r="C254" s="5" t="str">
        <f>IFERROR(__xludf.DUMMYFUNCTION("""COMPUTED_VALUE"""),"محمد الهناوي")</f>
        <v>محمد الهناوي</v>
      </c>
      <c r="D254" s="30">
        <f>IFERROR(__xludf.DUMMYFUNCTION("""COMPUTED_VALUE"""),2184.0)</f>
        <v>2184</v>
      </c>
      <c r="E254" s="5" t="str">
        <f>IFERROR(__xludf.DUMMYFUNCTION("""COMPUTED_VALUE"""),"EG04-EG05-EG06")</f>
        <v>EG04-EG05-EG06</v>
      </c>
      <c r="F254" s="5" t="str">
        <f>IFERROR(__xludf.DUMMYFUNCTION("""COMPUTED_VALUE"""),"ma6515149@gmail.com")</f>
        <v>ma6515149@gmail.com</v>
      </c>
      <c r="G254" s="5" t="str">
        <f>IFERROR(__xludf.DUMMYFUNCTION("""COMPUTED_VALUE"""),"01208476617")</f>
        <v>01208476617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tr">
        <f>IFERROR(__xludf.DUMMYFUNCTION("""COMPUTED_VALUE"""),"رمضان عبد القادر")</f>
        <v>رمضان عبد القادر</v>
      </c>
      <c r="B255" s="5">
        <f>IFERROR(__xludf.DUMMYFUNCTION("""COMPUTED_VALUE"""),4.87134793715E11)</f>
        <v>487134793715</v>
      </c>
      <c r="C255" s="5" t="str">
        <f>IFERROR(__xludf.DUMMYFUNCTION("""COMPUTED_VALUE"""),"رمضان عبد القادر")</f>
        <v>رمضان عبد القادر</v>
      </c>
      <c r="D255" s="30" t="str">
        <f>IFERROR(__xludf.DUMMYFUNCTION("""COMPUTED_VALUE"""),"2193")</f>
        <v>2193</v>
      </c>
      <c r="E255" s="5"/>
      <c r="F255" s="5" t="str">
        <f>IFERROR(__xludf.DUMMYFUNCTION("""COMPUTED_VALUE"""),"ramadanelkader@gmail.com")</f>
        <v>ramadanelkader@gmail.com</v>
      </c>
      <c r="G255" s="5" t="str">
        <f>IFERROR(__xludf.DUMMYFUNCTION("""COMPUTED_VALUE"""),"01005716822")</f>
        <v>01005716822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tr">
        <f>IFERROR(__xludf.DUMMYFUNCTION("""COMPUTED_VALUE"""),"روماني إبراهيم")</f>
        <v>روماني إبراهيم</v>
      </c>
      <c r="B256" s="5">
        <f>IFERROR(__xludf.DUMMYFUNCTION("""COMPUTED_VALUE"""),8.74140534821E11)</f>
        <v>874140534821</v>
      </c>
      <c r="C256" s="5" t="str">
        <f>IFERROR(__xludf.DUMMYFUNCTION("""COMPUTED_VALUE"""),"روماني إبراهيم")</f>
        <v>روماني إبراهيم</v>
      </c>
      <c r="D256" s="30" t="str">
        <f>IFERROR(__xludf.DUMMYFUNCTION("""COMPUTED_VALUE"""),"2206")</f>
        <v>2206</v>
      </c>
      <c r="E256" s="5" t="str">
        <f>IFERROR(__xludf.DUMMYFUNCTION("""COMPUTED_VALUE"""),"EG10-EG11-G12")</f>
        <v>EG10-EG11-G12</v>
      </c>
      <c r="F256" s="5" t="str">
        <f>IFERROR(__xludf.DUMMYFUNCTION("""COMPUTED_VALUE"""),"mr.romany82@gmail.com")</f>
        <v>mr.romany82@gmail.com</v>
      </c>
      <c r="G256" s="5" t="str">
        <f>IFERROR(__xludf.DUMMYFUNCTION("""COMPUTED_VALUE"""),"01225653656")</f>
        <v>01225653656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tr">
        <f>IFERROR(__xludf.DUMMYFUNCTION("""COMPUTED_VALUE"""),"ندى أسامة")</f>
        <v>ندى أسامة</v>
      </c>
      <c r="B257" s="5">
        <f>IFERROR(__xludf.DUMMYFUNCTION("""COMPUTED_VALUE"""),2.65195735907E11)</f>
        <v>265195735907</v>
      </c>
      <c r="C257" s="5" t="str">
        <f>IFERROR(__xludf.DUMMYFUNCTION("""COMPUTED_VALUE"""),"ندى أسامة")</f>
        <v>ندى أسامة</v>
      </c>
      <c r="D257" s="30" t="str">
        <f>IFERROR(__xludf.DUMMYFUNCTION("""COMPUTED_VALUE"""),"2207")</f>
        <v>2207</v>
      </c>
      <c r="E257" s="5" t="str">
        <f>IFERROR(__xludf.DUMMYFUNCTION("""COMPUTED_VALUE"""),"EG04-EG05")</f>
        <v>EG04-EG05</v>
      </c>
      <c r="F257" s="5" t="str">
        <f>IFERROR(__xludf.DUMMYFUNCTION("""COMPUTED_VALUE"""),"nadaaosama1@gmail.com")</f>
        <v>nadaaosama1@gmail.com</v>
      </c>
      <c r="G257" s="5" t="str">
        <f>IFERROR(__xludf.DUMMYFUNCTION("""COMPUTED_VALUE"""),"01208990138")</f>
        <v>01208990138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tr">
        <f>IFERROR(__xludf.DUMMYFUNCTION("""COMPUTED_VALUE"""),"محمد مجدي")</f>
        <v>محمد مجدي</v>
      </c>
      <c r="B258" s="5">
        <f>IFERROR(__xludf.DUMMYFUNCTION("""COMPUTED_VALUE"""),8.64108372349E11)</f>
        <v>864108372349</v>
      </c>
      <c r="C258" s="5" t="str">
        <f>IFERROR(__xludf.DUMMYFUNCTION("""COMPUTED_VALUE"""),"محمد مجدي")</f>
        <v>محمد مجدي</v>
      </c>
      <c r="D258" s="30" t="str">
        <f>IFERROR(__xludf.DUMMYFUNCTION("""COMPUTED_VALUE"""),"2192")</f>
        <v>2192</v>
      </c>
      <c r="E258" s="5" t="str">
        <f>IFERROR(__xludf.DUMMYFUNCTION("""COMPUTED_VALUE"""),"EG07-EG08-EG09-EG10-EG11")</f>
        <v>EG07-EG08-EG09-EG10-EG11</v>
      </c>
      <c r="F258" s="5" t="str">
        <f>IFERROR(__xludf.DUMMYFUNCTION("""COMPUTED_VALUE"""),"mohamedmagdi8000@gmail.com")</f>
        <v>mohamedmagdi8000@gmail.com</v>
      </c>
      <c r="G258" s="5" t="str">
        <f>IFERROR(__xludf.DUMMYFUNCTION("""COMPUTED_VALUE"""),"01119389015")</f>
        <v>01119389015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tr">
        <f>IFERROR(__xludf.DUMMYFUNCTION("""COMPUTED_VALUE"""),"أماني بسيوني")</f>
        <v>أماني بسيوني</v>
      </c>
      <c r="B259" s="5">
        <f>IFERROR(__xludf.DUMMYFUNCTION("""COMPUTED_VALUE"""),3.74175473593E11)</f>
        <v>374175473593</v>
      </c>
      <c r="C259" s="5" t="str">
        <f>IFERROR(__xludf.DUMMYFUNCTION("""COMPUTED_VALUE"""),"أماني بسيوني")</f>
        <v>أماني بسيوني</v>
      </c>
      <c r="D259" s="30" t="str">
        <f>IFERROR(__xludf.DUMMYFUNCTION("""COMPUTED_VALUE"""),"2194")</f>
        <v>2194</v>
      </c>
      <c r="E259" s="5" t="str">
        <f>IFERROR(__xludf.DUMMYFUNCTION("""COMPUTED_VALUE"""),"EG10-EG11-G12")</f>
        <v>EG10-EG11-G12</v>
      </c>
      <c r="F259" s="5" t="str">
        <f>IFERROR(__xludf.DUMMYFUNCTION("""COMPUTED_VALUE"""),"amanybasuni160184@gmail.com")</f>
        <v>amanybasuni160184@gmail.com</v>
      </c>
      <c r="G259" s="5" t="str">
        <f>IFERROR(__xludf.DUMMYFUNCTION("""COMPUTED_VALUE"""),"01116571264")</f>
        <v>01116571264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tr">
        <f>IFERROR(__xludf.DUMMYFUNCTION("""COMPUTED_VALUE"""),"طارق إسماعيل")</f>
        <v>طارق إسماعيل</v>
      </c>
      <c r="B260" s="5">
        <f>IFERROR(__xludf.DUMMYFUNCTION("""COMPUTED_VALUE"""),4.86174535434E11)</f>
        <v>486174535434</v>
      </c>
      <c r="C260" s="5" t="str">
        <f>IFERROR(__xludf.DUMMYFUNCTION("""COMPUTED_VALUE"""),"طارق إسماعيل")</f>
        <v>طارق إسماعيل</v>
      </c>
      <c r="D260" s="30" t="str">
        <f>IFERROR(__xludf.DUMMYFUNCTION("""COMPUTED_VALUE"""),"2067")</f>
        <v>2067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tr">
        <f>IFERROR(__xludf.DUMMYFUNCTION("""COMPUTED_VALUE"""),"دعاء مرزوق")</f>
        <v>دعاء مرزوق</v>
      </c>
      <c r="B261" s="5">
        <f>IFERROR(__xludf.DUMMYFUNCTION("""COMPUTED_VALUE"""),8.1919414083E11)</f>
        <v>819194140830</v>
      </c>
      <c r="C261" s="5" t="str">
        <f>IFERROR(__xludf.DUMMYFUNCTION("""COMPUTED_VALUE"""),"دعاء مرزوق")</f>
        <v>دعاء مرزوق</v>
      </c>
      <c r="D261" s="30" t="str">
        <f>IFERROR(__xludf.DUMMYFUNCTION("""COMPUTED_VALUE"""),"2182")</f>
        <v>2182</v>
      </c>
      <c r="E261" s="5" t="str">
        <f>IFERROR(__xludf.DUMMYFUNCTION("""COMPUTED_VALUE"""),"EG04-EG05-EG06-EG07-EG08-EG09")</f>
        <v>EG04-EG05-EG06-EG07-EG08-EG09</v>
      </c>
      <c r="F261" s="5" t="str">
        <f>IFERROR(__xludf.DUMMYFUNCTION("""COMPUTED_VALUE"""),"doaamarzouk992@gmail.com")</f>
        <v>doaamarzouk992@gmail.com</v>
      </c>
      <c r="G261" s="5" t="str">
        <f>IFERROR(__xludf.DUMMYFUNCTION("""COMPUTED_VALUE"""),"01002287489")</f>
        <v>01002287489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tr">
        <f>IFERROR(__xludf.DUMMYFUNCTION("""COMPUTED_VALUE"""),"أحمد السمري")</f>
        <v>أحمد السمري</v>
      </c>
      <c r="B262" s="5">
        <f>IFERROR(__xludf.DUMMYFUNCTION("""COMPUTED_VALUE"""),4.2718525845E11)</f>
        <v>427185258450</v>
      </c>
      <c r="C262" s="5" t="str">
        <f>IFERROR(__xludf.DUMMYFUNCTION("""COMPUTED_VALUE"""),"أحمد السمري")</f>
        <v>أحمد السمري</v>
      </c>
      <c r="D262" s="30" t="str">
        <f>IFERROR(__xludf.DUMMYFUNCTION("""COMPUTED_VALUE"""),"2236")</f>
        <v>2236</v>
      </c>
      <c r="E262" s="5" t="str">
        <f>IFERROR(__xludf.DUMMYFUNCTION("""COMPUTED_VALUE"""),"EG10-EG11")</f>
        <v>EG10-EG11</v>
      </c>
      <c r="F262" s="5" t="str">
        <f>IFERROR(__xludf.DUMMYFUNCTION("""COMPUTED_VALUE"""),"ahmedsmry12@gmail.com")</f>
        <v>ahmedsmry12@gmail.com</v>
      </c>
      <c r="G262" s="5" t="str">
        <f>IFERROR(__xludf.DUMMYFUNCTION("""COMPUTED_VALUE"""),"01118803888")</f>
        <v>01118803888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tr">
        <f>IFERROR(__xludf.DUMMYFUNCTION("""COMPUTED_VALUE"""),"نرمين صبري")</f>
        <v>نرمين صبري</v>
      </c>
      <c r="B263" s="5">
        <f>IFERROR(__xludf.DUMMYFUNCTION("""COMPUTED_VALUE"""),1.6217057696E11)</f>
        <v>162170576960</v>
      </c>
      <c r="C263" s="5" t="str">
        <f>IFERROR(__xludf.DUMMYFUNCTION("""COMPUTED_VALUE"""),"نرمين صبري")</f>
        <v>نرمين صبري</v>
      </c>
      <c r="D263" s="30" t="str">
        <f>IFERROR(__xludf.DUMMYFUNCTION("""COMPUTED_VALUE"""),"2215")</f>
        <v>2215</v>
      </c>
      <c r="E263" s="5"/>
      <c r="F263" s="5" t="str">
        <f>IFERROR(__xludf.DUMMYFUNCTION("""COMPUTED_VALUE"""),"nermeensabry992@gmail.com")</f>
        <v>nermeensabry992@gmail.com</v>
      </c>
      <c r="G263" s="5" t="str">
        <f>IFERROR(__xludf.DUMMYFUNCTION("""COMPUTED_VALUE"""),"01284529778")</f>
        <v>01284529778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tr">
        <f>IFERROR(__xludf.DUMMYFUNCTION("""COMPUTED_VALUE"""),"دعاء عرابي")</f>
        <v>دعاء عرابي</v>
      </c>
      <c r="B264" s="5">
        <f>IFERROR(__xludf.DUMMYFUNCTION("""COMPUTED_VALUE"""),8.19130827826E11)</f>
        <v>819130827826</v>
      </c>
      <c r="C264" s="5" t="str">
        <f>IFERROR(__xludf.DUMMYFUNCTION("""COMPUTED_VALUE"""),"دعاء عرابي")</f>
        <v>دعاء عرابي</v>
      </c>
      <c r="D264" s="30" t="str">
        <f>IFERROR(__xludf.DUMMYFUNCTION("""COMPUTED_VALUE"""),"2059")</f>
        <v>2059</v>
      </c>
      <c r="E264" s="5" t="str">
        <f>IFERROR(__xludf.DUMMYFUNCTION("""COMPUTED_VALUE"""),"EG10-EG11-G12")</f>
        <v>EG10-EG11-G12</v>
      </c>
      <c r="F264" s="5" t="str">
        <f>IFERROR(__xludf.DUMMYFUNCTION("""COMPUTED_VALUE"""),"doaasaber.chem@gmail.com")</f>
        <v>doaasaber.chem@gmail.com</v>
      </c>
      <c r="G264" s="5" t="str">
        <f>IFERROR(__xludf.DUMMYFUNCTION("""COMPUTED_VALUE"""),"01211523112")</f>
        <v>01211523112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tr">
        <f>IFERROR(__xludf.DUMMYFUNCTION("""COMPUTED_VALUE"""),"إنجي نبيل")</f>
        <v>إنجي نبيل</v>
      </c>
      <c r="B265" s="5">
        <f>IFERROR(__xludf.DUMMYFUNCTION("""COMPUTED_VALUE"""),8.62161701563E11)</f>
        <v>862161701563</v>
      </c>
      <c r="C265" s="5" t="str">
        <f>IFERROR(__xludf.DUMMYFUNCTION("""COMPUTED_VALUE"""),"إنجي نبيل")</f>
        <v>إنجي نبيل</v>
      </c>
      <c r="D265" s="30" t="str">
        <f>IFERROR(__xludf.DUMMYFUNCTION("""COMPUTED_VALUE"""),"2213")</f>
        <v>2213</v>
      </c>
      <c r="E265" s="5" t="str">
        <f>IFERROR(__xludf.DUMMYFUNCTION("""COMPUTED_VALUE"""),"EG07-EG08-EG09")</f>
        <v>EG07-EG08-EG09</v>
      </c>
      <c r="F265" s="5" t="str">
        <f>IFERROR(__xludf.DUMMYFUNCTION("""COMPUTED_VALUE"""),"enabil24@gmail.com")</f>
        <v>enabil24@gmail.com</v>
      </c>
      <c r="G265" s="5" t="str">
        <f>IFERROR(__xludf.DUMMYFUNCTION("""COMPUTED_VALUE"""),"01204477722")</f>
        <v>01204477722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tr">
        <f>IFERROR(__xludf.DUMMYFUNCTION("""COMPUTED_VALUE"""),"نورين طه")</f>
        <v>نورين طه</v>
      </c>
      <c r="B266" s="5">
        <f>IFERROR(__xludf.DUMMYFUNCTION("""COMPUTED_VALUE"""),8.62194859079E11)</f>
        <v>862194859079</v>
      </c>
      <c r="C266" s="5" t="str">
        <f>IFERROR(__xludf.DUMMYFUNCTION("""COMPUTED_VALUE"""),"نورين طه")</f>
        <v>نورين طه</v>
      </c>
      <c r="D266" s="30" t="str">
        <f>IFERROR(__xludf.DUMMYFUNCTION("""COMPUTED_VALUE"""),"2211")</f>
        <v>2211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tr">
        <f>IFERROR(__xludf.DUMMYFUNCTION("""COMPUTED_VALUE"""),"مروى يوسف")</f>
        <v>مروى يوسف</v>
      </c>
      <c r="B267" s="5">
        <f>IFERROR(__xludf.DUMMYFUNCTION("""COMPUTED_VALUE"""),4.8912351039E11)</f>
        <v>489123510390</v>
      </c>
      <c r="C267" s="5" t="str">
        <f>IFERROR(__xludf.DUMMYFUNCTION("""COMPUTED_VALUE"""),"مروى يوسف")</f>
        <v>مروى يوسف</v>
      </c>
      <c r="D267" s="30" t="str">
        <f>IFERROR(__xludf.DUMMYFUNCTION("""COMPUTED_VALUE"""),"2183")</f>
        <v>2183</v>
      </c>
      <c r="E267" s="5" t="str">
        <f>IFERROR(__xludf.DUMMYFUNCTION("""COMPUTED_VALUE"""),"EG04-EG05-EG06-EG07-EG08-EG09-EG10-EG11")</f>
        <v>EG04-EG05-EG06-EG07-EG08-EG09-EG10-EG11</v>
      </c>
      <c r="F267" s="5" t="str">
        <f>IFERROR(__xludf.DUMMYFUNCTION("""COMPUTED_VALUE"""),"marumoh44@gmail.com")</f>
        <v>marumoh44@gmail.com</v>
      </c>
      <c r="G267" s="5" t="str">
        <f>IFERROR(__xludf.DUMMYFUNCTION("""COMPUTED_VALUE"""),"01550859370")</f>
        <v>01550859370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tr">
        <f>IFERROR(__xludf.DUMMYFUNCTION("""COMPUTED_VALUE"""),"جوزيف حنا")</f>
        <v>جوزيف حنا</v>
      </c>
      <c r="B268" s="5">
        <f>IFERROR(__xludf.DUMMYFUNCTION("""COMPUTED_VALUE"""),4.12128504012E11)</f>
        <v>412128504012</v>
      </c>
      <c r="C268" s="5" t="str">
        <f>IFERROR(__xludf.DUMMYFUNCTION("""COMPUTED_VALUE"""),"جوزيف حنا")</f>
        <v>جوزيف حنا</v>
      </c>
      <c r="D268" s="30" t="str">
        <f>IFERROR(__xludf.DUMMYFUNCTION("""COMPUTED_VALUE"""),"2261")</f>
        <v>2261</v>
      </c>
      <c r="E268" s="5"/>
      <c r="F268" s="5" t="str">
        <f>IFERROR(__xludf.DUMMYFUNCTION("""COMPUTED_VALUE"""),"jo4391170@gmail.com")</f>
        <v>jo4391170@gmail.com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tr">
        <f>IFERROR(__xludf.DUMMYFUNCTION("""COMPUTED_VALUE"""),"عبد الرحمن السيد")</f>
        <v>عبد الرحمن السيد</v>
      </c>
      <c r="B269" s="5">
        <f>IFERROR(__xludf.DUMMYFUNCTION("""COMPUTED_VALUE"""),8.09169821473E11)</f>
        <v>809169821473</v>
      </c>
      <c r="C269" s="5" t="str">
        <f>IFERROR(__xludf.DUMMYFUNCTION("""COMPUTED_VALUE"""),"عبد الرحمن السيد")</f>
        <v>عبد الرحمن السيد</v>
      </c>
      <c r="D269" s="30" t="str">
        <f>IFERROR(__xludf.DUMMYFUNCTION("""COMPUTED_VALUE"""),"2200")</f>
        <v>2200</v>
      </c>
      <c r="E269" s="5" t="str">
        <f>IFERROR(__xludf.DUMMYFUNCTION("""COMPUTED_VALUE"""),"G11-G12")</f>
        <v>G11-G12</v>
      </c>
      <c r="F269" s="5" t="str">
        <f>IFERROR(__xludf.DUMMYFUNCTION("""COMPUTED_VALUE"""),"abdelrhman.elsayed96@gmail.com")</f>
        <v>abdelrhman.elsayed96@gmail.com</v>
      </c>
      <c r="G269" s="5" t="str">
        <f>IFERROR(__xludf.DUMMYFUNCTION("""COMPUTED_VALUE"""),"01009944752")</f>
        <v>01009944752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tr">
        <f>IFERROR(__xludf.DUMMYFUNCTION("""COMPUTED_VALUE"""),"ناهد فتحي")</f>
        <v>ناهد فتحي</v>
      </c>
      <c r="B270" s="5">
        <f>IFERROR(__xludf.DUMMYFUNCTION("""COMPUTED_VALUE"""),3.57106149247E11)</f>
        <v>357106149247</v>
      </c>
      <c r="C270" s="5" t="str">
        <f>IFERROR(__xludf.DUMMYFUNCTION("""COMPUTED_VALUE"""),"ناهد فتحي")</f>
        <v>ناهد فتحي</v>
      </c>
      <c r="D270" s="30">
        <f>IFERROR(__xludf.DUMMYFUNCTION("""COMPUTED_VALUE"""),2224.0)</f>
        <v>2224</v>
      </c>
      <c r="E270" s="5"/>
      <c r="F270" s="5" t="str">
        <f>IFERROR(__xludf.DUMMYFUNCTION("""COMPUTED_VALUE"""),"‪nahedfathy192@gmail.com")</f>
        <v>‪nahedfathy192@gmail.com</v>
      </c>
      <c r="G270" s="5" t="str">
        <f>IFERROR(__xludf.DUMMYFUNCTION("""COMPUTED_VALUE"""),"01025801482")</f>
        <v>01025801482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tr">
        <f>IFERROR(__xludf.DUMMYFUNCTION("""COMPUTED_VALUE"""),"مصطفى رجب")</f>
        <v>مصطفى رجب</v>
      </c>
      <c r="B271" s="5">
        <f>IFERROR(__xludf.DUMMYFUNCTION("""COMPUTED_VALUE"""),1.64127957037E11)</f>
        <v>164127957037</v>
      </c>
      <c r="C271" s="5" t="str">
        <f>IFERROR(__xludf.DUMMYFUNCTION("""COMPUTED_VALUE"""),"مصطفى رجب")</f>
        <v>مصطفى رجب</v>
      </c>
      <c r="D271" s="30" t="str">
        <f>IFERROR(__xludf.DUMMYFUNCTION("""COMPUTED_VALUE"""),"2234")</f>
        <v>2234</v>
      </c>
      <c r="E271" s="5" t="str">
        <f>IFERROR(__xludf.DUMMYFUNCTION("""COMPUTED_VALUE"""),"EG07-EG08-EG09")</f>
        <v>EG07-EG08-EG09</v>
      </c>
      <c r="F271" s="5" t="str">
        <f>IFERROR(__xludf.DUMMYFUNCTION("""COMPUTED_VALUE"""),"mostafa.hero0001@gmail.com")</f>
        <v>mostafa.hero0001@gmail.com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tr">
        <f>IFERROR(__xludf.DUMMYFUNCTION("""COMPUTED_VALUE"""),"محمود الصعيدي")</f>
        <v>محمود الصعيدي</v>
      </c>
      <c r="B272" s="5">
        <f>IFERROR(__xludf.DUMMYFUNCTION("""COMPUTED_VALUE"""),8.36130414695E11)</f>
        <v>836130414695</v>
      </c>
      <c r="C272" s="5" t="str">
        <f>IFERROR(__xludf.DUMMYFUNCTION("""COMPUTED_VALUE"""),"محمود الصعيدي")</f>
        <v>محمود الصعيدي</v>
      </c>
      <c r="D272" s="30">
        <f>IFERROR(__xludf.DUMMYFUNCTION("""COMPUTED_VALUE"""),2220.0)</f>
        <v>2220</v>
      </c>
      <c r="E272" s="5" t="str">
        <f>IFERROR(__xludf.DUMMYFUNCTION("""COMPUTED_VALUE"""),"EG07-EG08-EG09")</f>
        <v>EG07-EG08-EG09</v>
      </c>
      <c r="F272" s="5" t="str">
        <f>IFERROR(__xludf.DUMMYFUNCTION("""COMPUTED_VALUE"""),"elseadim@gmail.com")</f>
        <v>elseadim@gmail.com</v>
      </c>
      <c r="G272" s="5" t="str">
        <f>IFERROR(__xludf.DUMMYFUNCTION("""COMPUTED_VALUE"""),"01032561184")</f>
        <v>01032561184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tr">
        <f>IFERROR(__xludf.DUMMYFUNCTION("""COMPUTED_VALUE"""),"حسام نور الدين")</f>
        <v>حسام نور الدين</v>
      </c>
      <c r="B273" s="5">
        <f>IFERROR(__xludf.DUMMYFUNCTION("""COMPUTED_VALUE"""),1.57185923195E11)</f>
        <v>157185923195</v>
      </c>
      <c r="C273" s="5" t="str">
        <f>IFERROR(__xludf.DUMMYFUNCTION("""COMPUTED_VALUE"""),"حسام نور الدين")</f>
        <v>حسام نور الدين</v>
      </c>
      <c r="D273" s="30" t="str">
        <f>IFERROR(__xludf.DUMMYFUNCTION("""COMPUTED_VALUE"""),"2197")</f>
        <v>2197</v>
      </c>
      <c r="E273" s="5" t="str">
        <f>IFERROR(__xludf.DUMMYFUNCTION("""COMPUTED_VALUE"""),"EG07-EG08-EG09-EG10-EG11")</f>
        <v>EG07-EG08-EG09-EG10-EG11</v>
      </c>
      <c r="F273" s="5" t="str">
        <f>IFERROR(__xludf.DUMMYFUNCTION("""COMPUTED_VALUE"""),"hossamnourahmed@gmail.com")</f>
        <v>hossamnourahmed@gmail.com</v>
      </c>
      <c r="G273" s="5" t="str">
        <f>IFERROR(__xludf.DUMMYFUNCTION("""COMPUTED_VALUE"""),"01141205561")</f>
        <v>01141205561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tr">
        <f>IFERROR(__xludf.DUMMYFUNCTION("""COMPUTED_VALUE"""),"الشيماء عبد الرحمن")</f>
        <v>الشيماء عبد الرحمن</v>
      </c>
      <c r="B274" s="5">
        <f>IFERROR(__xludf.DUMMYFUNCTION("""COMPUTED_VALUE"""),5.08196965395E11)</f>
        <v>508196965395</v>
      </c>
      <c r="C274" s="5" t="str">
        <f>IFERROR(__xludf.DUMMYFUNCTION("""COMPUTED_VALUE"""),"الشيماء عبد الرحمن")</f>
        <v>الشيماء عبد الرحمن</v>
      </c>
      <c r="D274" s="30" t="str">
        <f>IFERROR(__xludf.DUMMYFUNCTION("""COMPUTED_VALUE"""),"2219")</f>
        <v>2219</v>
      </c>
      <c r="E274" s="5" t="str">
        <f>IFERROR(__xludf.DUMMYFUNCTION("""COMPUTED_VALUE"""),"EG04-EG05-EG06")</f>
        <v>EG04-EG05-EG06</v>
      </c>
      <c r="F274" s="5" t="str">
        <f>IFERROR(__xludf.DUMMYFUNCTION("""COMPUTED_VALUE"""),"shimmaabdalrhman@gmail.com")</f>
        <v>shimmaabdalrhman@gmail.com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tr">
        <f>IFERROR(__xludf.DUMMYFUNCTION("""COMPUTED_VALUE"""),"حسني الهاشمي")</f>
        <v>حسني الهاشمي</v>
      </c>
      <c r="B275" s="5">
        <f>IFERROR(__xludf.DUMMYFUNCTION("""COMPUTED_VALUE"""),9.26164261364E11)</f>
        <v>926164261364</v>
      </c>
      <c r="C275" s="5" t="str">
        <f>IFERROR(__xludf.DUMMYFUNCTION("""COMPUTED_VALUE"""),"حسني الهاشمي")</f>
        <v>حسني الهاشمي</v>
      </c>
      <c r="D275" s="30">
        <f>IFERROR(__xludf.DUMMYFUNCTION("""COMPUTED_VALUE"""),2217.0)</f>
        <v>2217</v>
      </c>
      <c r="E275" s="5" t="str">
        <f>IFERROR(__xludf.DUMMYFUNCTION("""COMPUTED_VALUE"""),"Philosophy EG10-EG11-EG12
 Psychology EG11-EG12")</f>
        <v>Philosophy EG10-EG11-EG12
 Psychology EG11-EG12</v>
      </c>
      <c r="F275" s="5" t="str">
        <f>IFERROR(__xludf.DUMMYFUNCTION("""COMPUTED_VALUE"""),"hosni_edu@msn.com")</f>
        <v>hosni_edu@msn.com</v>
      </c>
      <c r="G275" s="5" t="str">
        <f>IFERROR(__xludf.DUMMYFUNCTION("""COMPUTED_VALUE"""),"01143344200")</f>
        <v>01143344200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tr">
        <f>IFERROR(__xludf.DUMMYFUNCTION("""COMPUTED_VALUE"""),"فاطمة دهب")</f>
        <v>فاطمة دهب</v>
      </c>
      <c r="B276" s="5">
        <f>IFERROR(__xludf.DUMMYFUNCTION("""COMPUTED_VALUE"""),5.86103986059E11)</f>
        <v>586103986059</v>
      </c>
      <c r="C276" s="5" t="str">
        <f>IFERROR(__xludf.DUMMYFUNCTION("""COMPUTED_VALUE"""),"فاطمة دهب")</f>
        <v>فاطمة دهب</v>
      </c>
      <c r="D276" s="30" t="str">
        <f>IFERROR(__xludf.DUMMYFUNCTION("""COMPUTED_VALUE"""),"2218")</f>
        <v>2218</v>
      </c>
      <c r="E276" s="5" t="str">
        <f>IFERROR(__xludf.DUMMYFUNCTION("""COMPUTED_VALUE"""),"EG07-EG08-EG09-EG10-EG11")</f>
        <v>EG07-EG08-EG09-EG10-EG11</v>
      </c>
      <c r="F276" s="5" t="str">
        <f>IFERROR(__xludf.DUMMYFUNCTION("""COMPUTED_VALUE"""),"fatmadahab55@gmail.com")</f>
        <v>fatmadahab55@gmail.com</v>
      </c>
      <c r="G276" s="5" t="str">
        <f>IFERROR(__xludf.DUMMYFUNCTION("""COMPUTED_VALUE"""),"01147619592")</f>
        <v>01147619592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tr">
        <f>IFERROR(__xludf.DUMMYFUNCTION("""COMPUTED_VALUE"""),"أسماء محمود")</f>
        <v>أسماء محمود</v>
      </c>
      <c r="B277" s="5">
        <f>IFERROR(__xludf.DUMMYFUNCTION("""COMPUTED_VALUE"""),9.52162913989E11)</f>
        <v>952162913989</v>
      </c>
      <c r="C277" s="5" t="str">
        <f>IFERROR(__xludf.DUMMYFUNCTION("""COMPUTED_VALUE"""),"أسماء محمود")</f>
        <v>أسماء محمود</v>
      </c>
      <c r="D277" s="30">
        <f>IFERROR(__xludf.DUMMYFUNCTION("""COMPUTED_VALUE"""),2223.0)</f>
        <v>2223</v>
      </c>
      <c r="E277" s="5" t="str">
        <f>IFERROR(__xludf.DUMMYFUNCTION("""COMPUTED_VALUE"""),"EG04-EG05-EG06-EG07-EG08")</f>
        <v>EG04-EG05-EG06-EG07-EG08</v>
      </c>
      <c r="F277" s="5" t="str">
        <f>IFERROR(__xludf.DUMMYFUNCTION("""COMPUTED_VALUE"""),"asmmasalim22@gmail.com")</f>
        <v>asmmasalim22@gmail.com</v>
      </c>
      <c r="G277" s="5" t="str">
        <f>IFERROR(__xludf.DUMMYFUNCTION("""COMPUTED_VALUE"""),"01033304652")</f>
        <v>01033304652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tr">
        <f>IFERROR(__xludf.DUMMYFUNCTION("""COMPUTED_VALUE"""),"محمد هدية")</f>
        <v>محمد هدية</v>
      </c>
      <c r="B278" s="5">
        <f>IFERROR(__xludf.DUMMYFUNCTION("""COMPUTED_VALUE"""),3.16181624372E11)</f>
        <v>316181624372</v>
      </c>
      <c r="C278" s="5" t="str">
        <f>IFERROR(__xludf.DUMMYFUNCTION("""COMPUTED_VALUE"""),"محمد هدية")</f>
        <v>محمد هدية</v>
      </c>
      <c r="D278" s="30" t="str">
        <f>IFERROR(__xludf.DUMMYFUNCTION("""COMPUTED_VALUE"""),"1734")</f>
        <v>1734</v>
      </c>
      <c r="E278" s="5" t="str">
        <f>IFERROR(__xludf.DUMMYFUNCTION("""COMPUTED_VALUE"""),"EG07-EG08-EG09")</f>
        <v>EG07-EG08-EG09</v>
      </c>
      <c r="F278" s="5" t="str">
        <f>IFERROR(__xludf.DUMMYFUNCTION("""COMPUTED_VALUE"""),"mohamed291284@gmail.com")</f>
        <v>mohamed291284@gmail.com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tr">
        <f>IFERROR(__xludf.DUMMYFUNCTION("""COMPUTED_VALUE"""),"ريهام مصطفى")</f>
        <v>ريهام مصطفى</v>
      </c>
      <c r="B279" s="5">
        <f>IFERROR(__xludf.DUMMYFUNCTION("""COMPUTED_VALUE"""),7.54121315321E11)</f>
        <v>754121315321</v>
      </c>
      <c r="C279" s="5" t="str">
        <f>IFERROR(__xludf.DUMMYFUNCTION("""COMPUTED_VALUE"""),"ريهام مصطفى")</f>
        <v>ريهام مصطفى</v>
      </c>
      <c r="D279" s="30">
        <f>IFERROR(__xludf.DUMMYFUNCTION("""COMPUTED_VALUE"""),2222.0)</f>
        <v>2222</v>
      </c>
      <c r="E279" s="5" t="str">
        <f>IFERROR(__xludf.DUMMYFUNCTION("""COMPUTED_VALUE"""),"EG04-EG05-EG06")</f>
        <v>EG04-EG05-EG06</v>
      </c>
      <c r="F279" s="5" t="str">
        <f>IFERROR(__xludf.DUMMYFUNCTION("""COMPUTED_VALUE"""),"reham_2013@yahoo.com")</f>
        <v>reham_2013@yahoo.com</v>
      </c>
      <c r="G279" s="5" t="str">
        <f>IFERROR(__xludf.DUMMYFUNCTION("""COMPUTED_VALUE"""),"01152340498")</f>
        <v>01152340498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tr">
        <f>IFERROR(__xludf.DUMMYFUNCTION("""COMPUTED_VALUE"""),"محمود السايح")</f>
        <v>محمود السايح</v>
      </c>
      <c r="B280" s="5">
        <f>IFERROR(__xludf.DUMMYFUNCTION("""COMPUTED_VALUE"""),8.50173474604E11)</f>
        <v>850173474604</v>
      </c>
      <c r="C280" s="5" t="str">
        <f>IFERROR(__xludf.DUMMYFUNCTION("""COMPUTED_VALUE"""),"محمود السايح")</f>
        <v>محمود السايح</v>
      </c>
      <c r="D280" s="5">
        <f>IFERROR(__xludf.DUMMYFUNCTION("""COMPUTED_VALUE"""),2235.0)</f>
        <v>2235</v>
      </c>
      <c r="E280" s="5"/>
      <c r="F280" s="5" t="str">
        <f>IFERROR(__xludf.DUMMYFUNCTION("""COMPUTED_VALUE"""),"mahmouedalsayh5@gmail.com")</f>
        <v>mahmouedalsayh5@gmail.com</v>
      </c>
      <c r="G280" s="5" t="str">
        <f>IFERROR(__xludf.DUMMYFUNCTION("""COMPUTED_VALUE"""),"01003104577")</f>
        <v>01003104577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tr">
        <f>IFERROR(__xludf.DUMMYFUNCTION("""COMPUTED_VALUE"""),"رنا عبد الحميد")</f>
        <v>رنا عبد الحميد</v>
      </c>
      <c r="B281" s="5">
        <f>IFERROR(__xludf.DUMMYFUNCTION("""COMPUTED_VALUE"""),1.26140183639E11)</f>
        <v>126140183639</v>
      </c>
      <c r="C281" s="5" t="str">
        <f>IFERROR(__xludf.DUMMYFUNCTION("""COMPUTED_VALUE"""),"رنا عبد الحميد")</f>
        <v>رنا عبد الحميد</v>
      </c>
      <c r="D281" s="30" t="str">
        <f>IFERROR(__xludf.DUMMYFUNCTION("""COMPUTED_VALUE"""),"2221")</f>
        <v>2221</v>
      </c>
      <c r="E281" s="5" t="str">
        <f>IFERROR(__xludf.DUMMYFUNCTION("""COMPUTED_VALUE"""),"EG04-EG05-EG06-EG07-EG08")</f>
        <v>EG04-EG05-EG06-EG07-EG08</v>
      </c>
      <c r="F281" s="5" t="str">
        <f>IFERROR(__xludf.DUMMYFUNCTION("""COMPUTED_VALUE"""),"mis.rana811@gmail.com")</f>
        <v>mis.rana811@gmail.com</v>
      </c>
      <c r="G281" s="5" t="str">
        <f>IFERROR(__xludf.DUMMYFUNCTION("""COMPUTED_VALUE"""),"01211401694")</f>
        <v>01211401694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tr">
        <f>IFERROR(__xludf.DUMMYFUNCTION("""COMPUTED_VALUE"""),"نورهان صادق")</f>
        <v>نورهان صادق</v>
      </c>
      <c r="B282" s="5">
        <f>IFERROR(__xludf.DUMMYFUNCTION("""COMPUTED_VALUE"""),9.80129038038E11)</f>
        <v>980129038038</v>
      </c>
      <c r="C282" s="5" t="str">
        <f>IFERROR(__xludf.DUMMYFUNCTION("""COMPUTED_VALUE"""),"نورهان صادق")</f>
        <v>نورهان صادق</v>
      </c>
      <c r="D282" s="5">
        <f>IFERROR(__xludf.DUMMYFUNCTION("""COMPUTED_VALUE"""),2238.0)</f>
        <v>2238</v>
      </c>
      <c r="E282" s="5" t="str">
        <f>IFERROR(__xludf.DUMMYFUNCTION("""COMPUTED_VALUE"""),"EG04-EG05-EG06")</f>
        <v>EG04-EG05-EG06</v>
      </c>
      <c r="F282" s="5" t="str">
        <f>IFERROR(__xludf.DUMMYFUNCTION("""COMPUTED_VALUE"""),"noursadek219@gmail.com")</f>
        <v>noursadek219@gmail.com</v>
      </c>
      <c r="G282" s="5" t="str">
        <f>IFERROR(__xludf.DUMMYFUNCTION("""COMPUTED_VALUE"""),"01200935348")</f>
        <v>01200935348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tr">
        <f>IFERROR(__xludf.DUMMYFUNCTION("""COMPUTED_VALUE"""),"محمد الصاوي")</f>
        <v>محمد الصاوي</v>
      </c>
      <c r="B283" s="5">
        <f>IFERROR(__xludf.DUMMYFUNCTION("""COMPUTED_VALUE"""),6.02141491647E11)</f>
        <v>602141491647</v>
      </c>
      <c r="C283" s="5" t="str">
        <f>IFERROR(__xludf.DUMMYFUNCTION("""COMPUTED_VALUE"""),"محمد الصاوي")</f>
        <v>محمد الصاوي</v>
      </c>
      <c r="D283" s="5">
        <f>IFERROR(__xludf.DUMMYFUNCTION("""COMPUTED_VALUE"""),2237.0)</f>
        <v>2237</v>
      </c>
      <c r="E283" s="5" t="str">
        <f>IFERROR(__xludf.DUMMYFUNCTION("""COMPUTED_VALUE"""),"EG10-EG11-G12")</f>
        <v>EG10-EG11-G12</v>
      </c>
      <c r="F283" s="5" t="str">
        <f>IFERROR(__xludf.DUMMYFUNCTION("""COMPUTED_VALUE"""),"moelsawy251@gmail.com")</f>
        <v>moelsawy251@gmail.com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tr">
        <f>IFERROR(__xludf.DUMMYFUNCTION("""COMPUTED_VALUE"""),"دينا سليمان")</f>
        <v>دينا سليمان</v>
      </c>
      <c r="B284" s="5">
        <f>IFERROR(__xludf.DUMMYFUNCTION("""COMPUTED_VALUE"""),9.32148693706E11)</f>
        <v>932148693706</v>
      </c>
      <c r="C284" s="5" t="str">
        <f>IFERROR(__xludf.DUMMYFUNCTION("""COMPUTED_VALUE"""),"دينا سليمان")</f>
        <v>دينا سليمان</v>
      </c>
      <c r="D284" s="5">
        <f>IFERROR(__xludf.DUMMYFUNCTION("""COMPUTED_VALUE"""),2233.0)</f>
        <v>2233</v>
      </c>
      <c r="E284" s="5" t="str">
        <f>IFERROR(__xludf.DUMMYFUNCTION("""COMPUTED_VALUE"""),"Science: EG04-EG05-EG06
العلوم: EG07-EG08-EG09-
الأحياء: G11-G12")</f>
        <v>Science: EG04-EG05-EG06
العلوم: EG07-EG08-EG09-
الأحياء: G11-G12</v>
      </c>
      <c r="F284" s="5" t="str">
        <f>IFERROR(__xludf.DUMMYFUNCTION("""COMPUTED_VALUE"""),"doddaheart2003@gmail.com")</f>
        <v>doddaheart2003@gmail.com</v>
      </c>
      <c r="G284" s="5" t="str">
        <f>IFERROR(__xludf.DUMMYFUNCTION("""COMPUTED_VALUE"""),"0111105994")</f>
        <v>0111105994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tr">
        <f>IFERROR(__xludf.DUMMYFUNCTION("""COMPUTED_VALUE"""),"الشيماء جمال")</f>
        <v>الشيماء جمال</v>
      </c>
      <c r="B285" s="5">
        <f>IFERROR(__xludf.DUMMYFUNCTION("""COMPUTED_VALUE"""),5.72181296785E11)</f>
        <v>572181296785</v>
      </c>
      <c r="C285" s="5" t="str">
        <f>IFERROR(__xludf.DUMMYFUNCTION("""COMPUTED_VALUE"""),"الشيماء جمال")</f>
        <v>الشيماء جمال</v>
      </c>
      <c r="D285" s="30" t="str">
        <f>IFERROR(__xludf.DUMMYFUNCTION("""COMPUTED_VALUE"""),"2240")</f>
        <v>2240</v>
      </c>
      <c r="E285" s="5"/>
      <c r="F285" s="5" t="str">
        <f>IFERROR(__xludf.DUMMYFUNCTION("""COMPUTED_VALUE"""),"alshaimaag062@gmail.com")</f>
        <v>alshaimaag062@gmail.com</v>
      </c>
      <c r="G285" s="5" t="str">
        <f>IFERROR(__xludf.DUMMYFUNCTION("""COMPUTED_VALUE"""),"01094815086")</f>
        <v>01094815086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tr">
        <f>IFERROR(__xludf.DUMMYFUNCTION("""COMPUTED_VALUE"""),"إسراء مرسي")</f>
        <v>إسراء مرسي</v>
      </c>
      <c r="B286" s="5">
        <f>IFERROR(__xludf.DUMMYFUNCTION("""COMPUTED_VALUE"""),9.43182573596E11)</f>
        <v>943182573596</v>
      </c>
      <c r="C286" s="5" t="str">
        <f>IFERROR(__xludf.DUMMYFUNCTION("""COMPUTED_VALUE"""),"إسراء مرسي")</f>
        <v>إسراء مرسي</v>
      </c>
      <c r="D286" s="5" t="str">
        <f>IFERROR(__xludf.DUMMYFUNCTION("""COMPUTED_VALUE"""),"#N/A")</f>
        <v>#N/A</v>
      </c>
      <c r="E286" s="5"/>
      <c r="F286" s="5" t="str">
        <f>IFERROR(__xludf.DUMMYFUNCTION("""COMPUTED_VALUE"""),"esraamorsy78@gmail.com")</f>
        <v>esraamorsy78@gmail.com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tr">
        <f>IFERROR(__xludf.DUMMYFUNCTION("""COMPUTED_VALUE"""),"أسماء أشرف")</f>
        <v>أسماء أشرف</v>
      </c>
      <c r="B287" s="5">
        <f>IFERROR(__xludf.DUMMYFUNCTION("""COMPUTED_VALUE"""),3.63152838573E11)</f>
        <v>363152838573</v>
      </c>
      <c r="C287" s="5" t="str">
        <f>IFERROR(__xludf.DUMMYFUNCTION("""COMPUTED_VALUE"""),"أسماء أشرف")</f>
        <v>أسماء أشرف</v>
      </c>
      <c r="D287" s="30" t="str">
        <f>IFERROR(__xludf.DUMMYFUNCTION("""COMPUTED_VALUE"""),"2310")</f>
        <v>2310</v>
      </c>
      <c r="E287" s="5"/>
      <c r="F287" s="5" t="str">
        <f>IFERROR(__xludf.DUMMYFUNCTION("""COMPUTED_VALUE"""),"asmaaashraf.aa@gmail.com")</f>
        <v>asmaaashraf.aa@gmail.com</v>
      </c>
      <c r="G287" s="5" t="str">
        <f>IFERROR(__xludf.DUMMYFUNCTION("""COMPUTED_VALUE"""),"01015511375")</f>
        <v>01015511375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tr">
        <f>IFERROR(__xludf.DUMMYFUNCTION("""COMPUTED_VALUE"""),"فاطمة حمدي")</f>
        <v>فاطمة حمدي</v>
      </c>
      <c r="B288" s="5">
        <f>IFERROR(__xludf.DUMMYFUNCTION("""COMPUTED_VALUE"""),5.60197507192E11)</f>
        <v>560197507192</v>
      </c>
      <c r="C288" s="5" t="str">
        <f>IFERROR(__xludf.DUMMYFUNCTION("""COMPUTED_VALUE"""),"فاطمة حمدي")</f>
        <v>فاطمة حمدي</v>
      </c>
      <c r="D288" s="30" t="str">
        <f>IFERROR(__xludf.DUMMYFUNCTION("""COMPUTED_VALUE"""),"2245")</f>
        <v>2245</v>
      </c>
      <c r="E288" s="5"/>
      <c r="F288" s="5" t="str">
        <f>IFERROR(__xludf.DUMMYFUNCTION("""COMPUTED_VALUE"""),"samarhamdy793@gmail.com")</f>
        <v>samarhamdy793@gmail.com</v>
      </c>
      <c r="G288" s="5" t="str">
        <f>IFERROR(__xludf.DUMMYFUNCTION("""COMPUTED_VALUE"""),"01204852813")</f>
        <v>01204852813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tr">
        <f>IFERROR(__xludf.DUMMYFUNCTION("""COMPUTED_VALUE"""),"سارة عثمان")</f>
        <v>سارة عثمان</v>
      </c>
      <c r="B289" s="5">
        <f>IFERROR(__xludf.DUMMYFUNCTION("""COMPUTED_VALUE"""),4.27179795127E11)</f>
        <v>427179795127</v>
      </c>
      <c r="C289" s="5" t="str">
        <f>IFERROR(__xludf.DUMMYFUNCTION("""COMPUTED_VALUE"""),"سارة عثمان")</f>
        <v>سارة عثمان</v>
      </c>
      <c r="D289" s="30" t="str">
        <f>IFERROR(__xludf.DUMMYFUNCTION("""COMPUTED_VALUE"""),"2248")</f>
        <v>2248</v>
      </c>
      <c r="E289" s="5"/>
      <c r="F289" s="5" t="str">
        <f>IFERROR(__xludf.DUMMYFUNCTION("""COMPUTED_VALUE"""),"sa.othman8@gmail.com")</f>
        <v>sa.othman8@gmail.com</v>
      </c>
      <c r="G289" s="5" t="str">
        <f>IFERROR(__xludf.DUMMYFUNCTION("""COMPUTED_VALUE"""),"01022637927")</f>
        <v>01022637927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tr">
        <f>IFERROR(__xludf.DUMMYFUNCTION("""COMPUTED_VALUE"""),"مروة عبد الشافي")</f>
        <v>مروة عبد الشافي</v>
      </c>
      <c r="B290" s="5">
        <f>IFERROR(__xludf.DUMMYFUNCTION("""COMPUTED_VALUE"""),7.97175802139E11)</f>
        <v>797175802139</v>
      </c>
      <c r="C290" s="5" t="str">
        <f>IFERROR(__xludf.DUMMYFUNCTION("""COMPUTED_VALUE"""),"مروة عبد الشافي")</f>
        <v>مروة عبد الشافي</v>
      </c>
      <c r="D290" s="30" t="str">
        <f>IFERROR(__xludf.DUMMYFUNCTION("""COMPUTED_VALUE"""),"2266")</f>
        <v>2266</v>
      </c>
      <c r="E290" s="5"/>
      <c r="F290" s="5" t="str">
        <f>IFERROR(__xludf.DUMMYFUNCTION("""COMPUTED_VALUE"""),"marmar.elmahdy@gmail.com")</f>
        <v>marmar.elmahdy@gmail.com</v>
      </c>
      <c r="G290" s="5" t="str">
        <f>IFERROR(__xludf.DUMMYFUNCTION("""COMPUTED_VALUE"""),"01061732805-01289867044")</f>
        <v>01061732805-01289867044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tr">
        <f>IFERROR(__xludf.DUMMYFUNCTION("""COMPUTED_VALUE"""),"ياسمين محروس")</f>
        <v>ياسمين محروس</v>
      </c>
      <c r="B291" s="5">
        <f>IFERROR(__xludf.DUMMYFUNCTION("""COMPUTED_VALUE"""),3.87193739376E11)</f>
        <v>387193739376</v>
      </c>
      <c r="C291" s="5" t="str">
        <f>IFERROR(__xludf.DUMMYFUNCTION("""COMPUTED_VALUE"""),"ياسمين محروس")</f>
        <v>ياسمين محروس</v>
      </c>
      <c r="D291" s="30" t="str">
        <f>IFERROR(__xludf.DUMMYFUNCTION("""COMPUTED_VALUE"""),"2246")</f>
        <v>2246</v>
      </c>
      <c r="E291" s="5" t="str">
        <f>IFERROR(__xludf.DUMMYFUNCTION("""COMPUTED_VALUE"""),"EG01-EG02-EG03-EG04-EG05-EG06-")</f>
        <v>EG01-EG02-EG03-EG04-EG05-EG06-</v>
      </c>
      <c r="F291" s="5" t="str">
        <f>IFERROR(__xludf.DUMMYFUNCTION("""COMPUTED_VALUE"""),"yoyotamer2345@gmail.com")</f>
        <v>yoyotamer2345@gmail.com</v>
      </c>
      <c r="G291" s="5" t="str">
        <f>IFERROR(__xludf.DUMMYFUNCTION("""COMPUTED_VALUE"""),"01114556924")</f>
        <v>01114556924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tr">
        <f>IFERROR(__xludf.DUMMYFUNCTION("""COMPUTED_VALUE"""),"حسام أحمد")</f>
        <v>حسام أحمد</v>
      </c>
      <c r="B292" s="5">
        <f>IFERROR(__xludf.DUMMYFUNCTION("""COMPUTED_VALUE"""),4.80107524608E11)</f>
        <v>480107524608</v>
      </c>
      <c r="C292" s="5" t="str">
        <f>IFERROR(__xludf.DUMMYFUNCTION("""COMPUTED_VALUE"""),"حسام أحمد")</f>
        <v>حسام أحمد</v>
      </c>
      <c r="D292" s="30" t="str">
        <f>IFERROR(__xludf.DUMMYFUNCTION("""COMPUTED_VALUE"""),"2214")</f>
        <v>2214</v>
      </c>
      <c r="E292" s="5" t="str">
        <f>IFERROR(__xludf.DUMMYFUNCTION("""COMPUTED_VALUE"""),"EG04-EG05-EG06-EG07")</f>
        <v>EG04-EG05-EG06-EG07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tr">
        <f>IFERROR(__xludf.DUMMYFUNCTION("""COMPUTED_VALUE"""),"مها عبد الله")</f>
        <v>مها عبد الله</v>
      </c>
      <c r="B293" s="5">
        <f>IFERROR(__xludf.DUMMYFUNCTION("""COMPUTED_VALUE"""),8.65121843486E11)</f>
        <v>865121843486</v>
      </c>
      <c r="C293" s="5" t="str">
        <f>IFERROR(__xludf.DUMMYFUNCTION("""COMPUTED_VALUE"""),"مها عبد الله")</f>
        <v>مها عبد الله</v>
      </c>
      <c r="D293" s="30" t="str">
        <f>IFERROR(__xludf.DUMMYFUNCTION("""COMPUTED_VALUE"""),"2244")</f>
        <v>2244</v>
      </c>
      <c r="E293" s="5"/>
      <c r="F293" s="5" t="str">
        <f>IFERROR(__xludf.DUMMYFUNCTION("""COMPUTED_VALUE"""),"mahahimony@gmail.com")</f>
        <v>mahahimony@gmail.com</v>
      </c>
      <c r="G293" s="5" t="str">
        <f>IFERROR(__xludf.DUMMYFUNCTION("""COMPUTED_VALUE"""),"01156615561")</f>
        <v>01156615561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tr">
        <f>IFERROR(__xludf.DUMMYFUNCTION("""COMPUTED_VALUE"""),"طارق سمير")</f>
        <v>طارق سمير</v>
      </c>
      <c r="B294" s="5">
        <f>IFERROR(__xludf.DUMMYFUNCTION("""COMPUTED_VALUE"""),8.14163407679E11)</f>
        <v>814163407679</v>
      </c>
      <c r="C294" s="5" t="str">
        <f>IFERROR(__xludf.DUMMYFUNCTION("""COMPUTED_VALUE"""),"طارق سمير")</f>
        <v>طارق سمير</v>
      </c>
      <c r="D294" s="30">
        <f>IFERROR(__xludf.DUMMYFUNCTION("""COMPUTED_VALUE"""),2216.0)</f>
        <v>2216</v>
      </c>
      <c r="E294" s="5"/>
      <c r="F294" s="5" t="str">
        <f>IFERROR(__xludf.DUMMYFUNCTION("""COMPUTED_VALUE"""),"tarektoty101@gmail.com")</f>
        <v>tarektoty101@gmail.com</v>
      </c>
      <c r="G294" s="5" t="str">
        <f>IFERROR(__xludf.DUMMYFUNCTION("""COMPUTED_VALUE"""),"01145921925 - 01557287290")</f>
        <v>01145921925 - 01557287290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tr">
        <f>IFERROR(__xludf.DUMMYFUNCTION("""COMPUTED_VALUE"""),"بشرى عاطف")</f>
        <v>بشرى عاطف</v>
      </c>
      <c r="B295" s="5">
        <f>IFERROR(__xludf.DUMMYFUNCTION("""COMPUTED_VALUE"""),6.54103435717E11)</f>
        <v>654103435717</v>
      </c>
      <c r="C295" s="5" t="str">
        <f>IFERROR(__xludf.DUMMYFUNCTION("""COMPUTED_VALUE"""),"بشرى عاطف")</f>
        <v>بشرى عاطف</v>
      </c>
      <c r="D295" s="30" t="str">
        <f>IFERROR(__xludf.DUMMYFUNCTION("""COMPUTED_VALUE"""),"2247")</f>
        <v>2247</v>
      </c>
      <c r="E295" s="5" t="str">
        <f>IFERROR(__xludf.DUMMYFUNCTION("""COMPUTED_VALUE"""),"EG04-EG05-EG06-EG07-EG08")</f>
        <v>EG04-EG05-EG06-EG07-EG08</v>
      </c>
      <c r="F295" s="5" t="str">
        <f>IFERROR(__xludf.DUMMYFUNCTION("""COMPUTED_VALUE"""),"bushra0atif@gmail.com")</f>
        <v>bushra0atif@gmail.com</v>
      </c>
      <c r="G295" s="5" t="str">
        <f>IFERROR(__xludf.DUMMYFUNCTION("""COMPUTED_VALUE"""),"01125625432")</f>
        <v>01125625432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tr">
        <f>IFERROR(__xludf.DUMMYFUNCTION("""COMPUTED_VALUE"""),"بولس جرجس")</f>
        <v>بولس جرجس</v>
      </c>
      <c r="B296" s="5">
        <f>IFERROR(__xludf.DUMMYFUNCTION("""COMPUTED_VALUE"""),1.38131034206E11)</f>
        <v>138131034206</v>
      </c>
      <c r="C296" s="5" t="str">
        <f>IFERROR(__xludf.DUMMYFUNCTION("""COMPUTED_VALUE"""),"بولس جرجس")</f>
        <v>بولس جرجس</v>
      </c>
      <c r="D296" s="30">
        <f>IFERROR(__xludf.DUMMYFUNCTION("""COMPUTED_VALUE"""),2231.0)</f>
        <v>2231</v>
      </c>
      <c r="E296" s="5" t="str">
        <f>IFERROR(__xludf.DUMMYFUNCTION("""COMPUTED_VALUE"""),"EG10-EG11-G12")</f>
        <v>EG10-EG11-G12</v>
      </c>
      <c r="F296" s="5" t="str">
        <f>IFERROR(__xludf.DUMMYFUNCTION("""COMPUTED_VALUE"""),"paologeorge369@gmail.com")</f>
        <v>paologeorge369@gmail.com</v>
      </c>
      <c r="G296" s="5" t="str">
        <f>IFERROR(__xludf.DUMMYFUNCTION("""COMPUTED_VALUE"""),"01225258456")</f>
        <v>01225258456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tr">
        <f>IFERROR(__xludf.DUMMYFUNCTION("""COMPUTED_VALUE"""),"تامر فاضل")</f>
        <v>تامر فاضل</v>
      </c>
      <c r="B297" s="5">
        <f>IFERROR(__xludf.DUMMYFUNCTION("""COMPUTED_VALUE"""),3.60178214932E11)</f>
        <v>360178214932</v>
      </c>
      <c r="C297" s="5" t="str">
        <f>IFERROR(__xludf.DUMMYFUNCTION("""COMPUTED_VALUE"""),"تامر فاضل")</f>
        <v>تامر فاضل</v>
      </c>
      <c r="D297" s="30" t="str">
        <f>IFERROR(__xludf.DUMMYFUNCTION("""COMPUTED_VALUE"""),"2249")</f>
        <v>2249</v>
      </c>
      <c r="E297" s="5" t="str">
        <f>IFERROR(__xludf.DUMMYFUNCTION("""COMPUTED_VALUE"""),"EG04-EG05-EG06-EG07-EG08-EG09")</f>
        <v>EG04-EG05-EG06-EG07-EG08-EG09</v>
      </c>
      <c r="F297" s="5" t="str">
        <f>IFERROR(__xludf.DUMMYFUNCTION("""COMPUTED_VALUE"""),"tamermfadel@gmail.com")</f>
        <v>tamermfadel@gmail.com</v>
      </c>
      <c r="G297" s="5" t="str">
        <f>IFERROR(__xludf.DUMMYFUNCTION("""COMPUTED_VALUE"""),"01220629701")</f>
        <v>01220629701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tr">
        <f>IFERROR(__xludf.DUMMYFUNCTION("""COMPUTED_VALUE"""),"آمال حجازي")</f>
        <v>آمال حجازي</v>
      </c>
      <c r="B298" s="5">
        <f>IFERROR(__xludf.DUMMYFUNCTION("""COMPUTED_VALUE"""),4.85105671631E11)</f>
        <v>485105671631</v>
      </c>
      <c r="C298" s="5" t="str">
        <f>IFERROR(__xludf.DUMMYFUNCTION("""COMPUTED_VALUE"""),"آمال حجازي")</f>
        <v>آمال حجازي</v>
      </c>
      <c r="D298" s="5" t="str">
        <f>IFERROR(__xludf.DUMMYFUNCTION("""COMPUTED_VALUE"""),"2243")</f>
        <v>2243</v>
      </c>
      <c r="E298" s="5" t="str">
        <f>IFERROR(__xludf.DUMMYFUNCTION("""COMPUTED_VALUE"""),"EG10-EG11")</f>
        <v>EG10-EG11</v>
      </c>
      <c r="F298" s="5" t="str">
        <f>IFERROR(__xludf.DUMMYFUNCTION("""COMPUTED_VALUE"""),"amalhegazy1628@gmail.com")</f>
        <v>amalhegazy1628@gmail.com</v>
      </c>
      <c r="G298" s="5" t="str">
        <f>IFERROR(__xludf.DUMMYFUNCTION("""COMPUTED_VALUE"""),"01142006904")</f>
        <v>01142006904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tr">
        <f>IFERROR(__xludf.DUMMYFUNCTION("""COMPUTED_VALUE"""),"إسراء أحمد")</f>
        <v>إسراء أحمد</v>
      </c>
      <c r="B299" s="5">
        <f>IFERROR(__xludf.DUMMYFUNCTION("""COMPUTED_VALUE"""),4.93126089393E11)</f>
        <v>493126089393</v>
      </c>
      <c r="C299" s="5" t="str">
        <f>IFERROR(__xludf.DUMMYFUNCTION("""COMPUTED_VALUE"""),"إسراء أحمد")</f>
        <v>إسراء أحمد</v>
      </c>
      <c r="D299" s="30" t="str">
        <f>IFERROR(__xludf.DUMMYFUNCTION("""COMPUTED_VALUE"""),"2230")</f>
        <v>2230</v>
      </c>
      <c r="E299" s="5"/>
      <c r="F299" s="5" t="str">
        <f>IFERROR(__xludf.DUMMYFUNCTION("""COMPUTED_VALUE"""),"ei8933954@gmail.com")</f>
        <v>ei8933954@gmail.com</v>
      </c>
      <c r="G299" s="5" t="str">
        <f>IFERROR(__xludf.DUMMYFUNCTION("""COMPUTED_VALUE"""),"01202150818")</f>
        <v>01202150818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tr">
        <f>IFERROR(__xludf.DUMMYFUNCTION("""COMPUTED_VALUE"""),"سارة دهشان")</f>
        <v>سارة دهشان</v>
      </c>
      <c r="B300" s="5">
        <f>IFERROR(__xludf.DUMMYFUNCTION("""COMPUTED_VALUE"""),9.63108518023E11)</f>
        <v>963108518023</v>
      </c>
      <c r="C300" s="5" t="str">
        <f>IFERROR(__xludf.DUMMYFUNCTION("""COMPUTED_VALUE"""),"سارة دهشان")</f>
        <v>سارة دهشان</v>
      </c>
      <c r="D300" s="5" t="str">
        <f>IFERROR(__xludf.DUMMYFUNCTION("""COMPUTED_VALUE"""),"#N/A")</f>
        <v>#N/A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tr">
        <f>IFERROR(__xludf.DUMMYFUNCTION("""COMPUTED_VALUE"""),"مصطفى عطا الله")</f>
        <v>مصطفى عطا الله</v>
      </c>
      <c r="B301" s="5">
        <f>IFERROR(__xludf.DUMMYFUNCTION("""COMPUTED_VALUE"""),6.79176560982E11)</f>
        <v>679176560982</v>
      </c>
      <c r="C301" s="5" t="str">
        <f>IFERROR(__xludf.DUMMYFUNCTION("""COMPUTED_VALUE"""),"مصطفى عطا الله")</f>
        <v>مصطفى عطا الله</v>
      </c>
      <c r="D301" s="5">
        <f>IFERROR(__xludf.DUMMYFUNCTION("""COMPUTED_VALUE"""),2251.0)</f>
        <v>2251</v>
      </c>
      <c r="E301" s="5" t="str">
        <f>IFERROR(__xludf.DUMMYFUNCTION("""COMPUTED_VALUE"""),"EG04-EG05-EG06-EG07")</f>
        <v>EG04-EG05-EG06-EG07</v>
      </c>
      <c r="F301" s="5" t="str">
        <f>IFERROR(__xludf.DUMMYFUNCTION("""COMPUTED_VALUE"""),"mostafa.raafat.mr@gmail.com")</f>
        <v>mostafa.raafat.mr@gmail.com</v>
      </c>
      <c r="G301" s="5" t="str">
        <f>IFERROR(__xludf.DUMMYFUNCTION("""COMPUTED_VALUE"""),"01127246518")</f>
        <v>01127246518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tr">
        <f>IFERROR(__xludf.DUMMYFUNCTION("""COMPUTED_VALUE"""),"سلمى محمود")</f>
        <v>سلمى محمود</v>
      </c>
      <c r="B302" s="5">
        <f>IFERROR(__xludf.DUMMYFUNCTION("""COMPUTED_VALUE"""),2.79185808176E11)</f>
        <v>279185808176</v>
      </c>
      <c r="C302" s="5" t="str">
        <f>IFERROR(__xludf.DUMMYFUNCTION("""COMPUTED_VALUE"""),"سلمى محمود")</f>
        <v>سلمى محمود</v>
      </c>
      <c r="D302" s="30" t="str">
        <f>IFERROR(__xludf.DUMMYFUNCTION("""COMPUTED_VALUE"""),"2239")</f>
        <v>2239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tr">
        <f>IFERROR(__xludf.DUMMYFUNCTION("""COMPUTED_VALUE"""),"إيمان شاكر")</f>
        <v>إيمان شاكر</v>
      </c>
      <c r="B303" s="5">
        <f>IFERROR(__xludf.DUMMYFUNCTION("""COMPUTED_VALUE"""),4.86125208283E11)</f>
        <v>486125208283</v>
      </c>
      <c r="C303" s="5" t="str">
        <f>IFERROR(__xludf.DUMMYFUNCTION("""COMPUTED_VALUE"""),"إيمان شاكر")</f>
        <v>إيمان شاكر</v>
      </c>
      <c r="D303" s="30" t="str">
        <f>IFERROR(__xludf.DUMMYFUNCTION("""COMPUTED_VALUE"""),"2273")</f>
        <v>2273</v>
      </c>
      <c r="E303" s="5" t="str">
        <f>IFERROR(__xludf.DUMMYFUNCTION("""COMPUTED_VALUE"""),"EG01-EG02-EG03-EG04-EG05-EG06")</f>
        <v>EG01-EG02-EG03-EG04-EG05-EG06</v>
      </c>
      <c r="F303" s="5" t="str">
        <f>IFERROR(__xludf.DUMMYFUNCTION("""COMPUTED_VALUE"""),"emanshaker81@gmail.com")</f>
        <v>emanshaker81@gmail.com</v>
      </c>
      <c r="G303" s="5" t="str">
        <f>IFERROR(__xludf.DUMMYFUNCTION("""COMPUTED_VALUE"""),"0201114924955")</f>
        <v>0201114924955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tr">
        <f>IFERROR(__xludf.DUMMYFUNCTION("""COMPUTED_VALUE"""),"حاتم حسن")</f>
        <v>حاتم حسن</v>
      </c>
      <c r="B304" s="5">
        <f>IFERROR(__xludf.DUMMYFUNCTION("""COMPUTED_VALUE"""),8.09176040437E11)</f>
        <v>809176040437</v>
      </c>
      <c r="C304" s="5" t="str">
        <f>IFERROR(__xludf.DUMMYFUNCTION("""COMPUTED_VALUE"""),"حاتم حسن")</f>
        <v>حاتم حسن</v>
      </c>
      <c r="D304" s="30" t="str">
        <f>IFERROR(__xludf.DUMMYFUNCTION("""COMPUTED_VALUE"""),"2288")</f>
        <v>2288</v>
      </c>
      <c r="E304" s="5"/>
      <c r="F304" s="5" t="str">
        <f>IFERROR(__xludf.DUMMYFUNCTION("""COMPUTED_VALUE"""),"hatem2235h@gmail.com")</f>
        <v>hatem2235h@gmail.com</v>
      </c>
      <c r="G304" s="5" t="str">
        <f>IFERROR(__xludf.DUMMYFUNCTION("""COMPUTED_VALUE"""),"01030944131")</f>
        <v>01030944131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tr">
        <f>IFERROR(__xludf.DUMMYFUNCTION("""COMPUTED_VALUE"""),"حازم عبد الرحمن")</f>
        <v>حازم عبد الرحمن</v>
      </c>
      <c r="B305" s="5">
        <f>IFERROR(__xludf.DUMMYFUNCTION("""COMPUTED_VALUE"""),9.76123902784E11)</f>
        <v>976123902784</v>
      </c>
      <c r="C305" s="5" t="str">
        <f>IFERROR(__xludf.DUMMYFUNCTION("""COMPUTED_VALUE"""),"حازم عبد الرحمن")</f>
        <v>حازم عبد الرحمن</v>
      </c>
      <c r="D305" s="30" t="str">
        <f>IFERROR(__xludf.DUMMYFUNCTION("""COMPUTED_VALUE"""),"2296")</f>
        <v>2296</v>
      </c>
      <c r="E305" s="5"/>
      <c r="F305" s="5" t="str">
        <f>IFERROR(__xludf.DUMMYFUNCTION("""COMPUTED_VALUE"""),"hazemabdulrahman99@gmail.com")</f>
        <v>hazemabdulrahman99@gmail.com</v>
      </c>
      <c r="G305" s="5" t="str">
        <f>IFERROR(__xludf.DUMMYFUNCTION("""COMPUTED_VALUE"""),"01126374221")</f>
        <v>01126374221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tr">
        <f>IFERROR(__xludf.DUMMYFUNCTION("""COMPUTED_VALUE"""),"عبد الله جمال")</f>
        <v>عبد الله جمال</v>
      </c>
      <c r="B306" s="5">
        <f>IFERROR(__xludf.DUMMYFUNCTION("""COMPUTED_VALUE"""),4.16167232707E11)</f>
        <v>416167232707</v>
      </c>
      <c r="C306" s="5" t="str">
        <f>IFERROR(__xludf.DUMMYFUNCTION("""COMPUTED_VALUE"""),"عبد الله جمال")</f>
        <v>عبد الله جمال</v>
      </c>
      <c r="D306" s="30" t="str">
        <f>IFERROR(__xludf.DUMMYFUNCTION("""COMPUTED_VALUE"""),"2289")</f>
        <v>2289</v>
      </c>
      <c r="E306" s="5"/>
      <c r="F306" s="5" t="str">
        <f>IFERROR(__xludf.DUMMYFUNCTION("""COMPUTED_VALUE"""),"aabdalgamal@gmail.com")</f>
        <v>aabdalgamal@gmail.com</v>
      </c>
      <c r="G306" s="5" t="str">
        <f>IFERROR(__xludf.DUMMYFUNCTION("""COMPUTED_VALUE"""),"01033208400")</f>
        <v>01033208400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tr">
        <f>IFERROR(__xludf.DUMMYFUNCTION("""COMPUTED_VALUE"""),"رحمة صلاح")</f>
        <v>رحمة صلاح</v>
      </c>
      <c r="B307" s="5">
        <f>IFERROR(__xludf.DUMMYFUNCTION("""COMPUTED_VALUE"""),9.30159109291E11)</f>
        <v>930159109291</v>
      </c>
      <c r="C307" s="5" t="str">
        <f>IFERROR(__xludf.DUMMYFUNCTION("""COMPUTED_VALUE"""),"رحمة صلاح")</f>
        <v>رحمة صلاح</v>
      </c>
      <c r="D307" s="30" t="str">
        <f>IFERROR(__xludf.DUMMYFUNCTION("""COMPUTED_VALUE"""),"2270")</f>
        <v>2270</v>
      </c>
      <c r="E307" s="5"/>
      <c r="F307" s="5" t="str">
        <f>IFERROR(__xludf.DUMMYFUNCTION("""COMPUTED_VALUE"""),"rahmahamoda59@gmail.com")</f>
        <v>rahmahamoda59@gmail.com</v>
      </c>
      <c r="G307" s="5" t="str">
        <f>IFERROR(__xludf.DUMMYFUNCTION("""COMPUTED_VALUE"""),"01011416685")</f>
        <v>01011416685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tr">
        <f>IFERROR(__xludf.DUMMYFUNCTION("""COMPUTED_VALUE"""),"دعاء زكريا")</f>
        <v>دعاء زكريا</v>
      </c>
      <c r="B308" s="5">
        <f>IFERROR(__xludf.DUMMYFUNCTION("""COMPUTED_VALUE"""),6.89140818514E11)</f>
        <v>689140818514</v>
      </c>
      <c r="C308" s="5" t="str">
        <f>IFERROR(__xludf.DUMMYFUNCTION("""COMPUTED_VALUE"""),"دعاء زكريا")</f>
        <v>دعاء زكريا</v>
      </c>
      <c r="D308" s="30" t="str">
        <f>IFERROR(__xludf.DUMMYFUNCTION("""COMPUTED_VALUE"""),"2278")</f>
        <v>2278</v>
      </c>
      <c r="E308" s="5" t="str">
        <f>IFERROR(__xludf.DUMMYFUNCTION("""COMPUTED_VALUE"""),"EG01-EG02-EG03-EG04-EG05-EG06")</f>
        <v>EG01-EG02-EG03-EG04-EG05-EG06</v>
      </c>
      <c r="F308" s="5" t="str">
        <f>IFERROR(__xludf.DUMMYFUNCTION("""COMPUTED_VALUE"""),"douaazika@gmail.com")</f>
        <v>douaazika@gmail.com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tr">
        <f>IFERROR(__xludf.DUMMYFUNCTION("""COMPUTED_VALUE"""),"محمود نجاتي")</f>
        <v>محمود نجاتي</v>
      </c>
      <c r="B309" s="5">
        <f>IFERROR(__xludf.DUMMYFUNCTION("""COMPUTED_VALUE"""),3.45151236382E11)</f>
        <v>345151236382</v>
      </c>
      <c r="C309" s="5" t="str">
        <f>IFERROR(__xludf.DUMMYFUNCTION("""COMPUTED_VALUE"""),"محمود نجاتي")</f>
        <v>محمود نجاتي</v>
      </c>
      <c r="D309" s="30" t="str">
        <f>IFERROR(__xludf.DUMMYFUNCTION("""COMPUTED_VALUE"""),"2271")</f>
        <v>2271</v>
      </c>
      <c r="E309" s="5"/>
      <c r="F309" s="5" t="str">
        <f>IFERROR(__xludf.DUMMYFUNCTION("""COMPUTED_VALUE"""),"smahmoudnagaty@gmail.com")</f>
        <v>smahmoudnagaty@gmail.com</v>
      </c>
      <c r="G309" s="5" t="str">
        <f>IFERROR(__xludf.DUMMYFUNCTION("""COMPUTED_VALUE"""),"01125927483")</f>
        <v>01125927483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tr">
        <f>IFERROR(__xludf.DUMMYFUNCTION("""COMPUTED_VALUE"""),"خالد فريد")</f>
        <v>خالد فريد</v>
      </c>
      <c r="B310" s="5">
        <f>IFERROR(__xludf.DUMMYFUNCTION("""COMPUTED_VALUE"""),4.19198614751E11)</f>
        <v>419198614751</v>
      </c>
      <c r="C310" s="5" t="str">
        <f>IFERROR(__xludf.DUMMYFUNCTION("""COMPUTED_VALUE"""),"خالد فريد")</f>
        <v>خالد فريد</v>
      </c>
      <c r="D310" s="30" t="str">
        <f>IFERROR(__xludf.DUMMYFUNCTION("""COMPUTED_VALUE"""),"2297")</f>
        <v>2297</v>
      </c>
      <c r="E310" s="5"/>
      <c r="F310" s="5" t="str">
        <f>IFERROR(__xludf.DUMMYFUNCTION("""COMPUTED_VALUE"""),"khaldfareed@gmail.com")</f>
        <v>khaldfareed@gmail.com</v>
      </c>
      <c r="G310" s="5" t="str">
        <f>IFERROR(__xludf.DUMMYFUNCTION("""COMPUTED_VALUE"""),"01026383650")</f>
        <v>01026383650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tr">
        <f>IFERROR(__xludf.DUMMYFUNCTION("""COMPUTED_VALUE"""),"ندى عبد النبي")</f>
        <v>ندى عبد النبي</v>
      </c>
      <c r="B311" s="5">
        <f>IFERROR(__xludf.DUMMYFUNCTION("""COMPUTED_VALUE"""),1.0515013496E11)</f>
        <v>105150134960</v>
      </c>
      <c r="C311" s="5" t="str">
        <f>IFERROR(__xludf.DUMMYFUNCTION("""COMPUTED_VALUE"""),"ندى عبد النبي")</f>
        <v>ندى عبد النبي</v>
      </c>
      <c r="D311" s="30">
        <f>IFERROR(__xludf.DUMMYFUNCTION("""COMPUTED_VALUE"""),2212.0)</f>
        <v>2212</v>
      </c>
      <c r="E311" s="5" t="str">
        <f>IFERROR(__xludf.DUMMYFUNCTION("""COMPUTED_VALUE"""),"EG01-EG02-EG03")</f>
        <v>EG01-EG02-EG03</v>
      </c>
      <c r="F311" s="5" t="str">
        <f>IFERROR(__xludf.DUMMYFUNCTION("""COMPUTED_VALUE"""),"nadalisaid46@gmail.com")</f>
        <v>nadalisaid46@gmail.com</v>
      </c>
      <c r="G311" s="5" t="str">
        <f>IFERROR(__xludf.DUMMYFUNCTION("""COMPUTED_VALUE"""),"01273190435")</f>
        <v>01273190435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 t="str">
        <f>IFERROR(__xludf.DUMMYFUNCTION("""COMPUTED_VALUE"""),"آية سري")</f>
        <v>آية سري</v>
      </c>
      <c r="B312" s="5">
        <f>IFERROR(__xludf.DUMMYFUNCTION("""COMPUTED_VALUE"""),2.40148989127E11)</f>
        <v>240148989127</v>
      </c>
      <c r="C312" s="5" t="str">
        <f>IFERROR(__xludf.DUMMYFUNCTION("""COMPUTED_VALUE"""),"آية سري")</f>
        <v>آية سري</v>
      </c>
      <c r="D312" s="30" t="str">
        <f>IFERROR(__xludf.DUMMYFUNCTION("""COMPUTED_VALUE"""),"2282")</f>
        <v>2282</v>
      </c>
      <c r="E312" s="5" t="str">
        <f>IFERROR(__xludf.DUMMYFUNCTION("""COMPUTED_VALUE"""),"EG07-EG08-EG09-EG10")</f>
        <v>EG07-EG08-EG09-EG10</v>
      </c>
      <c r="F312" s="5" t="str">
        <f>IFERROR(__xludf.DUMMYFUNCTION("""COMPUTED_VALUE"""),"ayaserry@hotmail.com")</f>
        <v>ayaserry@hotmail.com</v>
      </c>
      <c r="G312" s="5" t="str">
        <f>IFERROR(__xludf.DUMMYFUNCTION("""COMPUTED_VALUE"""),"01033449440")</f>
        <v>01033449440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tr">
        <f>IFERROR(__xludf.DUMMYFUNCTION("""COMPUTED_VALUE"""),"محمود عاصم")</f>
        <v>محمود عاصم</v>
      </c>
      <c r="B313" s="5">
        <f>IFERROR(__xludf.DUMMYFUNCTION("""COMPUTED_VALUE"""),8.17125197474E11)</f>
        <v>817125197474</v>
      </c>
      <c r="C313" s="5" t="str">
        <f>IFERROR(__xludf.DUMMYFUNCTION("""COMPUTED_VALUE"""),"محمود عاصم")</f>
        <v>محمود عاصم</v>
      </c>
      <c r="D313" s="30" t="str">
        <f>IFERROR(__xludf.DUMMYFUNCTION("""COMPUTED_VALUE"""),"2281")</f>
        <v>2281</v>
      </c>
      <c r="E313" s="5" t="str">
        <f>IFERROR(__xludf.DUMMYFUNCTION("""COMPUTED_VALUE"""),"EG07-EG08-EG09")</f>
        <v>EG07-EG08-EG09</v>
      </c>
      <c r="F313" s="5" t="str">
        <f>IFERROR(__xludf.DUMMYFUNCTION("""COMPUTED_VALUE"""),"mhmodasem@yahoo.com")</f>
        <v>mhmodasem@yahoo.com</v>
      </c>
      <c r="G313" s="5" t="str">
        <f>IFERROR(__xludf.DUMMYFUNCTION("""COMPUTED_VALUE"""),"01555039810")</f>
        <v>01555039810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tr">
        <f>IFERROR(__xludf.DUMMYFUNCTION("""COMPUTED_VALUE"""),"آية صبحي")</f>
        <v>آية صبحي</v>
      </c>
      <c r="B314" s="5">
        <f>IFERROR(__xludf.DUMMYFUNCTION("""COMPUTED_VALUE"""),6.28128564178E11)</f>
        <v>628128564178</v>
      </c>
      <c r="C314" s="5" t="str">
        <f>IFERROR(__xludf.DUMMYFUNCTION("""COMPUTED_VALUE"""),"آية صبحي")</f>
        <v>آية صبحي</v>
      </c>
      <c r="D314" s="30" t="str">
        <f>IFERROR(__xludf.DUMMYFUNCTION("""COMPUTED_VALUE"""),"2290")</f>
        <v>2290</v>
      </c>
      <c r="E314" s="5"/>
      <c r="F314" s="5" t="str">
        <f>IFERROR(__xludf.DUMMYFUNCTION("""COMPUTED_VALUE"""),"ayasobhy2014@gmail.com")</f>
        <v>ayasobhy2014@gmail.com</v>
      </c>
      <c r="G314" s="5" t="str">
        <f>IFERROR(__xludf.DUMMYFUNCTION("""COMPUTED_VALUE"""),"01096896433")</f>
        <v>01096896433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tr">
        <f>IFERROR(__xludf.DUMMYFUNCTION("""COMPUTED_VALUE"""),"جورج مجدي")</f>
        <v>جورج مجدي</v>
      </c>
      <c r="B315" s="5">
        <f>IFERROR(__xludf.DUMMYFUNCTION("""COMPUTED_VALUE"""),1.26129384181E11)</f>
        <v>126129384181</v>
      </c>
      <c r="C315" s="5" t="str">
        <f>IFERROR(__xludf.DUMMYFUNCTION("""COMPUTED_VALUE"""),"جورج مجدي")</f>
        <v>جورج مجدي</v>
      </c>
      <c r="D315" s="30">
        <f>IFERROR(__xludf.DUMMYFUNCTION("""COMPUTED_VALUE"""),2305.0)</f>
        <v>2305</v>
      </c>
      <c r="E315" s="5"/>
      <c r="F315" s="5" t="str">
        <f>IFERROR(__xludf.DUMMYFUNCTION("""COMPUTED_VALUE"""),"georgemagdi.vis@gmail.com")</f>
        <v>georgemagdi.vis@gmail.com</v>
      </c>
      <c r="G315" s="5" t="str">
        <f>IFERROR(__xludf.DUMMYFUNCTION("""COMPUTED_VALUE"""),"01030904466")</f>
        <v>01030904466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tr">
        <f>IFERROR(__xludf.DUMMYFUNCTION("""COMPUTED_VALUE"""),"مصطفى يوسف")</f>
        <v>مصطفى يوسف</v>
      </c>
      <c r="B316" s="5">
        <f>IFERROR(__xludf.DUMMYFUNCTION("""COMPUTED_VALUE"""),7.25137150313E11)</f>
        <v>725137150313</v>
      </c>
      <c r="C316" s="5" t="str">
        <f>IFERROR(__xludf.DUMMYFUNCTION("""COMPUTED_VALUE"""),"مصطفى يوسف")</f>
        <v>مصطفى يوسف</v>
      </c>
      <c r="D316" s="5">
        <f>IFERROR(__xludf.DUMMYFUNCTION("""COMPUTED_VALUE"""),2536.0)</f>
        <v>2536</v>
      </c>
      <c r="E316" s="5" t="str">
        <f>IFERROR(__xludf.DUMMYFUNCTION("""COMPUTED_VALUE"""),"EG10-EG11-EG12")</f>
        <v>EG10-EG11-EG12</v>
      </c>
      <c r="F316" s="5" t="str">
        <f>IFERROR(__xludf.DUMMYFUNCTION("""COMPUTED_VALUE"""),"mr.mostafayousef77@gmail.com")</f>
        <v>mr.mostafayousef77@gmail.com</v>
      </c>
      <c r="G316" s="5" t="str">
        <f>IFERROR(__xludf.DUMMYFUNCTION("""COMPUTED_VALUE"""),"01007377906")</f>
        <v>01007377906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tr">
        <f>IFERROR(__xludf.DUMMYFUNCTION("""COMPUTED_VALUE"""),"اعتماد واصف")</f>
        <v>اعتماد واصف</v>
      </c>
      <c r="B317" s="5">
        <f>IFERROR(__xludf.DUMMYFUNCTION("""COMPUTED_VALUE"""),5.06129791876E11)</f>
        <v>506129791876</v>
      </c>
      <c r="C317" s="5" t="str">
        <f>IFERROR(__xludf.DUMMYFUNCTION("""COMPUTED_VALUE"""),"اعتماد واصف")</f>
        <v>اعتماد واصف</v>
      </c>
      <c r="D317" s="30">
        <f>IFERROR(__xludf.DUMMYFUNCTION("""COMPUTED_VALUE"""),2306.0)</f>
        <v>2306</v>
      </c>
      <c r="E317" s="5"/>
      <c r="F317" s="5" t="str">
        <f>IFERROR(__xludf.DUMMYFUNCTION("""COMPUTED_VALUE"""),"etimadwasef.hurg@gmail.com")</f>
        <v>etimadwasef.hurg@gmail.com</v>
      </c>
      <c r="G317" s="5" t="str">
        <f>IFERROR(__xludf.DUMMYFUNCTION("""COMPUTED_VALUE"""),"01206008424")</f>
        <v>01206008424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tr">
        <f>IFERROR(__xludf.DUMMYFUNCTION("""COMPUTED_VALUE"""),"محمود الخطيب")</f>
        <v>محمود الخطيب</v>
      </c>
      <c r="B318" s="5">
        <f>IFERROR(__xludf.DUMMYFUNCTION("""COMPUTED_VALUE"""),7.95196170456E11)</f>
        <v>795196170456</v>
      </c>
      <c r="C318" s="5" t="str">
        <f>IFERROR(__xludf.DUMMYFUNCTION("""COMPUTED_VALUE"""),"محمود الخطيب")</f>
        <v>محمود الخطيب</v>
      </c>
      <c r="D318" s="30" t="str">
        <f>IFERROR(__xludf.DUMMYFUNCTION("""COMPUTED_VALUE"""),"2307")</f>
        <v>2307</v>
      </c>
      <c r="E318" s="5" t="str">
        <f>IFERROR(__xludf.DUMMYFUNCTION("""COMPUTED_VALUE"""),"EG04-EG05-EG06-EG07")</f>
        <v>EG04-EG05-EG06-EG07</v>
      </c>
      <c r="F318" s="5" t="str">
        <f>IFERROR(__xludf.DUMMYFUNCTION("""COMPUTED_VALUE"""),"mahmoudkhamees2@gmail.com")</f>
        <v>mahmoudkhamees2@gmail.com</v>
      </c>
      <c r="G318" s="5" t="str">
        <f>IFERROR(__xludf.DUMMYFUNCTION("""COMPUTED_VALUE"""),"01016063128")</f>
        <v>01016063128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tr">
        <f>IFERROR(__xludf.DUMMYFUNCTION("""COMPUTED_VALUE"""),"سندس إبراهيم")</f>
        <v>سندس إبراهيم</v>
      </c>
      <c r="B319" s="5">
        <f>IFERROR(__xludf.DUMMYFUNCTION("""COMPUTED_VALUE"""),9.59156023193E11)</f>
        <v>959156023193</v>
      </c>
      <c r="C319" s="5" t="str">
        <f>IFERROR(__xludf.DUMMYFUNCTION("""COMPUTED_VALUE"""),"سندس إبراهيم")</f>
        <v>سندس إبراهيم</v>
      </c>
      <c r="D319" s="5">
        <f>IFERROR(__xludf.DUMMYFUNCTION("""COMPUTED_VALUE"""),2309.0)</f>
        <v>2309</v>
      </c>
      <c r="E319" s="5" t="str">
        <f>IFERROR(__xludf.DUMMYFUNCTION("""COMPUTED_VALUE"""),"EG04-EG05-EG06")</f>
        <v>EG04-EG05-EG06</v>
      </c>
      <c r="F319" s="5" t="str">
        <f>IFERROR(__xludf.DUMMYFUNCTION("""COMPUTED_VALUE"""),"sondosibrahimmohamed50@gmail.com")</f>
        <v>sondosibrahimmohamed50@gmail.com</v>
      </c>
      <c r="G319" s="5" t="str">
        <f>IFERROR(__xludf.DUMMYFUNCTION("""COMPUTED_VALUE"""),"01148230103")</f>
        <v>01148230103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tr">
        <f>IFERROR(__xludf.DUMMYFUNCTION("""COMPUTED_VALUE"""),"سهيلة يسري")</f>
        <v>سهيلة يسري</v>
      </c>
      <c r="B320" s="5">
        <f>IFERROR(__xludf.DUMMYFUNCTION("""COMPUTED_VALUE"""),8.06123732506E11)</f>
        <v>806123732506</v>
      </c>
      <c r="C320" s="5" t="str">
        <f>IFERROR(__xludf.DUMMYFUNCTION("""COMPUTED_VALUE"""),"سهيلة يسري")</f>
        <v>سهيلة يسري</v>
      </c>
      <c r="D320" s="5">
        <f>IFERROR(__xludf.DUMMYFUNCTION("""COMPUTED_VALUE"""),2308.0)</f>
        <v>2308</v>
      </c>
      <c r="E320" s="5" t="str">
        <f>IFERROR(__xludf.DUMMYFUNCTION("""COMPUTED_VALUE"""),"EG07-EG08-EG09")</f>
        <v>EG07-EG08-EG09</v>
      </c>
      <c r="F320" s="5" t="str">
        <f>IFERROR(__xludf.DUMMYFUNCTION("""COMPUTED_VALUE"""),"sohilayousry160@gmail.com")</f>
        <v>sohilayousry160@gmail.com</v>
      </c>
      <c r="G320" s="5" t="str">
        <f>IFERROR(__xludf.DUMMYFUNCTION("""COMPUTED_VALUE"""),"01147701242")</f>
        <v>01147701242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tr">
        <f>IFERROR(__xludf.DUMMYFUNCTION("""COMPUTED_VALUE"""),"نسرين عبد الوهاب")</f>
        <v>نسرين عبد الوهاب</v>
      </c>
      <c r="B321" s="5">
        <f>IFERROR(__xludf.DUMMYFUNCTION("""COMPUTED_VALUE"""),3.43102940549E11)</f>
        <v>343102940549</v>
      </c>
      <c r="C321" s="5" t="str">
        <f>IFERROR(__xludf.DUMMYFUNCTION("""COMPUTED_VALUE"""),"نسرين عبد الوهاب")</f>
        <v>نسرين عبد الوهاب</v>
      </c>
      <c r="D321" s="30">
        <f>IFERROR(__xludf.DUMMYFUNCTION("""COMPUTED_VALUE"""),2312.0)</f>
        <v>2312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tr">
        <f>IFERROR(__xludf.DUMMYFUNCTION("""COMPUTED_VALUE"""),"أحمد منصور")</f>
        <v>أحمد منصور</v>
      </c>
      <c r="B322" s="5">
        <f>IFERROR(__xludf.DUMMYFUNCTION("""COMPUTED_VALUE"""),6.58171357514E11)</f>
        <v>658171357514</v>
      </c>
      <c r="C322" s="5" t="str">
        <f>IFERROR(__xludf.DUMMYFUNCTION("""COMPUTED_VALUE"""),"أحمد منصور")</f>
        <v>أحمد منصور</v>
      </c>
      <c r="D322" s="30" t="str">
        <f>IFERROR(__xludf.DUMMYFUNCTION("""COMPUTED_VALUE"""),"2314")</f>
        <v>2314</v>
      </c>
      <c r="E322" s="5" t="str">
        <f>IFERROR(__xludf.DUMMYFUNCTION("""COMPUTED_VALUE"""),"EG07-EG08-EG09")</f>
        <v>EG07-EG08-EG09</v>
      </c>
      <c r="F322" s="5" t="str">
        <f>IFERROR(__xludf.DUMMYFUNCTION("""COMPUTED_VALUE"""),"ahmedmansourmansour761@gmail.com")</f>
        <v>ahmedmansourmansour761@gmail.com</v>
      </c>
      <c r="G322" s="5" t="str">
        <f>IFERROR(__xludf.DUMMYFUNCTION("""COMPUTED_VALUE"""),"01025906312")</f>
        <v>01025906312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tr">
        <f>IFERROR(__xludf.DUMMYFUNCTION("""COMPUTED_VALUE"""),"مبروك الزيات")</f>
        <v>مبروك الزيات</v>
      </c>
      <c r="B323" s="5">
        <f>IFERROR(__xludf.DUMMYFUNCTION("""COMPUTED_VALUE"""),7.86170102324E11)</f>
        <v>786170102324</v>
      </c>
      <c r="C323" s="5" t="str">
        <f>IFERROR(__xludf.DUMMYFUNCTION("""COMPUTED_VALUE"""),"مبروك الزيات")</f>
        <v>مبروك الزيات</v>
      </c>
      <c r="D323" s="30" t="str">
        <f>IFERROR(__xludf.DUMMYFUNCTION("""COMPUTED_VALUE"""),"2320")</f>
        <v>2320</v>
      </c>
      <c r="E323" s="5" t="str">
        <f>IFERROR(__xludf.DUMMYFUNCTION("""COMPUTED_VALUE"""),"EG07-EG08-EG09")</f>
        <v>EG07-EG08-EG09</v>
      </c>
      <c r="F323" s="5" t="str">
        <f>IFERROR(__xludf.DUMMYFUNCTION("""COMPUTED_VALUE"""),"mabrookelbanna4@gmail.com")</f>
        <v>mabrookelbanna4@gmail.com</v>
      </c>
      <c r="G323" s="5" t="str">
        <f>IFERROR(__xludf.DUMMYFUNCTION("""COMPUTED_VALUE"""),"01096212675")</f>
        <v>01096212675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tr">
        <f>IFERROR(__xludf.DUMMYFUNCTION("""COMPUTED_VALUE"""),"سارة عربي")</f>
        <v>سارة عربي</v>
      </c>
      <c r="B324" s="5">
        <f>IFERROR(__xludf.DUMMYFUNCTION("""COMPUTED_VALUE"""),7.92190383878E11)</f>
        <v>792190383878</v>
      </c>
      <c r="C324" s="5" t="str">
        <f>IFERROR(__xludf.DUMMYFUNCTION("""COMPUTED_VALUE"""),"سارة عربي")</f>
        <v>سارة عربي</v>
      </c>
      <c r="D324" s="30" t="str">
        <f>IFERROR(__xludf.DUMMYFUNCTION("""COMPUTED_VALUE"""),"2319")</f>
        <v>2319</v>
      </c>
      <c r="E324" s="5" t="str">
        <f>IFERROR(__xludf.DUMMYFUNCTION("""COMPUTED_VALUE"""),"EG04-EG05-EG06")</f>
        <v>EG04-EG05-EG06</v>
      </c>
      <c r="F324" s="5" t="str">
        <f>IFERROR(__xludf.DUMMYFUNCTION("""COMPUTED_VALUE"""),"saraharaby90@gmail.com")</f>
        <v>saraharaby90@gmail.com</v>
      </c>
      <c r="G324" s="5" t="str">
        <f>IFERROR(__xludf.DUMMYFUNCTION("""COMPUTED_VALUE"""),"01118843325")</f>
        <v>01118843325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tr">
        <f>IFERROR(__xludf.DUMMYFUNCTION("""COMPUTED_VALUE"""),"ياسمين محمد")</f>
        <v>ياسمين محمد</v>
      </c>
      <c r="B325" s="5">
        <f>IFERROR(__xludf.DUMMYFUNCTION("""COMPUTED_VALUE"""),9.48108182631E11)</f>
        <v>948108182631</v>
      </c>
      <c r="C325" s="5" t="str">
        <f>IFERROR(__xludf.DUMMYFUNCTION("""COMPUTED_VALUE"""),"ياسمين محمد")</f>
        <v>ياسمين محمد</v>
      </c>
      <c r="D325" s="30" t="str">
        <f>IFERROR(__xludf.DUMMYFUNCTION("""COMPUTED_VALUE"""),"2321")</f>
        <v>2321</v>
      </c>
      <c r="E325" s="5" t="str">
        <f>IFERROR(__xludf.DUMMYFUNCTION("""COMPUTED_VALUE"""),"سنعتمد عليها في الترم الثاني
EG01-EG02-EG03")</f>
        <v>سنعتمد عليها في الترم الثاني
EG01-EG02-EG03</v>
      </c>
      <c r="F325" s="5" t="str">
        <f>IFERROR(__xludf.DUMMYFUNCTION("""COMPUTED_VALUE"""),"myasmine116@gmail.com")</f>
        <v>myasmine116@gmail.com</v>
      </c>
      <c r="G325" s="5" t="str">
        <f>IFERROR(__xludf.DUMMYFUNCTION("""COMPUTED_VALUE"""),"01015633019")</f>
        <v>01015633019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tr">
        <f>IFERROR(__xludf.DUMMYFUNCTION("""COMPUTED_VALUE"""),"إيمان عطية")</f>
        <v>إيمان عطية</v>
      </c>
      <c r="B326" s="5">
        <f>IFERROR(__xludf.DUMMYFUNCTION("""COMPUTED_VALUE"""),4.57195859749E11)</f>
        <v>457195859749</v>
      </c>
      <c r="C326" s="5" t="str">
        <f>IFERROR(__xludf.DUMMYFUNCTION("""COMPUTED_VALUE"""),"إيمان عطية")</f>
        <v>إيمان عطية</v>
      </c>
      <c r="D326" s="30">
        <f>IFERROR(__xludf.DUMMYFUNCTION("""COMPUTED_VALUE"""),2311.0)</f>
        <v>2311</v>
      </c>
      <c r="E326" s="5"/>
      <c r="F326" s="5" t="str">
        <f>IFERROR(__xludf.DUMMYFUNCTION("""COMPUTED_VALUE"""),"eman.ismail89@gmail.com")</f>
        <v>eman.ismail89@gmail.com</v>
      </c>
      <c r="G326" s="5" t="str">
        <f>IFERROR(__xludf.DUMMYFUNCTION("""COMPUTED_VALUE"""),"01098433794")</f>
        <v>01098433794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tr">
        <f>IFERROR(__xludf.DUMMYFUNCTION("""COMPUTED_VALUE"""),"هبة علي")</f>
        <v>هبة علي</v>
      </c>
      <c r="B327" s="5">
        <f>IFERROR(__xludf.DUMMYFUNCTION("""COMPUTED_VALUE"""),3.19181950412E11)</f>
        <v>319181950412</v>
      </c>
      <c r="C327" s="5" t="str">
        <f>IFERROR(__xludf.DUMMYFUNCTION("""COMPUTED_VALUE"""),"هبة علي")</f>
        <v>هبة علي</v>
      </c>
      <c r="D327" s="5">
        <f>IFERROR(__xludf.DUMMYFUNCTION("""COMPUTED_VALUE"""),2327.0)</f>
        <v>2327</v>
      </c>
      <c r="E327" s="5" t="str">
        <f>IFERROR(__xludf.DUMMYFUNCTION("""COMPUTED_VALUE"""),"EG04-EG05")</f>
        <v>EG04-EG05</v>
      </c>
      <c r="F327" s="5" t="str">
        <f>IFERROR(__xludf.DUMMYFUNCTION("""COMPUTED_VALUE"""),"hebaalisaber223@gmail.com")</f>
        <v>hebaalisaber223@gmail.com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tr">
        <f>IFERROR(__xludf.DUMMYFUNCTION("""COMPUTED_VALUE"""),"فاطمة رشاد")</f>
        <v>فاطمة رشاد</v>
      </c>
      <c r="B328" s="5">
        <f>IFERROR(__xludf.DUMMYFUNCTION("""COMPUTED_VALUE"""),7.80128402632E11)</f>
        <v>780128402632</v>
      </c>
      <c r="C328" s="5" t="str">
        <f>IFERROR(__xludf.DUMMYFUNCTION("""COMPUTED_VALUE"""),"فاطمة رشاد")</f>
        <v>فاطمة رشاد</v>
      </c>
      <c r="D328" s="5">
        <f>IFERROR(__xludf.DUMMYFUNCTION("""COMPUTED_VALUE"""),2328.0)</f>
        <v>2328</v>
      </c>
      <c r="E328" s="5" t="str">
        <f>IFERROR(__xludf.DUMMYFUNCTION("""COMPUTED_VALUE"""),"EG04-EG05-EG06")</f>
        <v>EG04-EG05-EG06</v>
      </c>
      <c r="F328" s="5" t="str">
        <f>IFERROR(__xludf.DUMMYFUNCTION("""COMPUTED_VALUE"""),"fatma.rashad86@gmail.com")</f>
        <v>fatma.rashad86@gmail.com</v>
      </c>
      <c r="G328" s="5" t="str">
        <f>IFERROR(__xludf.DUMMYFUNCTION("""COMPUTED_VALUE"""),"01128890011")</f>
        <v>01128890011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tr">
        <f>IFERROR(__xludf.DUMMYFUNCTION("""COMPUTED_VALUE"""),"هدى علي")</f>
        <v>هدى علي</v>
      </c>
      <c r="B329" s="5">
        <f>IFERROR(__xludf.DUMMYFUNCTION("""COMPUTED_VALUE"""),4.02149131917E11)</f>
        <v>402149131917</v>
      </c>
      <c r="C329" s="5" t="str">
        <f>IFERROR(__xludf.DUMMYFUNCTION("""COMPUTED_VALUE"""),"هدى علي")</f>
        <v>هدى علي</v>
      </c>
      <c r="D329" s="5">
        <f>IFERROR(__xludf.DUMMYFUNCTION("""COMPUTED_VALUE"""),2073.0)</f>
        <v>2073</v>
      </c>
      <c r="E329" s="5"/>
      <c r="F329" s="5" t="str">
        <f>IFERROR(__xludf.DUMMYFUNCTION("""COMPUTED_VALUE"""),"hodaaly3008@gmail.com")</f>
        <v>hodaaly3008@gmail.com</v>
      </c>
      <c r="G329" s="5" t="str">
        <f>IFERROR(__xludf.DUMMYFUNCTION("""COMPUTED_VALUE"""),"01208548997")</f>
        <v>01208548997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tr">
        <f>IFERROR(__xludf.DUMMYFUNCTION("""COMPUTED_VALUE"""),"مارسيل سميح")</f>
        <v>مارسيل سميح</v>
      </c>
      <c r="B330" s="5">
        <f>IFERROR(__xludf.DUMMYFUNCTION("""COMPUTED_VALUE"""),9.45182868176E11)</f>
        <v>945182868176</v>
      </c>
      <c r="C330" s="5" t="str">
        <f>IFERROR(__xludf.DUMMYFUNCTION("""COMPUTED_VALUE"""),"مارسيل سميح")</f>
        <v>مارسيل سميح</v>
      </c>
      <c r="D330" s="5">
        <f>IFERROR(__xludf.DUMMYFUNCTION("""COMPUTED_VALUE"""),2074.0)</f>
        <v>2074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tr">
        <f>IFERROR(__xludf.DUMMYFUNCTION("""COMPUTED_VALUE"""),"سمر يوسف")</f>
        <v>سمر يوسف</v>
      </c>
      <c r="B331" s="5">
        <f>IFERROR(__xludf.DUMMYFUNCTION("""COMPUTED_VALUE"""),6.84136956389E11)</f>
        <v>684136956389</v>
      </c>
      <c r="C331" s="5" t="str">
        <f>IFERROR(__xludf.DUMMYFUNCTION("""COMPUTED_VALUE"""),"سمر يوسف")</f>
        <v>سمر يوسف</v>
      </c>
      <c r="D331" s="5">
        <f>IFERROR(__xludf.DUMMYFUNCTION("""COMPUTED_VALUE"""),2272.0)</f>
        <v>2272</v>
      </c>
      <c r="E331" s="5" t="str">
        <f>IFERROR(__xludf.DUMMYFUNCTION("""COMPUTED_VALUE"""),"EG10-EG11-G12")</f>
        <v>EG10-EG11-G12</v>
      </c>
      <c r="F331" s="5" t="str">
        <f>IFERROR(__xludf.DUMMYFUNCTION("""COMPUTED_VALUE"""),"dr.samar.youseff@gmail.com")</f>
        <v>dr.samar.youseff@gmail.com</v>
      </c>
      <c r="G331" s="5" t="str">
        <f>IFERROR(__xludf.DUMMYFUNCTION("""COMPUTED_VALUE"""),"01227193179")</f>
        <v>01227193179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tr">
        <f>IFERROR(__xludf.DUMMYFUNCTION("""COMPUTED_VALUE"""),"محمد عادل")</f>
        <v>محمد عادل</v>
      </c>
      <c r="B332" s="5">
        <f>IFERROR(__xludf.DUMMYFUNCTION("""COMPUTED_VALUE"""),7.50108154243E11)</f>
        <v>750108154243</v>
      </c>
      <c r="C332" s="5" t="str">
        <f>IFERROR(__xludf.DUMMYFUNCTION("""COMPUTED_VALUE"""),"محمد عادل")</f>
        <v>محمد عادل</v>
      </c>
      <c r="D332" s="5">
        <f>IFERROR(__xludf.DUMMYFUNCTION("""COMPUTED_VALUE"""),2335.0)</f>
        <v>2335</v>
      </c>
      <c r="E332" s="5" t="str">
        <f>IFERROR(__xludf.DUMMYFUNCTION("""COMPUTED_VALUE"""),"EG10-EG11-G12")</f>
        <v>EG10-EG11-G12</v>
      </c>
      <c r="F332" s="5" t="str">
        <f>IFERROR(__xludf.DUMMYFUNCTION("""COMPUTED_VALUE"""),"ma404017@gmail.com")</f>
        <v>ma404017@gmail.com</v>
      </c>
      <c r="G332" s="5" t="str">
        <f>IFERROR(__xludf.DUMMYFUNCTION("""COMPUTED_VALUE"""),"01003233810")</f>
        <v>01003233810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tr">
        <f>IFERROR(__xludf.DUMMYFUNCTION("""COMPUTED_VALUE"""),"ميرا هشام")</f>
        <v>ميرا هشام</v>
      </c>
      <c r="B333" s="5">
        <f>IFERROR(__xludf.DUMMYFUNCTION("""COMPUTED_VALUE"""),7.58108752769E11)</f>
        <v>758108752769</v>
      </c>
      <c r="C333" s="5" t="str">
        <f>IFERROR(__xludf.DUMMYFUNCTION("""COMPUTED_VALUE"""),"ميرا هشام")</f>
        <v>ميرا هشام</v>
      </c>
      <c r="D333" s="5">
        <f>IFERROR(__xludf.DUMMYFUNCTION("""COMPUTED_VALUE"""),2337.0)</f>
        <v>2337</v>
      </c>
      <c r="E333" s="5"/>
      <c r="F333" s="5" t="str">
        <f>IFERROR(__xludf.DUMMYFUNCTION("""COMPUTED_VALUE"""),"merahesham2000@gmail.com")</f>
        <v>merahesham2000@gmail.com</v>
      </c>
      <c r="G333" s="5" t="str">
        <f>IFERROR(__xludf.DUMMYFUNCTION("""COMPUTED_VALUE"""),"01027391210")</f>
        <v>01027391210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tr">
        <f>IFERROR(__xludf.DUMMYFUNCTION("""COMPUTED_VALUE"""),"دعاء صوابي")</f>
        <v>دعاء صوابي</v>
      </c>
      <c r="B334" s="5">
        <f>IFERROR(__xludf.DUMMYFUNCTION("""COMPUTED_VALUE"""),8.67198159258E11)</f>
        <v>867198159258</v>
      </c>
      <c r="C334" s="5" t="str">
        <f>IFERROR(__xludf.DUMMYFUNCTION("""COMPUTED_VALUE"""),"دعاء صوابي")</f>
        <v>دعاء صوابي</v>
      </c>
      <c r="D334" s="5">
        <f>IFERROR(__xludf.DUMMYFUNCTION("""COMPUTED_VALUE"""),2334.0)</f>
        <v>2334</v>
      </c>
      <c r="E334" s="5" t="str">
        <f>IFERROR(__xludf.DUMMYFUNCTION("""COMPUTED_VALUE"""),"EG07-EG08-EG09")</f>
        <v>EG07-EG08-EG09</v>
      </c>
      <c r="F334" s="5" t="str">
        <f>IFERROR(__xludf.DUMMYFUNCTION("""COMPUTED_VALUE"""),"doaasawaby4@gmail.com")</f>
        <v>doaasawaby4@gmail.com</v>
      </c>
      <c r="G334" s="5" t="str">
        <f>IFERROR(__xludf.DUMMYFUNCTION("""COMPUTED_VALUE"""),"01092504801")</f>
        <v>01092504801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tr">
        <f>IFERROR(__xludf.DUMMYFUNCTION("""COMPUTED_VALUE"""),"إسلام علي")</f>
        <v>إسلام علي</v>
      </c>
      <c r="B335" s="5">
        <f>IFERROR(__xludf.DUMMYFUNCTION("""COMPUTED_VALUE"""),6.26109078528E11)</f>
        <v>626109078528</v>
      </c>
      <c r="C335" s="5" t="str">
        <f>IFERROR(__xludf.DUMMYFUNCTION("""COMPUTED_VALUE"""),"إسلام علي")</f>
        <v>إسلام علي</v>
      </c>
      <c r="D335" s="5">
        <f>IFERROR(__xludf.DUMMYFUNCTION("""COMPUTED_VALUE"""),2345.0)</f>
        <v>2345</v>
      </c>
      <c r="E335" s="5" t="str">
        <f>IFERROR(__xludf.DUMMYFUNCTION("""COMPUTED_VALUE"""),"EG04-EG05-EG06-EG07")</f>
        <v>EG04-EG05-EG06-EG07</v>
      </c>
      <c r="F335" s="5" t="str">
        <f>IFERROR(__xludf.DUMMYFUNCTION("""COMPUTED_VALUE"""),"islamsba98@gmail.com")</f>
        <v>islamsba98@gmail.com</v>
      </c>
      <c r="G335" s="5" t="str">
        <f>IFERROR(__xludf.DUMMYFUNCTION("""COMPUTED_VALUE"""),"01018015076")</f>
        <v>01018015076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tr">
        <f>IFERROR(__xludf.DUMMYFUNCTION("""COMPUTED_VALUE"""),"بسام المليجي")</f>
        <v>بسام المليجي</v>
      </c>
      <c r="B336" s="5">
        <f>IFERROR(__xludf.DUMMYFUNCTION("""COMPUTED_VALUE"""),5.03107402589E11)</f>
        <v>503107402589</v>
      </c>
      <c r="C336" s="5" t="str">
        <f>IFERROR(__xludf.DUMMYFUNCTION("""COMPUTED_VALUE"""),"بسام المليجي")</f>
        <v>بسام المليجي</v>
      </c>
      <c r="D336" s="5">
        <f>IFERROR(__xludf.DUMMYFUNCTION("""COMPUTED_VALUE"""),2346.0)</f>
        <v>2346</v>
      </c>
      <c r="E336" s="5" t="str">
        <f>IFERROR(__xludf.DUMMYFUNCTION("""COMPUTED_VALUE"""),"EG07-EG08-EG09")</f>
        <v>EG07-EG08-EG09</v>
      </c>
      <c r="F336" s="5" t="str">
        <f>IFERROR(__xludf.DUMMYFUNCTION("""COMPUTED_VALUE"""),"elmeligybassam@gmail.com")</f>
        <v>elmeligybassam@gmail.com</v>
      </c>
      <c r="G336" s="5" t="str">
        <f>IFERROR(__xludf.DUMMYFUNCTION("""COMPUTED_VALUE"""),"01090961459")</f>
        <v>01090961459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tr">
        <f>IFERROR(__xludf.DUMMYFUNCTION("""COMPUTED_VALUE"""),"ميرنا طارق")</f>
        <v>ميرنا طارق</v>
      </c>
      <c r="B337" s="5">
        <f>IFERROR(__xludf.DUMMYFUNCTION("""COMPUTED_VALUE"""),4.54134237907E11)</f>
        <v>454134237907</v>
      </c>
      <c r="C337" s="5" t="str">
        <f>IFERROR(__xludf.DUMMYFUNCTION("""COMPUTED_VALUE"""),"ميرنا طارق")</f>
        <v>ميرنا طارق</v>
      </c>
      <c r="D337" s="5">
        <f>IFERROR(__xludf.DUMMYFUNCTION("""COMPUTED_VALUE"""),2341.0)</f>
        <v>2341</v>
      </c>
      <c r="E337" s="5"/>
      <c r="F337" s="5" t="str">
        <f>IFERROR(__xludf.DUMMYFUNCTION("""COMPUTED_VALUE"""),"mirna_tareksalah97@yahoo.com")</f>
        <v>mirna_tareksalah97@yahoo.com</v>
      </c>
      <c r="G337" s="5" t="str">
        <f>IFERROR(__xludf.DUMMYFUNCTION("""COMPUTED_VALUE"""),"01225300158")</f>
        <v>01225300158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tr">
        <f>IFERROR(__xludf.DUMMYFUNCTION("""COMPUTED_VALUE"""),"محمد مصطفى")</f>
        <v>محمد مصطفى</v>
      </c>
      <c r="B338" s="5">
        <f>IFERROR(__xludf.DUMMYFUNCTION("""COMPUTED_VALUE"""),8.32192515851E11)</f>
        <v>832192515851</v>
      </c>
      <c r="C338" s="5" t="str">
        <f>IFERROR(__xludf.DUMMYFUNCTION("""COMPUTED_VALUE"""),"محمد مصطفى")</f>
        <v>محمد مصطفى</v>
      </c>
      <c r="D338" s="5">
        <f>IFERROR(__xludf.DUMMYFUNCTION("""COMPUTED_VALUE"""),2344.0)</f>
        <v>2344</v>
      </c>
      <c r="E338" s="5" t="str">
        <f>IFERROR(__xludf.DUMMYFUNCTION("""COMPUTED_VALUE"""),"EG03-EG04-EG05-EG06-EG07-EG08-EG09")</f>
        <v>EG03-EG04-EG05-EG06-EG07-EG08-EG09</v>
      </c>
      <c r="F338" s="5" t="str">
        <f>IFERROR(__xludf.DUMMYFUNCTION("""COMPUTED_VALUE"""),"ebsmoab@gmail.com")</f>
        <v>ebsmoab@gmail.com</v>
      </c>
      <c r="G338" s="5" t="str">
        <f>IFERROR(__xludf.DUMMYFUNCTION("""COMPUTED_VALUE"""),"01123330493")</f>
        <v>01123330493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tr">
        <f>IFERROR(__xludf.DUMMYFUNCTION("""COMPUTED_VALUE"""),"منى أخنوخ")</f>
        <v>منى أخنوخ</v>
      </c>
      <c r="B339" s="5">
        <f>IFERROR(__xludf.DUMMYFUNCTION("""COMPUTED_VALUE"""),9.3718627971E11)</f>
        <v>937186279710</v>
      </c>
      <c r="C339" s="5" t="str">
        <f>IFERROR(__xludf.DUMMYFUNCTION("""COMPUTED_VALUE"""),"منى أخنوخ")</f>
        <v>منى أخنوخ</v>
      </c>
      <c r="D339" s="5">
        <f>IFERROR(__xludf.DUMMYFUNCTION("""COMPUTED_VALUE"""),2338.0)</f>
        <v>2338</v>
      </c>
      <c r="E339" s="5"/>
      <c r="F339" s="5" t="str">
        <f>IFERROR(__xludf.DUMMYFUNCTION("""COMPUTED_VALUE"""),"remonamoon@gmail.com")</f>
        <v>remonamoon@gmail.com</v>
      </c>
      <c r="G339" s="5" t="str">
        <f>IFERROR(__xludf.DUMMYFUNCTION("""COMPUTED_VALUE"""),"01003647713")</f>
        <v>01003647713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tr">
        <f>IFERROR(__xludf.DUMMYFUNCTION("""COMPUTED_VALUE"""),"أحمد حسام")</f>
        <v>أحمد حسام</v>
      </c>
      <c r="B340" s="5">
        <f>IFERROR(__xludf.DUMMYFUNCTION("""COMPUTED_VALUE"""),9.80182127485E11)</f>
        <v>980182127485</v>
      </c>
      <c r="C340" s="5" t="str">
        <f>IFERROR(__xludf.DUMMYFUNCTION("""COMPUTED_VALUE"""),"أحمد حسام")</f>
        <v>أحمد حسام</v>
      </c>
      <c r="D340" s="5">
        <f>IFERROR(__xludf.DUMMYFUNCTION("""COMPUTED_VALUE"""),2280.0)</f>
        <v>2280</v>
      </c>
      <c r="E340" s="5" t="str">
        <f>IFERROR(__xludf.DUMMYFUNCTION("""COMPUTED_VALUE"""),"EG07-EG08-EG09")</f>
        <v>EG07-EG08-EG09</v>
      </c>
      <c r="F340" s="5" t="str">
        <f>IFERROR(__xludf.DUMMYFUNCTION("""COMPUTED_VALUE"""),"medo48902@gmail.com")</f>
        <v>medo48902@gmail.com</v>
      </c>
      <c r="G340" s="5" t="str">
        <f>IFERROR(__xludf.DUMMYFUNCTION("""COMPUTED_VALUE"""),"01117021822")</f>
        <v>01117021822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tr">
        <f>IFERROR(__xludf.DUMMYFUNCTION("""COMPUTED_VALUE"""),"راندا فؤاد")</f>
        <v>راندا فؤاد</v>
      </c>
      <c r="B341" s="5">
        <f>IFERROR(__xludf.DUMMYFUNCTION("""COMPUTED_VALUE"""),8.08191676235E11)</f>
        <v>808191676235</v>
      </c>
      <c r="C341" s="5" t="str">
        <f>IFERROR(__xludf.DUMMYFUNCTION("""COMPUTED_VALUE"""),"راندا فؤاد")</f>
        <v>راندا فؤاد</v>
      </c>
      <c r="D341" s="5">
        <f>IFERROR(__xludf.DUMMYFUNCTION("""COMPUTED_VALUE"""),2265.0)</f>
        <v>2265</v>
      </c>
      <c r="E341" s="5" t="str">
        <f>IFERROR(__xludf.DUMMYFUNCTION("""COMPUTED_VALUE"""),"EG04-EG05-EG06-EG07-EG08")</f>
        <v>EG04-EG05-EG06-EG07-EG08</v>
      </c>
      <c r="F341" s="5" t="str">
        <f>IFERROR(__xludf.DUMMYFUNCTION("""COMPUTED_VALUE"""),"randa.fouad.1811@gmail.com")</f>
        <v>randa.fouad.1811@gmail.com</v>
      </c>
      <c r="G341" s="5">
        <f>IFERROR(__xludf.DUMMYFUNCTION("""COMPUTED_VALUE"""),1.20043799E9)</f>
        <v>1200437990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tr">
        <f>IFERROR(__xludf.DUMMYFUNCTION("""COMPUTED_VALUE"""),"رانيا عماد")</f>
        <v>رانيا عماد</v>
      </c>
      <c r="B342" s="5">
        <f>IFERROR(__xludf.DUMMYFUNCTION("""COMPUTED_VALUE"""),3.19163985753E11)</f>
        <v>319163985753</v>
      </c>
      <c r="C342" s="5" t="str">
        <f>IFERROR(__xludf.DUMMYFUNCTION("""COMPUTED_VALUE"""),"رانيا عماد")</f>
        <v>رانيا عماد</v>
      </c>
      <c r="D342" s="5">
        <f>IFERROR(__xludf.DUMMYFUNCTION("""COMPUTED_VALUE"""),2324.0)</f>
        <v>2324</v>
      </c>
      <c r="E342" s="5" t="str">
        <f>IFERROR(__xludf.DUMMYFUNCTION("""COMPUTED_VALUE"""),"EG04-EG05-EG06")</f>
        <v>EG04-EG05-EG06</v>
      </c>
      <c r="F342" s="5" t="str">
        <f>IFERROR(__xludf.DUMMYFUNCTION("""COMPUTED_VALUE"""),"raniaemad91111@gmail.com")</f>
        <v>raniaemad91111@gmail.com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tr">
        <f>IFERROR(__xludf.DUMMYFUNCTION("""COMPUTED_VALUE"""),"أحمد البحيري")</f>
        <v>أحمد البحيري</v>
      </c>
      <c r="B343" s="5">
        <f>IFERROR(__xludf.DUMMYFUNCTION("""COMPUTED_VALUE"""),3.73156736453E11)</f>
        <v>373156736453</v>
      </c>
      <c r="C343" s="5" t="str">
        <f>IFERROR(__xludf.DUMMYFUNCTION("""COMPUTED_VALUE"""),"أحمد البحيري")</f>
        <v>أحمد البحيري</v>
      </c>
      <c r="D343" s="5">
        <f>IFERROR(__xludf.DUMMYFUNCTION("""COMPUTED_VALUE"""),2340.0)</f>
        <v>2340</v>
      </c>
      <c r="E343" s="5" t="str">
        <f>IFERROR(__xludf.DUMMYFUNCTION("""COMPUTED_VALUE"""),"EG07-EG08-EG09")</f>
        <v>EG07-EG08-EG09</v>
      </c>
      <c r="F343" s="5" t="str">
        <f>IFERROR(__xludf.DUMMYFUNCTION("""COMPUTED_VALUE"""),"elsaker79@hotmail.com")</f>
        <v>elsaker79@hotmail.com</v>
      </c>
      <c r="G343" s="5">
        <f>IFERROR(__xludf.DUMMYFUNCTION("""COMPUTED_VALUE"""),1.011099883E9)</f>
        <v>1011099883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tr">
        <f>IFERROR(__xludf.DUMMYFUNCTION("""COMPUTED_VALUE"""),"علياء فكري")</f>
        <v>علياء فكري</v>
      </c>
      <c r="B344" s="5">
        <f>IFERROR(__xludf.DUMMYFUNCTION("""COMPUTED_VALUE"""),5.94131487609E11)</f>
        <v>594131487609</v>
      </c>
      <c r="C344" s="5" t="str">
        <f>IFERROR(__xludf.DUMMYFUNCTION("""COMPUTED_VALUE"""),"علياء فكري")</f>
        <v>علياء فكري</v>
      </c>
      <c r="D344" s="5">
        <f>IFERROR(__xludf.DUMMYFUNCTION("""COMPUTED_VALUE"""),2339.0)</f>
        <v>2339</v>
      </c>
      <c r="E344" s="5" t="str">
        <f>IFERROR(__xludf.DUMMYFUNCTION("""COMPUTED_VALUE"""),"EG04-EG05-EG06-EG07-EG08-EG09")</f>
        <v>EG04-EG05-EG06-EG07-EG08-EG09</v>
      </c>
      <c r="F344" s="5" t="str">
        <f>IFERROR(__xludf.DUMMYFUNCTION("""COMPUTED_VALUE"""),"aliaafsultan105@gmail.com")</f>
        <v>aliaafsultan105@gmail.com</v>
      </c>
      <c r="G344" s="5" t="str">
        <f>IFERROR(__xludf.DUMMYFUNCTION("""COMPUTED_VALUE"""),"01040323439")</f>
        <v>01040323439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tr">
        <f>IFERROR(__xludf.DUMMYFUNCTION("""COMPUTED_VALUE"""),"حنان صبحي")</f>
        <v>حنان صبحي</v>
      </c>
      <c r="B345" s="5">
        <f>IFERROR(__xludf.DUMMYFUNCTION("""COMPUTED_VALUE"""),5.86179418453E11)</f>
        <v>586179418453</v>
      </c>
      <c r="C345" s="5" t="str">
        <f>IFERROR(__xludf.DUMMYFUNCTION("""COMPUTED_VALUE"""),"حنان صبحي")</f>
        <v>حنان صبحي</v>
      </c>
      <c r="D345" s="5">
        <f>IFERROR(__xludf.DUMMYFUNCTION("""COMPUTED_VALUE"""),2342.0)</f>
        <v>2342</v>
      </c>
      <c r="E345" s="5" t="str">
        <f>IFERROR(__xludf.DUMMYFUNCTION("""COMPUTED_VALUE"""),"EG04-EG05-EG06-EG07-EG08-EG09")</f>
        <v>EG04-EG05-EG06-EG07-EG08-EG09</v>
      </c>
      <c r="F345" s="5" t="str">
        <f>IFERROR(__xludf.DUMMYFUNCTION("""COMPUTED_VALUE"""),"hanansobhy9997@gmail.com")</f>
        <v>hanansobhy9997@gmail.com</v>
      </c>
      <c r="G345" s="5" t="str">
        <f>IFERROR(__xludf.DUMMYFUNCTION("""COMPUTED_VALUE"""),"01068457100")</f>
        <v>01068457100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tr">
        <f>IFERROR(__xludf.DUMMYFUNCTION("""COMPUTED_VALUE"""),"محمد فوزي")</f>
        <v>محمد فوزي</v>
      </c>
      <c r="B346" s="5">
        <f>IFERROR(__xludf.DUMMYFUNCTION("""COMPUTED_VALUE"""),3.75181892149E11)</f>
        <v>375181892149</v>
      </c>
      <c r="C346" s="5" t="str">
        <f>IFERROR(__xludf.DUMMYFUNCTION("""COMPUTED_VALUE"""),"محمد فوزي")</f>
        <v>محمد فوزي</v>
      </c>
      <c r="D346" s="5">
        <f>IFERROR(__xludf.DUMMYFUNCTION("""COMPUTED_VALUE"""),2347.0)</f>
        <v>2347</v>
      </c>
      <c r="E346" s="5" t="str">
        <f>IFERROR(__xludf.DUMMYFUNCTION("""COMPUTED_VALUE"""),"EG07-EG08-EG09")</f>
        <v>EG07-EG08-EG09</v>
      </c>
      <c r="F346" s="5" t="str">
        <f>IFERROR(__xludf.DUMMYFUNCTION("""COMPUTED_VALUE"""),"mohamedfawzyabdelrady@gmail.com")</f>
        <v>mohamedfawzyabdelrady@gmail.com</v>
      </c>
      <c r="G346" s="5" t="str">
        <f>IFERROR(__xludf.DUMMYFUNCTION("""COMPUTED_VALUE"""),"01033733035")</f>
        <v>01033733035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tr">
        <f>IFERROR(__xludf.DUMMYFUNCTION("""COMPUTED_VALUE"""),"محمد رجب")</f>
        <v>محمد رجب</v>
      </c>
      <c r="B347" s="5">
        <f>IFERROR(__xludf.DUMMYFUNCTION("""COMPUTED_VALUE"""),1.37159402437E11)</f>
        <v>137159402437</v>
      </c>
      <c r="C347" s="5" t="str">
        <f>IFERROR(__xludf.DUMMYFUNCTION("""COMPUTED_VALUE"""),"محمد رجب")</f>
        <v>محمد رجب</v>
      </c>
      <c r="D347" s="5">
        <f>IFERROR(__xludf.DUMMYFUNCTION("""COMPUTED_VALUE"""),2336.0)</f>
        <v>2336</v>
      </c>
      <c r="E347" s="5" t="str">
        <f>IFERROR(__xludf.DUMMYFUNCTION("""COMPUTED_VALUE"""),"G11-G12")</f>
        <v>G11-G12</v>
      </c>
      <c r="F347" s="5" t="str">
        <f>IFERROR(__xludf.DUMMYFUNCTION("""COMPUTED_VALUE"""),"mohamedr7713253@gmail.com")</f>
        <v>mohamedr7713253@gmail.com</v>
      </c>
      <c r="G347" s="5" t="str">
        <f>IFERROR(__xludf.DUMMYFUNCTION("""COMPUTED_VALUE"""),"01007713253")</f>
        <v>01007713253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tr">
        <f>IFERROR(__xludf.DUMMYFUNCTION("""COMPUTED_VALUE"""),"إسلام درويش")</f>
        <v>إسلام درويش</v>
      </c>
      <c r="B348" s="5">
        <f>IFERROR(__xludf.DUMMYFUNCTION("""COMPUTED_VALUE"""),8.57181851641E11)</f>
        <v>857181851641</v>
      </c>
      <c r="C348" s="5" t="str">
        <f>IFERROR(__xludf.DUMMYFUNCTION("""COMPUTED_VALUE"""),"إسلام درويش")</f>
        <v>إسلام درويش</v>
      </c>
      <c r="D348" s="5">
        <f>IFERROR(__xludf.DUMMYFUNCTION("""COMPUTED_VALUE"""),2263.0)</f>
        <v>2263</v>
      </c>
      <c r="E348" s="5" t="str">
        <f>IFERROR(__xludf.DUMMYFUNCTION("""COMPUTED_VALUE"""),"EG08-EG09-EG10-EG11-EG12")</f>
        <v>EG08-EG09-EG10-EG11-EG12</v>
      </c>
      <c r="F348" s="5" t="str">
        <f>IFERROR(__xludf.DUMMYFUNCTION("""COMPUTED_VALUE"""),"islam.m.darweesh@gmail.com")</f>
        <v>islam.m.darweesh@gmail.com</v>
      </c>
      <c r="G348" s="5" t="str">
        <f>IFERROR(__xludf.DUMMYFUNCTION("""COMPUTED_VALUE"""),"01153839716")</f>
        <v>01153839716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tr">
        <f>IFERROR(__xludf.DUMMYFUNCTION("""COMPUTED_VALUE"""),"أرساني عزيز")</f>
        <v>أرساني عزيز</v>
      </c>
      <c r="B349" s="5">
        <f>IFERROR(__xludf.DUMMYFUNCTION("""COMPUTED_VALUE"""),5.35159767372E11)</f>
        <v>535159767372</v>
      </c>
      <c r="C349" s="5" t="str">
        <f>IFERROR(__xludf.DUMMYFUNCTION("""COMPUTED_VALUE"""),"أرساني عزيز")</f>
        <v>أرساني عزيز</v>
      </c>
      <c r="D349" s="5">
        <f>IFERROR(__xludf.DUMMYFUNCTION("""COMPUTED_VALUE"""),2268.0)</f>
        <v>2268</v>
      </c>
      <c r="E349" s="5" t="str">
        <f>IFERROR(__xludf.DUMMYFUNCTION("""COMPUTED_VALUE"""),"EG10-EG11-EG12")</f>
        <v>EG10-EG11-EG12</v>
      </c>
      <c r="F349" s="5" t="str">
        <f>IFERROR(__xludf.DUMMYFUNCTION("""COMPUTED_VALUE"""),"arsanyaziz@gmail.com")</f>
        <v>arsanyaziz@gmail.com</v>
      </c>
      <c r="G349" s="5" t="str">
        <f>IFERROR(__xludf.DUMMYFUNCTION("""COMPUTED_VALUE"""),"01282842074")</f>
        <v>01282842074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tr">
        <f>IFERROR(__xludf.DUMMYFUNCTION("""COMPUTED_VALUE"""),"أحمد زكريا")</f>
        <v>أحمد زكريا</v>
      </c>
      <c r="B350" s="5">
        <f>IFERROR(__xludf.DUMMYFUNCTION("""COMPUTED_VALUE"""),2.74174108437E11)</f>
        <v>274174108437</v>
      </c>
      <c r="C350" s="5" t="str">
        <f>IFERROR(__xludf.DUMMYFUNCTION("""COMPUTED_VALUE"""),"أحمد زكريا")</f>
        <v>أحمد زكريا</v>
      </c>
      <c r="D350" s="5">
        <f>IFERROR(__xludf.DUMMYFUNCTION("""COMPUTED_VALUE"""),2343.0)</f>
        <v>2343</v>
      </c>
      <c r="E350" s="5" t="str">
        <f>IFERROR(__xludf.DUMMYFUNCTION("""COMPUTED_VALUE"""),"EG10-EG11")</f>
        <v>EG10-EG11</v>
      </c>
      <c r="F350" s="5" t="str">
        <f>IFERROR(__xludf.DUMMYFUNCTION("""COMPUTED_VALUE"""),"ahmed98zaky@gmail.com")</f>
        <v>ahmed98zaky@gmail.com</v>
      </c>
      <c r="G350" s="5" t="str">
        <f>IFERROR(__xludf.DUMMYFUNCTION("""COMPUTED_VALUE"""),"01100707485")</f>
        <v>01100707485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tr">
        <f>IFERROR(__xludf.DUMMYFUNCTION("""COMPUTED_VALUE"""),"مي رشدي")</f>
        <v>مي رشدي</v>
      </c>
      <c r="B351" s="5">
        <f>IFERROR(__xludf.DUMMYFUNCTION("""COMPUTED_VALUE"""),5.42163764786E11)</f>
        <v>542163764786</v>
      </c>
      <c r="C351" s="5" t="str">
        <f>IFERROR(__xludf.DUMMYFUNCTION("""COMPUTED_VALUE"""),"مي رشدي")</f>
        <v>مي رشدي</v>
      </c>
      <c r="D351" s="5" t="str">
        <f>IFERROR(__xludf.DUMMYFUNCTION("""COMPUTED_VALUE"""),"#N/A")</f>
        <v>#N/A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tr">
        <f>IFERROR(__xludf.DUMMYFUNCTION("""COMPUTED_VALUE"""),"مجدي عبد المجيد")</f>
        <v>مجدي عبد المجيد</v>
      </c>
      <c r="B352" s="5">
        <f>IFERROR(__xludf.DUMMYFUNCTION("""COMPUTED_VALUE"""),2.72137480185E11)</f>
        <v>272137480185</v>
      </c>
      <c r="C352" s="5" t="str">
        <f>IFERROR(__xludf.DUMMYFUNCTION("""COMPUTED_VALUE"""),"مجدي عبد المجيد")</f>
        <v>مجدي عبد المجيد</v>
      </c>
      <c r="D352" s="5">
        <f>IFERROR(__xludf.DUMMYFUNCTION("""COMPUTED_VALUE"""),2358.0)</f>
        <v>2358</v>
      </c>
      <c r="E352" s="5" t="str">
        <f>IFERROR(__xludf.DUMMYFUNCTION("""COMPUTED_VALUE"""),"EG07-EG08-EG09-EG10-EG11")</f>
        <v>EG07-EG08-EG09-EG10-EG11</v>
      </c>
      <c r="F352" s="5" t="str">
        <f>IFERROR(__xludf.DUMMYFUNCTION("""COMPUTED_VALUE"""),"magdi.younis@yahoo.com")</f>
        <v>magdi.younis@yahoo.com</v>
      </c>
      <c r="G352" s="5">
        <f>IFERROR(__xludf.DUMMYFUNCTION("""COMPUTED_VALUE"""),1.097660471E9)</f>
        <v>1097660471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tr">
        <f>IFERROR(__xludf.DUMMYFUNCTION("""COMPUTED_VALUE"""),"ألبرت إبراهيم")</f>
        <v>ألبرت إبراهيم</v>
      </c>
      <c r="B353" s="5">
        <f>IFERROR(__xludf.DUMMYFUNCTION("""COMPUTED_VALUE"""),5.43195809524E11)</f>
        <v>543195809524</v>
      </c>
      <c r="C353" s="5" t="str">
        <f>IFERROR(__xludf.DUMMYFUNCTION("""COMPUTED_VALUE"""),"ألبرت إبراهيم")</f>
        <v>ألبرت إبراهيم</v>
      </c>
      <c r="D353" s="5">
        <f>IFERROR(__xludf.DUMMYFUNCTION("""COMPUTED_VALUE"""),2352.0)</f>
        <v>2352</v>
      </c>
      <c r="E353" s="5" t="str">
        <f>IFERROR(__xludf.DUMMYFUNCTION("""COMPUTED_VALUE"""),"EG07-EG08-EG09")</f>
        <v>EG07-EG08-EG09</v>
      </c>
      <c r="F353" s="5" t="str">
        <f>IFERROR(__xludf.DUMMYFUNCTION("""COMPUTED_VALUE"""),"albertibrahim30@gmail.com")</f>
        <v>albertibrahim30@gmail.com</v>
      </c>
      <c r="G353" s="5" t="str">
        <f>IFERROR(__xludf.DUMMYFUNCTION("""COMPUTED_VALUE"""),"01276626044")</f>
        <v>01276626044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tr">
        <f>IFERROR(__xludf.DUMMYFUNCTION("""COMPUTED_VALUE"""),"دينا حسين")</f>
        <v>دينا حسين</v>
      </c>
      <c r="B354" s="5">
        <f>IFERROR(__xludf.DUMMYFUNCTION("""COMPUTED_VALUE"""),2.85101463697E11)</f>
        <v>285101463697</v>
      </c>
      <c r="C354" s="5" t="str">
        <f>IFERROR(__xludf.DUMMYFUNCTION("""COMPUTED_VALUE"""),"دينا حسين")</f>
        <v>دينا حسين</v>
      </c>
      <c r="D354" s="5">
        <f>IFERROR(__xludf.DUMMYFUNCTION("""COMPUTED_VALUE"""),2357.0)</f>
        <v>2357</v>
      </c>
      <c r="E354" s="5" t="str">
        <f>IFERROR(__xludf.DUMMYFUNCTION("""COMPUTED_VALUE"""),"EG04-EG05-EG06-EG07-EG08-EG09")</f>
        <v>EG04-EG05-EG06-EG07-EG08-EG09</v>
      </c>
      <c r="F354" s="5" t="str">
        <f>IFERROR(__xludf.DUMMYFUNCTION("""COMPUTED_VALUE"""),"elsayeddina@hotmail.com")</f>
        <v>elsayeddina@hotmail.com</v>
      </c>
      <c r="G354" s="5" t="str">
        <f>IFERROR(__xludf.DUMMYFUNCTION("""COMPUTED_VALUE"""),"01114432985")</f>
        <v>01114432985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tr">
        <f>IFERROR(__xludf.DUMMYFUNCTION("""COMPUTED_VALUE"""),"نرمين سعيد")</f>
        <v>نرمين سعيد</v>
      </c>
      <c r="B355" s="5">
        <f>IFERROR(__xludf.DUMMYFUNCTION("""COMPUTED_VALUE"""),7.16141713108E11)</f>
        <v>716141713108</v>
      </c>
      <c r="C355" s="5" t="str">
        <f>IFERROR(__xludf.DUMMYFUNCTION("""COMPUTED_VALUE"""),"نرمين سعيد")</f>
        <v>نرمين سعيد</v>
      </c>
      <c r="D355" s="5">
        <f>IFERROR(__xludf.DUMMYFUNCTION("""COMPUTED_VALUE"""),2355.0)</f>
        <v>2355</v>
      </c>
      <c r="E355" s="5" t="str">
        <f>IFERROR(__xludf.DUMMYFUNCTION("""COMPUTED_VALUE"""),"EG07-EG08-EG09")</f>
        <v>EG07-EG08-EG09</v>
      </c>
      <c r="F355" s="5" t="str">
        <f>IFERROR(__xludf.DUMMYFUNCTION("""COMPUTED_VALUE"""),"nrmeensaeed28191@gmail.com")</f>
        <v>nrmeensaeed28191@gmail.com</v>
      </c>
      <c r="G355" s="5" t="str">
        <f>IFERROR(__xludf.DUMMYFUNCTION("""COMPUTED_VALUE"""),"01065167912")</f>
        <v>01065167912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tr">
        <f>IFERROR(__xludf.DUMMYFUNCTION("""COMPUTED_VALUE"""),"إيمان إبراهيم")</f>
        <v>إيمان إبراهيم</v>
      </c>
      <c r="B356" s="5">
        <f>IFERROR(__xludf.DUMMYFUNCTION("""COMPUTED_VALUE"""),7.27157584915E11)</f>
        <v>727157584915</v>
      </c>
      <c r="C356" s="5" t="str">
        <f>IFERROR(__xludf.DUMMYFUNCTION("""COMPUTED_VALUE"""),"إيمان إبراهيم")</f>
        <v>إيمان إبراهيم</v>
      </c>
      <c r="D356" s="5">
        <f>IFERROR(__xludf.DUMMYFUNCTION("""COMPUTED_VALUE"""),2354.0)</f>
        <v>2354</v>
      </c>
      <c r="E356" s="5" t="str">
        <f>IFERROR(__xludf.DUMMYFUNCTION("""COMPUTED_VALUE"""),"EG04-EG05")</f>
        <v>EG04-EG05</v>
      </c>
      <c r="F356" s="5" t="str">
        <f>IFERROR(__xludf.DUMMYFUNCTION("""COMPUTED_VALUE"""),"emanhamdy9876@gmail.com")</f>
        <v>emanhamdy9876@gmail.com</v>
      </c>
      <c r="G356" s="5" t="str">
        <f>IFERROR(__xludf.DUMMYFUNCTION("""COMPUTED_VALUE"""),"01118049112")</f>
        <v>01118049112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tr">
        <f>IFERROR(__xludf.DUMMYFUNCTION("""COMPUTED_VALUE"""),"مونيكا عماد")</f>
        <v>مونيكا عماد</v>
      </c>
      <c r="B357" s="5">
        <f>IFERROR(__xludf.DUMMYFUNCTION("""COMPUTED_VALUE"""),2.38140327279E11)</f>
        <v>238140327279</v>
      </c>
      <c r="C357" s="5" t="str">
        <f>IFERROR(__xludf.DUMMYFUNCTION("""COMPUTED_VALUE"""),"مونيكا عماد")</f>
        <v>مونيكا عماد</v>
      </c>
      <c r="D357" s="5">
        <f>IFERROR(__xludf.DUMMYFUNCTION("""COMPUTED_VALUE"""),2350.0)</f>
        <v>2350</v>
      </c>
      <c r="E357" s="5" t="str">
        <f>IFERROR(__xludf.DUMMYFUNCTION("""COMPUTED_VALUE"""),"EG07-EG08-EG09")</f>
        <v>EG07-EG08-EG09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tr">
        <f>IFERROR(__xludf.DUMMYFUNCTION("""COMPUTED_VALUE"""),"رنا طارق")</f>
        <v>رنا طارق</v>
      </c>
      <c r="B358" s="5">
        <f>IFERROR(__xludf.DUMMYFUNCTION("""COMPUTED_VALUE"""),9.43127373092E11)</f>
        <v>943127373092</v>
      </c>
      <c r="C358" s="5" t="str">
        <f>IFERROR(__xludf.DUMMYFUNCTION("""COMPUTED_VALUE"""),"رنا طارق")</f>
        <v>رنا طارق</v>
      </c>
      <c r="D358" s="5">
        <f>IFERROR(__xludf.DUMMYFUNCTION("""COMPUTED_VALUE"""),2353.0)</f>
        <v>2353</v>
      </c>
      <c r="E358" s="5" t="str">
        <f>IFERROR(__xludf.DUMMYFUNCTION("""COMPUTED_VALUE"""),"EG04-EG05-EG06-EG07-EG08-EG09")</f>
        <v>EG04-EG05-EG06-EG07-EG08-EG09</v>
      </c>
      <c r="F358" s="5" t="str">
        <f>IFERROR(__xludf.DUMMYFUNCTION("""COMPUTED_VALUE"""),"rana.tarek.met@gmail.com")</f>
        <v>rana.tarek.met@gmail.com</v>
      </c>
      <c r="G358" s="5" t="str">
        <f>IFERROR(__xludf.DUMMYFUNCTION("""COMPUTED_VALUE"""),"01142877853")</f>
        <v>01142877853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tr">
        <f>IFERROR(__xludf.DUMMYFUNCTION("""COMPUTED_VALUE"""),"ريهام سلطان")</f>
        <v>ريهام سلطان</v>
      </c>
      <c r="B359" s="5">
        <f>IFERROR(__xludf.DUMMYFUNCTION("""COMPUTED_VALUE"""),5.29183826745E11)</f>
        <v>529183826745</v>
      </c>
      <c r="C359" s="5" t="str">
        <f>IFERROR(__xludf.DUMMYFUNCTION("""COMPUTED_VALUE"""),"ريهام سلطان")</f>
        <v>ريهام سلطان</v>
      </c>
      <c r="D359" s="5">
        <f>IFERROR(__xludf.DUMMYFUNCTION("""COMPUTED_VALUE"""),2379.0)</f>
        <v>2379</v>
      </c>
      <c r="E359" s="5"/>
      <c r="F359" s="5" t="str">
        <f>IFERROR(__xludf.DUMMYFUNCTION("""COMPUTED_VALUE"""),"rehamsultan718@gmail.com")</f>
        <v>rehamsultan718@gmail.com</v>
      </c>
      <c r="G359" s="5" t="str">
        <f>IFERROR(__xludf.DUMMYFUNCTION("""COMPUTED_VALUE"""),"01099408611")</f>
        <v>01099408611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tr">
        <f>IFERROR(__xludf.DUMMYFUNCTION("""COMPUTED_VALUE"""),"هبة عبد العال")</f>
        <v>هبة عبد العال</v>
      </c>
      <c r="B360" s="5">
        <f>IFERROR(__xludf.DUMMYFUNCTION("""COMPUTED_VALUE"""),5.89150897049E11)</f>
        <v>589150897049</v>
      </c>
      <c r="C360" s="5" t="str">
        <f>IFERROR(__xludf.DUMMYFUNCTION("""COMPUTED_VALUE"""),"هبة عبد العال")</f>
        <v>هبة عبد العال</v>
      </c>
      <c r="D360" s="5">
        <f>IFERROR(__xludf.DUMMYFUNCTION("""COMPUTED_VALUE"""),2377.0)</f>
        <v>2377</v>
      </c>
      <c r="E360" s="5" t="str">
        <f>IFERROR(__xludf.DUMMYFUNCTION("""COMPUTED_VALUE"""),"EG04-EG05-EG06-EG07-EG08-EG09")</f>
        <v>EG04-EG05-EG06-EG07-EG08-EG09</v>
      </c>
      <c r="F360" s="5" t="str">
        <f>IFERROR(__xludf.DUMMYFUNCTION("""COMPUTED_VALUE"""),"hebamohamed.bloom@gmail.com")</f>
        <v>hebamohamed.bloom@gmail.com</v>
      </c>
      <c r="G360" s="5" t="str">
        <f>IFERROR(__xludf.DUMMYFUNCTION("""COMPUTED_VALUE"""),"01094740302")</f>
        <v>01094740302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tr">
        <f>IFERROR(__xludf.DUMMYFUNCTION("""COMPUTED_VALUE"""),"محمد حمدي")</f>
        <v>محمد حمدي</v>
      </c>
      <c r="B361" s="5">
        <f>IFERROR(__xludf.DUMMYFUNCTION("""COMPUTED_VALUE"""),8.39190937852E11)</f>
        <v>839190937852</v>
      </c>
      <c r="C361" s="5" t="str">
        <f>IFERROR(__xludf.DUMMYFUNCTION("""COMPUTED_VALUE"""),"محمد حمدي")</f>
        <v>محمد حمدي</v>
      </c>
      <c r="D361" s="5">
        <f>IFERROR(__xludf.DUMMYFUNCTION("""COMPUTED_VALUE"""),2378.0)</f>
        <v>2378</v>
      </c>
      <c r="E361" s="5" t="str">
        <f>IFERROR(__xludf.DUMMYFUNCTION("""COMPUTED_VALUE"""),"EG07-EG08-EG09-EG10-EG11-EG12")</f>
        <v>EG07-EG08-EG09-EG10-EG11-EG12</v>
      </c>
      <c r="F361" s="5" t="str">
        <f>IFERROR(__xludf.DUMMYFUNCTION("""COMPUTED_VALUE"""),"muhamed.2866893@gmail.com")</f>
        <v>muhamed.2866893@gmail.com</v>
      </c>
      <c r="G361" s="5" t="str">
        <f>IFERROR(__xludf.DUMMYFUNCTION("""COMPUTED_VALUE"""),"01009253528")</f>
        <v>01009253528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tr">
        <f>IFERROR(__xludf.DUMMYFUNCTION("""COMPUTED_VALUE"""),"رانا سامي")</f>
        <v>رانا سامي</v>
      </c>
      <c r="B362" s="5">
        <f>IFERROR(__xludf.DUMMYFUNCTION("""COMPUTED_VALUE"""),8.09198759721E11)</f>
        <v>809198759721</v>
      </c>
      <c r="C362" s="5" t="str">
        <f>IFERROR(__xludf.DUMMYFUNCTION("""COMPUTED_VALUE"""),"رانا سامي")</f>
        <v>رانا سامي</v>
      </c>
      <c r="D362" s="5">
        <f>IFERROR(__xludf.DUMMYFUNCTION("""COMPUTED_VALUE"""),2367.0)</f>
        <v>2367</v>
      </c>
      <c r="E362" s="5" t="str">
        <f>IFERROR(__xludf.DUMMYFUNCTION("""COMPUTED_VALUE"""),"EG04-EG05-EG06-EG07")</f>
        <v>EG04-EG05-EG06-EG07</v>
      </c>
      <c r="F362" s="5" t="str">
        <f>IFERROR(__xludf.DUMMYFUNCTION("""COMPUTED_VALUE"""),"rana.hrly@gmail.com")</f>
        <v>rana.hrly@gmail.com</v>
      </c>
      <c r="G362" s="5" t="str">
        <f>IFERROR(__xludf.DUMMYFUNCTION("""COMPUTED_VALUE"""),"01210614318")</f>
        <v>01210614318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tr">
        <f>IFERROR(__xludf.DUMMYFUNCTION("""COMPUTED_VALUE"""),"إيمان عادل")</f>
        <v>إيمان عادل</v>
      </c>
      <c r="B363" s="5">
        <f>IFERROR(__xludf.DUMMYFUNCTION("""COMPUTED_VALUE"""),1.46150758976E11)</f>
        <v>146150758976</v>
      </c>
      <c r="C363" s="5" t="str">
        <f>IFERROR(__xludf.DUMMYFUNCTION("""COMPUTED_VALUE"""),"إيمان عادل")</f>
        <v>إيمان عادل</v>
      </c>
      <c r="D363" s="5">
        <f>IFERROR(__xludf.DUMMYFUNCTION("""COMPUTED_VALUE"""),2375.0)</f>
        <v>2375</v>
      </c>
      <c r="E363" s="5" t="str">
        <f>IFERROR(__xludf.DUMMYFUNCTION("""COMPUTED_VALUE"""),"EG04-EG05-EG06-EG07-EG08-EG09")</f>
        <v>EG04-EG05-EG06-EG07-EG08-EG09</v>
      </c>
      <c r="F363" s="5" t="str">
        <f>IFERROR(__xludf.DUMMYFUNCTION("""COMPUTED_VALUE"""),"emanyassen175@gmail.com")</f>
        <v>emanyassen175@gmail.com</v>
      </c>
      <c r="G363" s="5" t="str">
        <f>IFERROR(__xludf.DUMMYFUNCTION("""COMPUTED_VALUE"""),"01124999968")</f>
        <v>01124999968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tr">
        <f>IFERROR(__xludf.DUMMYFUNCTION("""COMPUTED_VALUE"""),"نهال زاهر")</f>
        <v>نهال زاهر</v>
      </c>
      <c r="B364" s="5">
        <f>IFERROR(__xludf.DUMMYFUNCTION("""COMPUTED_VALUE"""),7.83123583101E11)</f>
        <v>783123583101</v>
      </c>
      <c r="C364" s="5" t="str">
        <f>IFERROR(__xludf.DUMMYFUNCTION("""COMPUTED_VALUE"""),"نهال زاهر")</f>
        <v>نهال زاهر</v>
      </c>
      <c r="D364" s="5">
        <f>IFERROR(__xludf.DUMMYFUNCTION("""COMPUTED_VALUE"""),2376.0)</f>
        <v>2376</v>
      </c>
      <c r="E364" s="5" t="str">
        <f>IFERROR(__xludf.DUMMYFUNCTION("""COMPUTED_VALUE"""),"EG09-EG10-EG11")</f>
        <v>EG09-EG10-EG11</v>
      </c>
      <c r="F364" s="5" t="str">
        <f>IFERROR(__xludf.DUMMYFUNCTION("""COMPUTED_VALUE"""),"nehalzaher@gmail.com")</f>
        <v>nehalzaher@gmail.com</v>
      </c>
      <c r="G364" s="5">
        <f>IFERROR(__xludf.DUMMYFUNCTION("""COMPUTED_VALUE"""),9.1111734555E10)</f>
        <v>91111734555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tr">
        <f>IFERROR(__xludf.DUMMYFUNCTION("""COMPUTED_VALUE"""),"أحمد عبد الستار")</f>
        <v>أحمد عبد الستار</v>
      </c>
      <c r="B365" s="5">
        <f>IFERROR(__xludf.DUMMYFUNCTION("""COMPUTED_VALUE"""),6.06135373517E11)</f>
        <v>606135373517</v>
      </c>
      <c r="C365" s="5" t="str">
        <f>IFERROR(__xludf.DUMMYFUNCTION("""COMPUTED_VALUE"""),"أحمد عبد الستار")</f>
        <v>أحمد عبد الستار</v>
      </c>
      <c r="D365" s="5">
        <f>IFERROR(__xludf.DUMMYFUNCTION("""COMPUTED_VALUE"""),2372.0)</f>
        <v>2372</v>
      </c>
      <c r="E365" s="5" t="str">
        <f>IFERROR(__xludf.DUMMYFUNCTION("""COMPUTED_VALUE"""),"EG10-EG11-G12")</f>
        <v>EG10-EG11-G12</v>
      </c>
      <c r="F365" s="5" t="str">
        <f>IFERROR(__xludf.DUMMYFUNCTION("""COMPUTED_VALUE"""),"sitroful350@gmail.com")</f>
        <v>sitroful350@gmail.com</v>
      </c>
      <c r="G365" s="5" t="str">
        <f>IFERROR(__xludf.DUMMYFUNCTION("""COMPUTED_VALUE"""),"01204178960")</f>
        <v>01204178960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tr">
        <f>IFERROR(__xludf.DUMMYFUNCTION("""COMPUTED_VALUE"""),"جورج إدريس")</f>
        <v>جورج إدريس</v>
      </c>
      <c r="B366" s="5">
        <f>IFERROR(__xludf.DUMMYFUNCTION("""COMPUTED_VALUE"""),5.38169672528E11)</f>
        <v>538169672528</v>
      </c>
      <c r="C366" s="5" t="str">
        <f>IFERROR(__xludf.DUMMYFUNCTION("""COMPUTED_VALUE"""),"جورج إدريس")</f>
        <v>جورج إدريس</v>
      </c>
      <c r="D366" s="5">
        <f>IFERROR(__xludf.DUMMYFUNCTION("""COMPUTED_VALUE"""),2369.0)</f>
        <v>2369</v>
      </c>
      <c r="E366" s="5" t="str">
        <f>IFERROR(__xludf.DUMMYFUNCTION("""COMPUTED_VALUE"""),"EG10-EG11-G12")</f>
        <v>EG10-EG11-G12</v>
      </c>
      <c r="F366" s="5" t="str">
        <f>IFERROR(__xludf.DUMMYFUNCTION("""COMPUTED_VALUE"""),"geo.georgeedris@gmail.com")</f>
        <v>geo.georgeedris@gmail.com</v>
      </c>
      <c r="G366" s="5" t="str">
        <f>IFERROR(__xludf.DUMMYFUNCTION("""COMPUTED_VALUE"""),"01289730426")</f>
        <v>01289730426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tr">
        <f>IFERROR(__xludf.DUMMYFUNCTION("""COMPUTED_VALUE"""),"أحمد صالح")</f>
        <v>أحمد صالح</v>
      </c>
      <c r="B367" s="5">
        <f>IFERROR(__xludf.DUMMYFUNCTION("""COMPUTED_VALUE"""),5.87173545189E11)</f>
        <v>587173545189</v>
      </c>
      <c r="C367" s="5" t="str">
        <f>IFERROR(__xludf.DUMMYFUNCTION("""COMPUTED_VALUE"""),"أحمد صالح")</f>
        <v>أحمد صالح</v>
      </c>
      <c r="D367" s="5">
        <f>IFERROR(__xludf.DUMMYFUNCTION("""COMPUTED_VALUE"""),2371.0)</f>
        <v>2371</v>
      </c>
      <c r="E367" s="5" t="str">
        <f>IFERROR(__xludf.DUMMYFUNCTION("""COMPUTED_VALUE"""),"EG08-EG09-EG10-EG11-EG12")</f>
        <v>EG08-EG09-EG10-EG11-EG12</v>
      </c>
      <c r="F367" s="5" t="str">
        <f>IFERROR(__xludf.DUMMYFUNCTION("""COMPUTED_VALUE"""),"saleh8015@gmail.com")</f>
        <v>saleh8015@gmail.com</v>
      </c>
      <c r="G367" s="5" t="str">
        <f>IFERROR(__xludf.DUMMYFUNCTION("""COMPUTED_VALUE"""),"01122606455")</f>
        <v>01122606455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tr">
        <f>IFERROR(__xludf.DUMMYFUNCTION("""COMPUTED_VALUE"""),"أحمد فتحي عبد الله")</f>
        <v>أحمد فتحي عبد الله</v>
      </c>
      <c r="B368" s="5">
        <f>IFERROR(__xludf.DUMMYFUNCTION("""COMPUTED_VALUE"""),2.50145985245E11)</f>
        <v>250145985245</v>
      </c>
      <c r="C368" s="5" t="str">
        <f>IFERROR(__xludf.DUMMYFUNCTION("""COMPUTED_VALUE"""),"أحمد فتحي عبد الله")</f>
        <v>أحمد فتحي عبد الله</v>
      </c>
      <c r="D368" s="5">
        <f>IFERROR(__xludf.DUMMYFUNCTION("""COMPUTED_VALUE"""),2374.0)</f>
        <v>2374</v>
      </c>
      <c r="E368" s="5" t="str">
        <f>IFERROR(__xludf.DUMMYFUNCTION("""COMPUTED_VALUE"""),"EG07-EG08-EG09")</f>
        <v>EG07-EG08-EG09</v>
      </c>
      <c r="F368" s="5" t="str">
        <f>IFERROR(__xludf.DUMMYFUNCTION("""COMPUTED_VALUE"""),"afthy6959@gmail.com")</f>
        <v>afthy6959@gmail.com</v>
      </c>
      <c r="G368" s="5" t="str">
        <f>IFERROR(__xludf.DUMMYFUNCTION("""COMPUTED_VALUE"""),"01010649710")</f>
        <v>01010649710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tr">
        <f>IFERROR(__xludf.DUMMYFUNCTION("""COMPUTED_VALUE"""),"أسامة إمام")</f>
        <v>أسامة إمام</v>
      </c>
      <c r="B369" s="5">
        <f>IFERROR(__xludf.DUMMYFUNCTION("""COMPUTED_VALUE"""),8.30132652879E11)</f>
        <v>830132652879</v>
      </c>
      <c r="C369" s="5" t="str">
        <f>IFERROR(__xludf.DUMMYFUNCTION("""COMPUTED_VALUE"""),"أسامة إمام")</f>
        <v>أسامة إمام</v>
      </c>
      <c r="D369" s="5">
        <f>IFERROR(__xludf.DUMMYFUNCTION("""COMPUTED_VALUE"""),2368.0)</f>
        <v>2368</v>
      </c>
      <c r="E369" s="5" t="str">
        <f>IFERROR(__xludf.DUMMYFUNCTION("""COMPUTED_VALUE"""),"EG10-EG11-G12")</f>
        <v>EG10-EG11-G12</v>
      </c>
      <c r="F369" s="5" t="str">
        <f>IFERROR(__xludf.DUMMYFUNCTION("""COMPUTED_VALUE"""),"984255@sharkia1.moe.edu.eg")</f>
        <v>984255@sharkia1.moe.edu.eg</v>
      </c>
      <c r="G369" s="5" t="str">
        <f>IFERROR(__xludf.DUMMYFUNCTION("""COMPUTED_VALUE"""),"01283142438")</f>
        <v>01283142438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tr">
        <f>IFERROR(__xludf.DUMMYFUNCTION("""COMPUTED_VALUE"""),"إيمان السيد")</f>
        <v>إيمان السيد</v>
      </c>
      <c r="B370" s="5">
        <f>IFERROR(__xludf.DUMMYFUNCTION("""COMPUTED_VALUE"""),7.9417574232E11)</f>
        <v>794175742320</v>
      </c>
      <c r="C370" s="5" t="str">
        <f>IFERROR(__xludf.DUMMYFUNCTION("""COMPUTED_VALUE"""),"إيمان السيد")</f>
        <v>إيمان السيد</v>
      </c>
      <c r="D370" s="5">
        <f>IFERROR(__xludf.DUMMYFUNCTION("""COMPUTED_VALUE"""),2370.0)</f>
        <v>2370</v>
      </c>
      <c r="E370" s="5" t="str">
        <f>IFERROR(__xludf.DUMMYFUNCTION("""COMPUTED_VALUE"""),"لم يعجبها نظام الدفع والتسجيلات وقالت إنها لا تريد أن تقدم وقتها في ""حاجة غير مجدية"" واستقالت بالفعل")</f>
        <v>لم يعجبها نظام الدفع والتسجيلات وقالت إنها لا تريد أن تقدم وقتها في "حاجة غير مجدية" واستقالت بالفعل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tr">
        <f>IFERROR(__xludf.DUMMYFUNCTION("""COMPUTED_VALUE"""),"دعاء نجيب")</f>
        <v>دعاء نجيب</v>
      </c>
      <c r="B371" s="5">
        <f>IFERROR(__xludf.DUMMYFUNCTION("""COMPUTED_VALUE"""),6.57134826213E11)</f>
        <v>657134826213</v>
      </c>
      <c r="C371" s="5" t="str">
        <f>IFERROR(__xludf.DUMMYFUNCTION("""COMPUTED_VALUE"""),"دعاء نجيب")</f>
        <v>دعاء نجيب</v>
      </c>
      <c r="D371" s="5">
        <f>IFERROR(__xludf.DUMMYFUNCTION("""COMPUTED_VALUE"""),2397.0)</f>
        <v>2397</v>
      </c>
      <c r="E371" s="5" t="str">
        <f>IFERROR(__xludf.DUMMYFUNCTION("""COMPUTED_VALUE"""),"EG04-EG05-EG06")</f>
        <v>EG04-EG05-EG06</v>
      </c>
      <c r="F371" s="5" t="str">
        <f>IFERROR(__xludf.DUMMYFUNCTION("""COMPUTED_VALUE"""),"douaanaguib@gmail.com")</f>
        <v>douaanaguib@gmail.com</v>
      </c>
      <c r="G371" s="5" t="str">
        <f>IFERROR(__xludf.DUMMYFUNCTION("""COMPUTED_VALUE"""),"01000271867")</f>
        <v>01000271867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tr">
        <f>IFERROR(__xludf.DUMMYFUNCTION("""COMPUTED_VALUE"""),"ريم الديب")</f>
        <v>ريم الديب</v>
      </c>
      <c r="B372" s="5">
        <f>IFERROR(__xludf.DUMMYFUNCTION("""COMPUTED_VALUE"""),9.58105146807E11)</f>
        <v>958105146807</v>
      </c>
      <c r="C372" s="5" t="str">
        <f>IFERROR(__xludf.DUMMYFUNCTION("""COMPUTED_VALUE"""),"ريم الديب")</f>
        <v>ريم الديب</v>
      </c>
      <c r="D372" s="5">
        <f>IFERROR(__xludf.DUMMYFUNCTION("""COMPUTED_VALUE"""),2401.0)</f>
        <v>2401</v>
      </c>
      <c r="E372" s="5" t="str">
        <f>IFERROR(__xludf.DUMMYFUNCTION("""COMPUTED_VALUE"""),"EG04-EG05-EG06-EG07-EG08-EG09")</f>
        <v>EG04-EG05-EG06-EG07-EG08-EG09</v>
      </c>
      <c r="F372" s="5" t="str">
        <f>IFERROR(__xludf.DUMMYFUNCTION("""COMPUTED_VALUE"""),"raldeeb.hesham@gmail.com")</f>
        <v>raldeeb.hesham@gmail.com</v>
      </c>
      <c r="G372" s="5" t="str">
        <f>IFERROR(__xludf.DUMMYFUNCTION("""COMPUTED_VALUE"""),"01010014454")</f>
        <v>01010014454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tr">
        <f>IFERROR(__xludf.DUMMYFUNCTION("""COMPUTED_VALUE"""),"أحمد مندور")</f>
        <v>أحمد مندور</v>
      </c>
      <c r="B373" s="5">
        <f>IFERROR(__xludf.DUMMYFUNCTION("""COMPUTED_VALUE"""),9.69125749578E11)</f>
        <v>969125749578</v>
      </c>
      <c r="C373" s="5" t="str">
        <f>IFERROR(__xludf.DUMMYFUNCTION("""COMPUTED_VALUE"""),"أحمد مندور")</f>
        <v>أحمد مندور</v>
      </c>
      <c r="D373" s="5">
        <f>IFERROR(__xludf.DUMMYFUNCTION("""COMPUTED_VALUE"""),2398.0)</f>
        <v>2398</v>
      </c>
      <c r="E373" s="5" t="str">
        <f>IFERROR(__xludf.DUMMYFUNCTION("""COMPUTED_VALUE"""),"EG04-EG05-EG06-EG07-EG08-EG09")</f>
        <v>EG04-EG05-EG06-EG07-EG08-EG09</v>
      </c>
      <c r="F373" s="5" t="str">
        <f>IFERROR(__xludf.DUMMYFUNCTION("""COMPUTED_VALUE"""),"greenocean1221@gmail.com")</f>
        <v>greenocean1221@gmail.com</v>
      </c>
      <c r="G373" s="5" t="str">
        <f>IFERROR(__xludf.DUMMYFUNCTION("""COMPUTED_VALUE"""),"01004480246")</f>
        <v>01004480246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tr">
        <f>IFERROR(__xludf.DUMMYFUNCTION("""COMPUTED_VALUE"""),"نورهان هاني")</f>
        <v>نورهان هاني</v>
      </c>
      <c r="B374" s="5">
        <f>IFERROR(__xludf.DUMMYFUNCTION("""COMPUTED_VALUE"""),8.32181306187E11)</f>
        <v>832181306187</v>
      </c>
      <c r="C374" s="5" t="str">
        <f>IFERROR(__xludf.DUMMYFUNCTION("""COMPUTED_VALUE"""),"نورهان هاني")</f>
        <v>نورهان هاني</v>
      </c>
      <c r="D374" s="5">
        <f>IFERROR(__xludf.DUMMYFUNCTION("""COMPUTED_VALUE"""),2436.0)</f>
        <v>2436</v>
      </c>
      <c r="E374" s="5" t="str">
        <f>IFERROR(__xludf.DUMMYFUNCTION("""COMPUTED_VALUE"""),"EG01-EG02-EG03-EG04-EG05-EG06")</f>
        <v>EG01-EG02-EG03-EG04-EG05-EG06</v>
      </c>
      <c r="F374" s="5" t="str">
        <f>IFERROR(__xludf.DUMMYFUNCTION("""COMPUTED_VALUE"""),"nourhan.hany.amer.1992@gmail.com")</f>
        <v>nourhan.hany.amer.1992@gmail.com</v>
      </c>
      <c r="G374" s="5" t="str">
        <f>IFERROR(__xludf.DUMMYFUNCTION("""COMPUTED_VALUE"""),"01023766623")</f>
        <v>01023766623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tr">
        <f>IFERROR(__xludf.DUMMYFUNCTION("""COMPUTED_VALUE"""),"إيناس علي")</f>
        <v>إيناس علي</v>
      </c>
      <c r="B375" s="5">
        <f>IFERROR(__xludf.DUMMYFUNCTION("""COMPUTED_VALUE"""),1.56163195097E11)</f>
        <v>156163195097</v>
      </c>
      <c r="C375" s="5" t="str">
        <f>IFERROR(__xludf.DUMMYFUNCTION("""COMPUTED_VALUE"""),"إيناس علي")</f>
        <v>إيناس علي</v>
      </c>
      <c r="D375" s="5">
        <f>IFERROR(__xludf.DUMMYFUNCTION("""COMPUTED_VALUE"""),2456.0)</f>
        <v>2456</v>
      </c>
      <c r="E375" s="5" t="str">
        <f>IFERROR(__xludf.DUMMYFUNCTION("""COMPUTED_VALUE"""),"EG04-EG05-EG06")</f>
        <v>EG04-EG05-EG06</v>
      </c>
      <c r="F375" s="5" t="str">
        <f>IFERROR(__xludf.DUMMYFUNCTION("""COMPUTED_VALUE"""),"enas.ali91@gmail.com")</f>
        <v>enas.ali91@gmail.com</v>
      </c>
      <c r="G375" s="5" t="str">
        <f>IFERROR(__xludf.DUMMYFUNCTION("""COMPUTED_VALUE"""),"01014651990")</f>
        <v>01014651990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tr">
        <f>IFERROR(__xludf.DUMMYFUNCTION("""COMPUTED_VALUE"""),"يمنى ياسر")</f>
        <v>يمنى ياسر</v>
      </c>
      <c r="B376" s="5">
        <f>IFERROR(__xludf.DUMMYFUNCTION("""COMPUTED_VALUE"""),1.40157603065E11)</f>
        <v>140157603065</v>
      </c>
      <c r="C376" s="5" t="str">
        <f>IFERROR(__xludf.DUMMYFUNCTION("""COMPUTED_VALUE"""),"يمنى ياسر")</f>
        <v>يمنى ياسر</v>
      </c>
      <c r="D376" s="5">
        <f>IFERROR(__xludf.DUMMYFUNCTION("""COMPUTED_VALUE"""),2380.0)</f>
        <v>2380</v>
      </c>
      <c r="E376" s="5" t="str">
        <f>IFERROR(__xludf.DUMMYFUNCTION("""COMPUTED_VALUE"""),"EG04")</f>
        <v>EG04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tr">
        <f>IFERROR(__xludf.DUMMYFUNCTION("""COMPUTED_VALUE"""),"أسماء العبساوي")</f>
        <v>أسماء العبساوي</v>
      </c>
      <c r="B377" s="5">
        <f>IFERROR(__xludf.DUMMYFUNCTION("""COMPUTED_VALUE"""),4.98131373584E11)</f>
        <v>498131373584</v>
      </c>
      <c r="C377" s="5" t="str">
        <f>IFERROR(__xludf.DUMMYFUNCTION("""COMPUTED_VALUE"""),"أسماء العبساوي")</f>
        <v>أسماء العبساوي</v>
      </c>
      <c r="D377" s="5">
        <f>IFERROR(__xludf.DUMMYFUNCTION("""COMPUTED_VALUE"""),2394.0)</f>
        <v>2394</v>
      </c>
      <c r="E377" s="5" t="str">
        <f>IFERROR(__xludf.DUMMYFUNCTION("""COMPUTED_VALUE"""),"EG04-EG05-EG06-EG07-EG08-EG09")</f>
        <v>EG04-EG05-EG06-EG07-EG08-EG09</v>
      </c>
      <c r="F377" s="5" t="str">
        <f>IFERROR(__xludf.DUMMYFUNCTION("""COMPUTED_VALUE"""),"asmaaelabsawy2@gmail.com")</f>
        <v>asmaaelabsawy2@gmail.com</v>
      </c>
      <c r="G377" s="5" t="str">
        <f>IFERROR(__xludf.DUMMYFUNCTION("""COMPUTED_VALUE"""),"01004001141")</f>
        <v>01004001141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tr">
        <f>IFERROR(__xludf.DUMMYFUNCTION("""COMPUTED_VALUE"""),"نوران أسامة")</f>
        <v>نوران أسامة</v>
      </c>
      <c r="B378" s="5">
        <f>IFERROR(__xludf.DUMMYFUNCTION("""COMPUTED_VALUE"""),4.26167021594E11)</f>
        <v>426167021594</v>
      </c>
      <c r="C378" s="5" t="str">
        <f>IFERROR(__xludf.DUMMYFUNCTION("""COMPUTED_VALUE"""),"نوران أسامة")</f>
        <v>نوران أسامة</v>
      </c>
      <c r="D378" s="5">
        <f>IFERROR(__xludf.DUMMYFUNCTION("""COMPUTED_VALUE"""),2519.0)</f>
        <v>2519</v>
      </c>
      <c r="E378" s="5" t="str">
        <f>IFERROR(__xludf.DUMMYFUNCTION("""COMPUTED_VALUE"""),"EG01-EG02-EG03-EG04 ")</f>
        <v>EG01-EG02-EG03-EG04 </v>
      </c>
      <c r="F378" s="5" t="str">
        <f>IFERROR(__xludf.DUMMYFUNCTION("""COMPUTED_VALUE"""),"nouranyl64@gmail.com")</f>
        <v>nouranyl64@gmail.com</v>
      </c>
      <c r="G378" s="5" t="str">
        <f>IFERROR(__xludf.DUMMYFUNCTION("""COMPUTED_VALUE"""),"01010594459")</f>
        <v>01010594459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tr">
        <f>IFERROR(__xludf.DUMMYFUNCTION("""COMPUTED_VALUE"""),"مي سامي")</f>
        <v>مي سامي</v>
      </c>
      <c r="B379" s="5">
        <f>IFERROR(__xludf.DUMMYFUNCTION("""COMPUTED_VALUE"""),8.39185648325E11)</f>
        <v>839185648325</v>
      </c>
      <c r="C379" s="5" t="str">
        <f>IFERROR(__xludf.DUMMYFUNCTION("""COMPUTED_VALUE"""),"مي سامي")</f>
        <v>مي سامي</v>
      </c>
      <c r="D379" s="5">
        <f>IFERROR(__xludf.DUMMYFUNCTION("""COMPUTED_VALUE"""),2399.0)</f>
        <v>2399</v>
      </c>
      <c r="E379" s="5" t="str">
        <f>IFERROR(__xludf.DUMMYFUNCTION("""COMPUTED_VALUE"""),"EG04-EG05-EG06-G7")</f>
        <v>EG04-EG05-EG06-G7</v>
      </c>
      <c r="F379" s="5" t="str">
        <f>IFERROR(__xludf.DUMMYFUNCTION("""COMPUTED_VALUE"""),"maighalia54@gmail.com")</f>
        <v>maighalia54@gmail.com</v>
      </c>
      <c r="G379" s="5" t="str">
        <f>IFERROR(__xludf.DUMMYFUNCTION("""COMPUTED_VALUE"""),"01122888386")</f>
        <v>01122888386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tr">
        <f>IFERROR(__xludf.DUMMYFUNCTION("""COMPUTED_VALUE"""),"مروة عبد القادر")</f>
        <v>مروة عبد القادر</v>
      </c>
      <c r="B380" s="5">
        <f>IFERROR(__xludf.DUMMYFUNCTION("""COMPUTED_VALUE"""),1.35137963154E11)</f>
        <v>135137963154</v>
      </c>
      <c r="C380" s="5" t="str">
        <f>IFERROR(__xludf.DUMMYFUNCTION("""COMPUTED_VALUE"""),"مروة عبد القادر")</f>
        <v>مروة عبد القادر</v>
      </c>
      <c r="D380" s="5"/>
      <c r="E380" s="5" t="str">
        <f>IFERROR(__xludf.DUMMYFUNCTION("""COMPUTED_VALUE"""),"EG04-EG05-EG06")</f>
        <v>EG04-EG05-EG06</v>
      </c>
      <c r="F380" s="5" t="str">
        <f>IFERROR(__xludf.DUMMYFUNCTION("""COMPUTED_VALUE"""),"marwa1980red@hotmail.com")</f>
        <v>marwa1980red@hotmail.com</v>
      </c>
      <c r="G380" s="5" t="str">
        <f>IFERROR(__xludf.DUMMYFUNCTION("""COMPUTED_VALUE"""),"01210055699")</f>
        <v>01210055699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tr">
        <f>IFERROR(__xludf.DUMMYFUNCTION("""COMPUTED_VALUE"""),"أحمد سيد")</f>
        <v>أحمد سيد</v>
      </c>
      <c r="B381" s="5">
        <f>IFERROR(__xludf.DUMMYFUNCTION("""COMPUTED_VALUE"""),8.35129836321E11)</f>
        <v>835129836321</v>
      </c>
      <c r="C381" s="5" t="str">
        <f>IFERROR(__xludf.DUMMYFUNCTION("""COMPUTED_VALUE"""),"أحمد سيد")</f>
        <v>أحمد سيد</v>
      </c>
      <c r="D381" s="30" t="str">
        <f>IFERROR(__xludf.DUMMYFUNCTION("""COMPUTED_VALUE"""),"2250")</f>
        <v>2250</v>
      </c>
      <c r="E381" s="5" t="str">
        <f>IFERROR(__xludf.DUMMYFUNCTION("""COMPUTED_VALUE"""),"EG07-EG08-EG09")</f>
        <v>EG07-EG08-EG09</v>
      </c>
      <c r="F381" s="5" t="str">
        <f>IFERROR(__xludf.DUMMYFUNCTION("""COMPUTED_VALUE"""),"ahmeeddsayedd@gmail.com")</f>
        <v>ahmeeddsayedd@gmail.com</v>
      </c>
      <c r="G381" s="5" t="str">
        <f>IFERROR(__xludf.DUMMYFUNCTION("""COMPUTED_VALUE"""),"01115362496")</f>
        <v>01115362496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tr">
        <f>IFERROR(__xludf.DUMMYFUNCTION("""COMPUTED_VALUE"""),"عمرو خالد")</f>
        <v>عمرو خالد</v>
      </c>
      <c r="B382" s="5">
        <f>IFERROR(__xludf.DUMMYFUNCTION("""COMPUTED_VALUE"""),7.82180626727E11)</f>
        <v>782180626727</v>
      </c>
      <c r="C382" s="5" t="str">
        <f>IFERROR(__xludf.DUMMYFUNCTION("""COMPUTED_VALUE"""),"عمرو خالد")</f>
        <v>عمرو خالد</v>
      </c>
      <c r="D382" s="5">
        <f>IFERROR(__xludf.DUMMYFUNCTION("""COMPUTED_VALUE"""),2404.0)</f>
        <v>2404</v>
      </c>
      <c r="E382" s="5" t="str">
        <f>IFERROR(__xludf.DUMMYFUNCTION("""COMPUTED_VALUE"""),"EG04-EG05-EG06")</f>
        <v>EG04-EG05-EG06</v>
      </c>
      <c r="F382" s="5" t="str">
        <f>IFERROR(__xludf.DUMMYFUNCTION("""COMPUTED_VALUE"""),"amr731844@gmail.com")</f>
        <v>amr731844@gmail.com</v>
      </c>
      <c r="G382" s="5" t="str">
        <f>IFERROR(__xludf.DUMMYFUNCTION("""COMPUTED_VALUE"""),"01094839978")</f>
        <v>01094839978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tr">
        <f>IFERROR(__xludf.DUMMYFUNCTION("""COMPUTED_VALUE"""),"شوقي السيسي")</f>
        <v>شوقي السيسي</v>
      </c>
      <c r="B383" s="5">
        <f>IFERROR(__xludf.DUMMYFUNCTION("""COMPUTED_VALUE"""),9.50163761784E11)</f>
        <v>950163761784</v>
      </c>
      <c r="C383" s="5" t="str">
        <f>IFERROR(__xludf.DUMMYFUNCTION("""COMPUTED_VALUE"""),"شوقي السيسي")</f>
        <v>شوقي السيسي</v>
      </c>
      <c r="D383" s="5">
        <f>IFERROR(__xludf.DUMMYFUNCTION("""COMPUTED_VALUE"""),2407.0)</f>
        <v>2407</v>
      </c>
      <c r="E383" s="5" t="str">
        <f>IFERROR(__xludf.DUMMYFUNCTION("""COMPUTED_VALUE"""),"EG07-EG08-EG09")</f>
        <v>EG07-EG08-EG09</v>
      </c>
      <c r="F383" s="5" t="str">
        <f>IFERROR(__xludf.DUMMYFUNCTION("""COMPUTED_VALUE"""),"shawky.m1749501@gmail.com")</f>
        <v>shawky.m1749501@gmail.com</v>
      </c>
      <c r="G383" s="5" t="str">
        <f>IFERROR(__xludf.DUMMYFUNCTION("""COMPUTED_VALUE"""),"01228870591")</f>
        <v>01228870591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tr">
        <f>IFERROR(__xludf.DUMMYFUNCTION("""COMPUTED_VALUE"""),"أيمن خطاب")</f>
        <v>أيمن خطاب</v>
      </c>
      <c r="B384" s="5">
        <f>IFERROR(__xludf.DUMMYFUNCTION("""COMPUTED_VALUE"""),9.43123080878E11)</f>
        <v>943123080878</v>
      </c>
      <c r="C384" s="5" t="str">
        <f>IFERROR(__xludf.DUMMYFUNCTION("""COMPUTED_VALUE"""),"أيمن خطاب")</f>
        <v>أيمن خطاب</v>
      </c>
      <c r="D384" s="5">
        <f>IFERROR(__xludf.DUMMYFUNCTION("""COMPUTED_VALUE"""),2408.0)</f>
        <v>2408</v>
      </c>
      <c r="E384" s="5" t="str">
        <f>IFERROR(__xludf.DUMMYFUNCTION("""COMPUTED_VALUE"""),"EG10-EG11-EG12")</f>
        <v>EG10-EG11-EG12</v>
      </c>
      <c r="F384" s="5" t="str">
        <f>IFERROR(__xludf.DUMMYFUNCTION("""COMPUTED_VALUE"""),"ayman.khatab@stemsharkya.moe.edu.eg")</f>
        <v>ayman.khatab@stemsharkya.moe.edu.eg</v>
      </c>
      <c r="G384" s="5" t="str">
        <f>IFERROR(__xludf.DUMMYFUNCTION("""COMPUTED_VALUE"""),"01096610286")</f>
        <v>01096610286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tr">
        <f>IFERROR(__xludf.DUMMYFUNCTION("""COMPUTED_VALUE"""),"أحمد صلاح")</f>
        <v>أحمد صلاح</v>
      </c>
      <c r="B385" s="5">
        <f>IFERROR(__xludf.DUMMYFUNCTION("""COMPUTED_VALUE"""),9.37180898615E11)</f>
        <v>937180898615</v>
      </c>
      <c r="C385" s="5" t="str">
        <f>IFERROR(__xludf.DUMMYFUNCTION("""COMPUTED_VALUE"""),"أحمد صلاح")</f>
        <v>أحمد صلاح</v>
      </c>
      <c r="D385" s="5">
        <f>IFERROR(__xludf.DUMMYFUNCTION("""COMPUTED_VALUE"""),2356.0)</f>
        <v>2356</v>
      </c>
      <c r="E385" s="5" t="str">
        <f>IFERROR(__xludf.DUMMYFUNCTION("""COMPUTED_VALUE"""),"EG07-EG08-EG09")</f>
        <v>EG07-EG08-EG09</v>
      </c>
      <c r="F385" s="5" t="str">
        <f>IFERROR(__xludf.DUMMYFUNCTION("""COMPUTED_VALUE"""),"ahmedsalah991986@gmail.com")</f>
        <v>ahmedsalah991986@gmail.com</v>
      </c>
      <c r="G385" s="5" t="str">
        <f>IFERROR(__xludf.DUMMYFUNCTION("""COMPUTED_VALUE"""),"01224705674")</f>
        <v>01224705674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tr">
        <f>IFERROR(__xludf.DUMMYFUNCTION("""COMPUTED_VALUE"""),"باسم حسين")</f>
        <v>باسم حسين</v>
      </c>
      <c r="B386" s="5">
        <f>IFERROR(__xludf.DUMMYFUNCTION("""COMPUTED_VALUE"""),3.12183290317E11)</f>
        <v>312183290317</v>
      </c>
      <c r="C386" s="5" t="str">
        <f>IFERROR(__xludf.DUMMYFUNCTION("""COMPUTED_VALUE"""),"باسم حسين")</f>
        <v>باسم حسين</v>
      </c>
      <c r="D386" s="30" t="str">
        <f>IFERROR(__xludf.DUMMYFUNCTION("""COMPUTED_VALUE"""),"2087")</f>
        <v>2087</v>
      </c>
      <c r="E386" s="5"/>
      <c r="F386" s="5" t="str">
        <f>IFERROR(__xludf.DUMMYFUNCTION("""COMPUTED_VALUE"""),"bassemibrahim8899@gmail.com")</f>
        <v>bassemibrahim8899@gmail.com</v>
      </c>
      <c r="G386" s="5" t="str">
        <f>IFERROR(__xludf.DUMMYFUNCTION("""COMPUTED_VALUE"""),"01004916918")</f>
        <v>01004916918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tr">
        <f>IFERROR(__xludf.DUMMYFUNCTION("""COMPUTED_VALUE"""),"عبد الرحمن فتحي")</f>
        <v>عبد الرحمن فتحي</v>
      </c>
      <c r="B387" s="5">
        <f>IFERROR(__xludf.DUMMYFUNCTION("""COMPUTED_VALUE"""),4.98171430513E11)</f>
        <v>498171430513</v>
      </c>
      <c r="C387" s="5" t="str">
        <f>IFERROR(__xludf.DUMMYFUNCTION("""COMPUTED_VALUE"""),"عبد الرحمن فتحي")</f>
        <v>عبد الرحمن فتحي</v>
      </c>
      <c r="D387" s="5">
        <f>IFERROR(__xludf.DUMMYFUNCTION("""COMPUTED_VALUE"""),2349.0)</f>
        <v>2349</v>
      </c>
      <c r="E387" s="5" t="str">
        <f>IFERROR(__xludf.DUMMYFUNCTION("""COMPUTED_VALUE"""),"EG04-EG05-EG06-EG07-EG08")</f>
        <v>EG04-EG05-EG06-EG07-EG08</v>
      </c>
      <c r="F387" s="5" t="str">
        <f>IFERROR(__xludf.DUMMYFUNCTION("""COMPUTED_VALUE"""),"abdelrahmanfathi003@gmail.com")</f>
        <v>abdelrahmanfathi003@gmail.com</v>
      </c>
      <c r="G387" s="5" t="str">
        <f>IFERROR(__xludf.DUMMYFUNCTION("""COMPUTED_VALUE"""),"01028192743")</f>
        <v>01028192743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tr">
        <f>IFERROR(__xludf.DUMMYFUNCTION("""COMPUTED_VALUE"""),"إبراهيم مرجان")</f>
        <v>إبراهيم مرجان</v>
      </c>
      <c r="B388" s="5">
        <f>IFERROR(__xludf.DUMMYFUNCTION("""COMPUTED_VALUE"""),4.2917034861E11)</f>
        <v>429170348610</v>
      </c>
      <c r="C388" s="5" t="str">
        <f>IFERROR(__xludf.DUMMYFUNCTION("""COMPUTED_VALUE"""),"إبراهيم مرجان")</f>
        <v>إبراهيم مرجان</v>
      </c>
      <c r="D388" s="5">
        <f>IFERROR(__xludf.DUMMYFUNCTION("""COMPUTED_VALUE"""),2402.0)</f>
        <v>2402</v>
      </c>
      <c r="E388" s="5" t="str">
        <f>IFERROR(__xludf.DUMMYFUNCTION("""COMPUTED_VALUE"""),"EG07-EG08-EG09")</f>
        <v>EG07-EG08-EG09</v>
      </c>
      <c r="F388" s="5" t="str">
        <f>IFERROR(__xludf.DUMMYFUNCTION("""COMPUTED_VALUE"""),"ibrahimmorgan24@gmail.com")</f>
        <v>ibrahimmorgan24@gmail.com</v>
      </c>
      <c r="G388" s="5" t="str">
        <f>IFERROR(__xludf.DUMMYFUNCTION("""COMPUTED_VALUE"""),"01062805362")</f>
        <v>01062805362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tr">
        <f>IFERROR(__xludf.DUMMYFUNCTION("""COMPUTED_VALUE"""),"مروة كمال")</f>
        <v>مروة كمال</v>
      </c>
      <c r="B389" s="5">
        <f>IFERROR(__xludf.DUMMYFUNCTION("""COMPUTED_VALUE"""),4.62139893202E11)</f>
        <v>462139893202</v>
      </c>
      <c r="C389" s="5" t="str">
        <f>IFERROR(__xludf.DUMMYFUNCTION("""COMPUTED_VALUE"""),"مروة كمال")</f>
        <v>مروة كمال</v>
      </c>
      <c r="D389" s="5">
        <f>IFERROR(__xludf.DUMMYFUNCTION("""COMPUTED_VALUE"""),2413.0)</f>
        <v>2413</v>
      </c>
      <c r="E389" s="5" t="str">
        <f>IFERROR(__xludf.DUMMYFUNCTION("""COMPUTED_VALUE"""),"EG07-EG08-EG09")</f>
        <v>EG07-EG08-EG09</v>
      </c>
      <c r="F389" s="5" t="str">
        <f>IFERROR(__xludf.DUMMYFUNCTION("""COMPUTED_VALUE"""),"marwa.kamal.core@gmail.com")</f>
        <v>marwa.kamal.core@gmail.com</v>
      </c>
      <c r="G389" s="5" t="str">
        <f>IFERROR(__xludf.DUMMYFUNCTION("""COMPUTED_VALUE"""),"01112024700")</f>
        <v>01112024700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tr">
        <f>IFERROR(__xludf.DUMMYFUNCTION("""COMPUTED_VALUE"""),"أميرة أحمد")</f>
        <v>أميرة أحمد</v>
      </c>
      <c r="B390" s="5">
        <f>IFERROR(__xludf.DUMMYFUNCTION("""COMPUTED_VALUE"""),8.62179384026E11)</f>
        <v>862179384026</v>
      </c>
      <c r="C390" s="5" t="str">
        <f>IFERROR(__xludf.DUMMYFUNCTION("""COMPUTED_VALUE"""),"أميرة أحمد")</f>
        <v>أميرة أحمد</v>
      </c>
      <c r="D390" s="5">
        <f>IFERROR(__xludf.DUMMYFUNCTION("""COMPUTED_VALUE"""),2393.0)</f>
        <v>2393</v>
      </c>
      <c r="E390" s="5" t="str">
        <f>IFERROR(__xludf.DUMMYFUNCTION("""COMPUTED_VALUE"""),"EG04-EG05-EG06-EG07")</f>
        <v>EG04-EG05-EG06-EG07</v>
      </c>
      <c r="F390" s="5" t="str">
        <f>IFERROR(__xludf.DUMMYFUNCTION("""COMPUTED_VALUE"""),"amiraahmed231@gmail.com")</f>
        <v>amiraahmed231@gmail.com</v>
      </c>
      <c r="G390" s="5" t="str">
        <f>IFERROR(__xludf.DUMMYFUNCTION("""COMPUTED_VALUE"""),"01155574478")</f>
        <v>01155574478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tr">
        <f>IFERROR(__xludf.DUMMYFUNCTION("""COMPUTED_VALUE"""),"إسلام همام")</f>
        <v>إسلام همام</v>
      </c>
      <c r="B391" s="5">
        <f>IFERROR(__xludf.DUMMYFUNCTION("""COMPUTED_VALUE"""),7.42181710304E11)</f>
        <v>742181710304</v>
      </c>
      <c r="C391" s="5" t="str">
        <f>IFERROR(__xludf.DUMMYFUNCTION("""COMPUTED_VALUE"""),"إسلام همام")</f>
        <v>إسلام همام</v>
      </c>
      <c r="D391" s="5">
        <f>IFERROR(__xludf.DUMMYFUNCTION("""COMPUTED_VALUE"""),2403.0)</f>
        <v>2403</v>
      </c>
      <c r="E391" s="5" t="str">
        <f>IFERROR(__xludf.DUMMYFUNCTION("""COMPUTED_VALUE"""),"EG04-EG05-EG06")</f>
        <v>EG04-EG05-EG06</v>
      </c>
      <c r="F391" s="5" t="str">
        <f>IFERROR(__xludf.DUMMYFUNCTION("""COMPUTED_VALUE"""),"pro.islamhmam@gmail.com")</f>
        <v>pro.islamhmam@gmail.com</v>
      </c>
      <c r="G391" s="5" t="str">
        <f>IFERROR(__xludf.DUMMYFUNCTION("""COMPUTED_VALUE"""),"01550512026")</f>
        <v>01550512026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tr">
        <f>IFERROR(__xludf.DUMMYFUNCTION("""COMPUTED_VALUE"""),"دعاء ناجي")</f>
        <v>دعاء ناجي</v>
      </c>
      <c r="B392" s="5">
        <f>IFERROR(__xludf.DUMMYFUNCTION("""COMPUTED_VALUE"""),8.02121935313E11)</f>
        <v>802121935313</v>
      </c>
      <c r="C392" s="5" t="str">
        <f>IFERROR(__xludf.DUMMYFUNCTION("""COMPUTED_VALUE"""),"دعاء ناجي")</f>
        <v>دعاء ناجي</v>
      </c>
      <c r="D392" s="5">
        <f>IFERROR(__xludf.DUMMYFUNCTION("""COMPUTED_VALUE"""),2405.0)</f>
        <v>2405</v>
      </c>
      <c r="E392" s="5" t="str">
        <f>IFERROR(__xludf.DUMMYFUNCTION("""COMPUTED_VALUE"""),"EG04-EG05-EG06-EG07-EG08-EG09")</f>
        <v>EG04-EG05-EG06-EG07-EG08-EG09</v>
      </c>
      <c r="F392" s="5" t="str">
        <f>IFERROR(__xludf.DUMMYFUNCTION("""COMPUTED_VALUE"""),"missdoaanagy@gmail.com")</f>
        <v>missdoaanagy@gmail.com</v>
      </c>
      <c r="G392" s="5" t="str">
        <f>IFERROR(__xludf.DUMMYFUNCTION("""COMPUTED_VALUE"""),"01066558103")</f>
        <v>01066558103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tr">
        <f>IFERROR(__xludf.DUMMYFUNCTION("""COMPUTED_VALUE"""),"جون ملاك")</f>
        <v>جون ملاك</v>
      </c>
      <c r="B393" s="5">
        <f>IFERROR(__xludf.DUMMYFUNCTION("""COMPUTED_VALUE"""),3.73148148671E11)</f>
        <v>373148148671</v>
      </c>
      <c r="C393" s="5" t="str">
        <f>IFERROR(__xludf.DUMMYFUNCTION("""COMPUTED_VALUE"""),"جون ملاك")</f>
        <v>جون ملاك</v>
      </c>
      <c r="D393" s="5">
        <f>IFERROR(__xludf.DUMMYFUNCTION("""COMPUTED_VALUE"""),2396.0)</f>
        <v>2396</v>
      </c>
      <c r="E393" s="5" t="str">
        <f>IFERROR(__xludf.DUMMYFUNCTION("""COMPUTED_VALUE"""),"EG07-EG08-EG09")</f>
        <v>EG07-EG08-EG09</v>
      </c>
      <c r="F393" s="5" t="str">
        <f>IFERROR(__xludf.DUMMYFUNCTION("""COMPUTED_VALUE"""),"johnmalakzaki@gmail.com")</f>
        <v>johnmalakzaki@gmail.com</v>
      </c>
      <c r="G393" s="5" t="str">
        <f>IFERROR(__xludf.DUMMYFUNCTION("""COMPUTED_VALUE"""),"01021748033")</f>
        <v>01021748033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tr">
        <f>IFERROR(__xludf.DUMMYFUNCTION("""COMPUTED_VALUE"""),"يارا مصطفى")</f>
        <v>يارا مصطفى</v>
      </c>
      <c r="B394" s="5">
        <f>IFERROR(__xludf.DUMMYFUNCTION("""COMPUTED_VALUE"""),3.40130765079E11)</f>
        <v>340130765079</v>
      </c>
      <c r="C394" s="5" t="str">
        <f>IFERROR(__xludf.DUMMYFUNCTION("""COMPUTED_VALUE"""),"يارا مصطفى")</f>
        <v>يارا مصطفى</v>
      </c>
      <c r="D394" s="5">
        <f>IFERROR(__xludf.DUMMYFUNCTION("""COMPUTED_VALUE"""),2446.0)</f>
        <v>2446</v>
      </c>
      <c r="E394" s="5" t="str">
        <f>IFERROR(__xludf.DUMMYFUNCTION("""COMPUTED_VALUE"""),"EG01-EG02-EG03-EG04-EG05-EG06")</f>
        <v>EG01-EG02-EG03-EG04-EG05-EG06</v>
      </c>
      <c r="F394" s="5" t="str">
        <f>IFERROR(__xludf.DUMMYFUNCTION("""COMPUTED_VALUE"""),"ms.yaramostafaa@gmail.com")</f>
        <v>ms.yaramostafaa@gmail.com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tr">
        <f>IFERROR(__xludf.DUMMYFUNCTION("""COMPUTED_VALUE"""),"دميانة عاطف")</f>
        <v>دميانة عاطف</v>
      </c>
      <c r="B395" s="5">
        <f>IFERROR(__xludf.DUMMYFUNCTION("""COMPUTED_VALUE"""),1.80171957312E11)</f>
        <v>180171957312</v>
      </c>
      <c r="C395" s="5" t="str">
        <f>IFERROR(__xludf.DUMMYFUNCTION("""COMPUTED_VALUE"""),"دميانة عاطف")</f>
        <v>دميانة عاطف</v>
      </c>
      <c r="D395" s="5">
        <f>IFERROR(__xludf.DUMMYFUNCTION("""COMPUTED_VALUE"""),2432.0)</f>
        <v>2432</v>
      </c>
      <c r="E395" s="5" t="str">
        <f>IFERROR(__xludf.DUMMYFUNCTION("""COMPUTED_VALUE"""),"EG04-EG05")</f>
        <v>EG04-EG05</v>
      </c>
      <c r="F395" s="5" t="str">
        <f>IFERROR(__xludf.DUMMYFUNCTION("""COMPUTED_VALUE"""),"demianaatef28@gmail.com")</f>
        <v>demianaatef28@gmail.com</v>
      </c>
      <c r="G395" s="5" t="str">
        <f>IFERROR(__xludf.DUMMYFUNCTION("""COMPUTED_VALUE"""),"01204031792")</f>
        <v>01204031792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tr">
        <f>IFERROR(__xludf.DUMMYFUNCTION("""COMPUTED_VALUE"""),"شحاتة مسعد")</f>
        <v>شحاتة مسعد</v>
      </c>
      <c r="B396" s="5">
        <f>IFERROR(__xludf.DUMMYFUNCTION("""COMPUTED_VALUE"""),1.94168206386E11)</f>
        <v>194168206386</v>
      </c>
      <c r="C396" s="5" t="str">
        <f>IFERROR(__xludf.DUMMYFUNCTION("""COMPUTED_VALUE"""),"شحاتة مسعد")</f>
        <v>شحاتة مسعد</v>
      </c>
      <c r="D396" s="5">
        <f>IFERROR(__xludf.DUMMYFUNCTION("""COMPUTED_VALUE"""),2412.0)</f>
        <v>2412</v>
      </c>
      <c r="E396" s="5" t="str">
        <f>IFERROR(__xludf.DUMMYFUNCTION("""COMPUTED_VALUE"""),"EG10-EG11-EG12")</f>
        <v>EG10-EG11-EG12</v>
      </c>
      <c r="F396" s="5" t="str">
        <f>IFERROR(__xludf.DUMMYFUNCTION("""COMPUTED_VALUE"""),"shemsad94@gmail.com")</f>
        <v>shemsad94@gmail.com</v>
      </c>
      <c r="G396" s="5" t="str">
        <f>IFERROR(__xludf.DUMMYFUNCTION("""COMPUTED_VALUE"""),"01000478016")</f>
        <v>01000478016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tr">
        <f>IFERROR(__xludf.DUMMYFUNCTION("""COMPUTED_VALUE"""),"هدير أشرف")</f>
        <v>هدير أشرف</v>
      </c>
      <c r="B397" s="5">
        <f>IFERROR(__xludf.DUMMYFUNCTION("""COMPUTED_VALUE"""),8.07180730987E11)</f>
        <v>807180730987</v>
      </c>
      <c r="C397" s="5" t="str">
        <f>IFERROR(__xludf.DUMMYFUNCTION("""COMPUTED_VALUE"""),"هدير أشرف")</f>
        <v>هدير أشرف</v>
      </c>
      <c r="D397" s="5">
        <f>IFERROR(__xludf.DUMMYFUNCTION("""COMPUTED_VALUE"""),2442.0)</f>
        <v>2442</v>
      </c>
      <c r="E397" s="5" t="str">
        <f>IFERROR(__xludf.DUMMYFUNCTION("""COMPUTED_VALUE"""),"EG04-EG05-EG06")</f>
        <v>EG04-EG05-EG06</v>
      </c>
      <c r="F397" s="5" t="str">
        <f>IFERROR(__xludf.DUMMYFUNCTION("""COMPUTED_VALUE"""),"hadeer.ashraf14@hotmail.com")</f>
        <v>hadeer.ashraf14@hotmail.com</v>
      </c>
      <c r="G397" s="5" t="str">
        <f>IFERROR(__xludf.DUMMYFUNCTION("""COMPUTED_VALUE"""),"01004044327")</f>
        <v>01004044327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tr">
        <f>IFERROR(__xludf.DUMMYFUNCTION("""COMPUTED_VALUE"""),"مروة مجدي")</f>
        <v>مروة مجدي</v>
      </c>
      <c r="B398" s="5">
        <f>IFERROR(__xludf.DUMMYFUNCTION("""COMPUTED_VALUE"""),1.89108478931E11)</f>
        <v>189108478931</v>
      </c>
      <c r="C398" s="5" t="str">
        <f>IFERROR(__xludf.DUMMYFUNCTION("""COMPUTED_VALUE"""),"مروة مجدي")</f>
        <v>مروة مجدي</v>
      </c>
      <c r="D398" s="5">
        <f>IFERROR(__xludf.DUMMYFUNCTION("""COMPUTED_VALUE"""),2443.0)</f>
        <v>2443</v>
      </c>
      <c r="E398" s="5" t="str">
        <f>IFERROR(__xludf.DUMMYFUNCTION("""COMPUTED_VALUE"""),"EG01-EG02-EG03")</f>
        <v>EG01-EG02-EG03</v>
      </c>
      <c r="F398" s="5" t="str">
        <f>IFERROR(__xludf.DUMMYFUNCTION("""COMPUTED_VALUE"""),"jodyy2007@gmail.com")</f>
        <v>jodyy2007@gmail.com</v>
      </c>
      <c r="G398" s="5" t="str">
        <f>IFERROR(__xludf.DUMMYFUNCTION("""COMPUTED_VALUE"""),"01091927577")</f>
        <v>01091927577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tr">
        <f>IFERROR(__xludf.DUMMYFUNCTION("""COMPUTED_VALUE"""),"مينا مجدي")</f>
        <v>مينا مجدي</v>
      </c>
      <c r="B399" s="5">
        <f>IFERROR(__xludf.DUMMYFUNCTION("""COMPUTED_VALUE"""),4.89106709893E11)</f>
        <v>489106709893</v>
      </c>
      <c r="C399" s="5" t="str">
        <f>IFERROR(__xludf.DUMMYFUNCTION("""COMPUTED_VALUE"""),"مينا مجدي")</f>
        <v>مينا مجدي</v>
      </c>
      <c r="D399" s="5">
        <f>IFERROR(__xludf.DUMMYFUNCTION("""COMPUTED_VALUE"""),2406.0)</f>
        <v>2406</v>
      </c>
      <c r="E399" s="5" t="str">
        <f>IFERROR(__xludf.DUMMYFUNCTION("""COMPUTED_VALUE"""),"EG03-EG04-EG05-EG06")</f>
        <v>EG03-EG04-EG05-EG06</v>
      </c>
      <c r="F399" s="5" t="str">
        <f>IFERROR(__xludf.DUMMYFUNCTION("""COMPUTED_VALUE"""),"mrminamath1989@gmail.com")</f>
        <v>mrminamath1989@gmail.com</v>
      </c>
      <c r="G399" s="5" t="str">
        <f>IFERROR(__xludf.DUMMYFUNCTION("""COMPUTED_VALUE"""),"01061512070")</f>
        <v>01061512070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tr">
        <f>IFERROR(__xludf.DUMMYFUNCTION("""COMPUTED_VALUE"""),"عبد الرحمن عادل")</f>
        <v>عبد الرحمن عادل</v>
      </c>
      <c r="B400" s="5">
        <f>IFERROR(__xludf.DUMMYFUNCTION("""COMPUTED_VALUE"""),3.04190123013E11)</f>
        <v>304190123013</v>
      </c>
      <c r="C400" s="5" t="str">
        <f>IFERROR(__xludf.DUMMYFUNCTION("""COMPUTED_VALUE"""),"عبد الرحمن عادل")</f>
        <v>عبد الرحمن عادل</v>
      </c>
      <c r="D400" s="5">
        <f>IFERROR(__xludf.DUMMYFUNCTION("""COMPUTED_VALUE"""),2420.0)</f>
        <v>2420</v>
      </c>
      <c r="E400" s="5" t="str">
        <f>IFERROR(__xludf.DUMMYFUNCTION("""COMPUTED_VALUE"""),"EG04-EG05-EG06-EG07-EG08-EG09-EG10")</f>
        <v>EG04-EG05-EG06-EG07-EG08-EG09-EG10</v>
      </c>
      <c r="F400" s="5" t="str">
        <f>IFERROR(__xludf.DUMMYFUNCTION("""COMPUTED_VALUE"""),"abderrahman.adel1994@gmail.com")</f>
        <v>abderrahman.adel1994@gmail.com</v>
      </c>
      <c r="G400" s="5" t="str">
        <f>IFERROR(__xludf.DUMMYFUNCTION("""COMPUTED_VALUE"""),"01023436456 - 01121192433")</f>
        <v>01023436456 - 01121192433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tr">
        <f>IFERROR(__xludf.DUMMYFUNCTION("""COMPUTED_VALUE"""),"رانيا عبد المنعم")</f>
        <v>رانيا عبد المنعم</v>
      </c>
      <c r="B401" s="5">
        <f>IFERROR(__xludf.DUMMYFUNCTION("""COMPUTED_VALUE"""),5.18128197903E11)</f>
        <v>518128197903</v>
      </c>
      <c r="C401" s="5" t="str">
        <f>IFERROR(__xludf.DUMMYFUNCTION("""COMPUTED_VALUE"""),"رانيا عبد المنعم")</f>
        <v>رانيا عبد المنعم</v>
      </c>
      <c r="D401" s="5">
        <f>IFERROR(__xludf.DUMMYFUNCTION("""COMPUTED_VALUE"""),2409.0)</f>
        <v>2409</v>
      </c>
      <c r="E401" s="5" t="str">
        <f>IFERROR(__xludf.DUMMYFUNCTION("""COMPUTED_VALUE"""),"EG01-EG02-EG03-EG04-EG05-EG06")</f>
        <v>EG01-EG02-EG03-EG04-EG05-EG06</v>
      </c>
      <c r="F401" s="5" t="str">
        <f>IFERROR(__xludf.DUMMYFUNCTION("""COMPUTED_VALUE"""),"raniamo712@gmail.com")</f>
        <v>raniamo712@gmail.com</v>
      </c>
      <c r="G401" s="5" t="str">
        <f>IFERROR(__xludf.DUMMYFUNCTION("""COMPUTED_VALUE"""),"01157249432")</f>
        <v>01157249432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tr">
        <f>IFERROR(__xludf.DUMMYFUNCTION("""COMPUTED_VALUE"""),"آية فتحي")</f>
        <v>آية فتحي</v>
      </c>
      <c r="B402" s="5">
        <f>IFERROR(__xludf.DUMMYFUNCTION("""COMPUTED_VALUE"""),6.17181867475E11)</f>
        <v>617181867475</v>
      </c>
      <c r="C402" s="5" t="str">
        <f>IFERROR(__xludf.DUMMYFUNCTION("""COMPUTED_VALUE"""),"آية فتحي")</f>
        <v>آية فتحي</v>
      </c>
      <c r="D402" s="5">
        <f>IFERROR(__xludf.DUMMYFUNCTION("""COMPUTED_VALUE"""),2428.0)</f>
        <v>2428</v>
      </c>
      <c r="E402" s="5" t="str">
        <f>IFERROR(__xludf.DUMMYFUNCTION("""COMPUTED_VALUE"""),"EG01-EG02-EG03-EG04-EG05-EG06")</f>
        <v>EG01-EG02-EG03-EG04-EG05-EG06</v>
      </c>
      <c r="F402" s="5" t="str">
        <f>IFERROR(__xludf.DUMMYFUNCTION("""COMPUTED_VALUE"""),"ayafathy1020@gmail.com")</f>
        <v>ayafathy1020@gmail.com</v>
      </c>
      <c r="G402" s="5" t="str">
        <f>IFERROR(__xludf.DUMMYFUNCTION("""COMPUTED_VALUE"""),"01025755518//01507075518")</f>
        <v>01025755518//01507075518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tr">
        <f>IFERROR(__xludf.DUMMYFUNCTION("""COMPUTED_VALUE"""),"نجلاء الهادي")</f>
        <v>نجلاء الهادي</v>
      </c>
      <c r="B403" s="5">
        <f>IFERROR(__xludf.DUMMYFUNCTION("""COMPUTED_VALUE"""),3.28106361965E11)</f>
        <v>328106361965</v>
      </c>
      <c r="C403" s="5" t="str">
        <f>IFERROR(__xludf.DUMMYFUNCTION("""COMPUTED_VALUE"""),"نجلاء الهادي")</f>
        <v>نجلاء الهادي</v>
      </c>
      <c r="D403" s="5">
        <f>IFERROR(__xludf.DUMMYFUNCTION("""COMPUTED_VALUE"""),2467.0)</f>
        <v>2467</v>
      </c>
      <c r="E403" s="5" t="str">
        <f>IFERROR(__xludf.DUMMYFUNCTION("""COMPUTED_VALUE"""),"EG07-EG08-EG09")</f>
        <v>EG07-EG08-EG09</v>
      </c>
      <c r="F403" s="5" t="str">
        <f>IFERROR(__xludf.DUMMYFUNCTION("""COMPUTED_VALUE"""),"llnaglaall@gmail.com")</f>
        <v>llnaglaall@gmail.com</v>
      </c>
      <c r="G403" s="5" t="str">
        <f>IFERROR(__xludf.DUMMYFUNCTION("""COMPUTED_VALUE"""),"01140851516")</f>
        <v>01140851516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tr">
        <f>IFERROR(__xludf.DUMMYFUNCTION("""COMPUTED_VALUE"""),"نورهان ياسر")</f>
        <v>نورهان ياسر</v>
      </c>
      <c r="B404" s="5">
        <f>IFERROR(__xludf.DUMMYFUNCTION("""COMPUTED_VALUE"""),9.57197456092E11)</f>
        <v>957197456092</v>
      </c>
      <c r="C404" s="5" t="str">
        <f>IFERROR(__xludf.DUMMYFUNCTION("""COMPUTED_VALUE"""),"نورهان ياسر")</f>
        <v>نورهان ياسر</v>
      </c>
      <c r="D404" s="5">
        <f>IFERROR(__xludf.DUMMYFUNCTION("""COMPUTED_VALUE"""),2427.0)</f>
        <v>2427</v>
      </c>
      <c r="E404" s="5" t="str">
        <f>IFERROR(__xludf.DUMMYFUNCTION("""COMPUTED_VALUE"""),"EG01-EG02-EG03")</f>
        <v>EG01-EG02-EG03</v>
      </c>
      <c r="F404" s="5" t="str">
        <f>IFERROR(__xludf.DUMMYFUNCTION("""COMPUTED_VALUE"""),"nourhanyasser1999184@gmail.com")</f>
        <v>nourhanyasser1999184@gmail.com</v>
      </c>
      <c r="G404" s="5" t="str">
        <f>IFERROR(__xludf.DUMMYFUNCTION("""COMPUTED_VALUE"""),"01110620513")</f>
        <v>01110620513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tr">
        <f>IFERROR(__xludf.DUMMYFUNCTION("""COMPUTED_VALUE"""),"سامي الحداد")</f>
        <v>سامي الحداد</v>
      </c>
      <c r="B405" s="5">
        <f>IFERROR(__xludf.DUMMYFUNCTION("""COMPUTED_VALUE"""),6.1818164863E11)</f>
        <v>618181648630</v>
      </c>
      <c r="C405" s="5" t="str">
        <f>IFERROR(__xludf.DUMMYFUNCTION("""COMPUTED_VALUE"""),"سامي الحداد")</f>
        <v>سامي الحداد</v>
      </c>
      <c r="D405" s="5">
        <f>IFERROR(__xludf.DUMMYFUNCTION("""COMPUTED_VALUE"""),2373.0)</f>
        <v>2373</v>
      </c>
      <c r="E405" s="5" t="str">
        <f>IFERROR(__xludf.DUMMYFUNCTION("""COMPUTED_VALUE"""),"EG04-EG05-EG06-EG07-EG08-EG09")</f>
        <v>EG04-EG05-EG06-EG07-EG08-EG09</v>
      </c>
      <c r="F405" s="5" t="str">
        <f>IFERROR(__xludf.DUMMYFUNCTION("""COMPUTED_VALUE"""),"samyalhadad1971@gmail.com")</f>
        <v>samyalhadad1971@gmail.com</v>
      </c>
      <c r="G405" s="5" t="str">
        <f>IFERROR(__xludf.DUMMYFUNCTION("""COMPUTED_VALUE"""),"0127 6656531")</f>
        <v>0127 6656531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tr">
        <f>IFERROR(__xludf.DUMMYFUNCTION("""COMPUTED_VALUE"""),"أحمد الشيمي")</f>
        <v>أحمد الشيمي</v>
      </c>
      <c r="B406" s="5">
        <f>IFERROR(__xludf.DUMMYFUNCTION("""COMPUTED_VALUE"""),3.42131504062E11)</f>
        <v>342131504062</v>
      </c>
      <c r="C406" s="5" t="str">
        <f>IFERROR(__xludf.DUMMYFUNCTION("""COMPUTED_VALUE"""),"أحمد الشيمي")</f>
        <v>أحمد الشيمي</v>
      </c>
      <c r="D406" s="5">
        <f>IFERROR(__xludf.DUMMYFUNCTION("""COMPUTED_VALUE"""),2414.0)</f>
        <v>2414</v>
      </c>
      <c r="E406" s="5" t="str">
        <f>IFERROR(__xludf.DUMMYFUNCTION("""COMPUTED_VALUE"""),"EG09-EG10-EG11-EG12")</f>
        <v>EG09-EG10-EG11-EG12</v>
      </c>
      <c r="F406" s="5" t="str">
        <f>IFERROR(__xludf.DUMMYFUNCTION("""COMPUTED_VALUE"""),"ahmedelshemy100@gmail.com")</f>
        <v>ahmedelshemy100@gmail.com</v>
      </c>
      <c r="G406" s="5" t="str">
        <f>IFERROR(__xludf.DUMMYFUNCTION("""COMPUTED_VALUE"""),"01097153806")</f>
        <v>01097153806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tr">
        <f>IFERROR(__xludf.DUMMYFUNCTION("""COMPUTED_VALUE"""),"حسن الرفاعي")</f>
        <v>حسن الرفاعي</v>
      </c>
      <c r="B407" s="5">
        <f>IFERROR(__xludf.DUMMYFUNCTION("""COMPUTED_VALUE"""),4.04145973415E11)</f>
        <v>404145973415</v>
      </c>
      <c r="C407" s="5" t="str">
        <f>IFERROR(__xludf.DUMMYFUNCTION("""COMPUTED_VALUE"""),"حسن الرفاعي")</f>
        <v>حسن الرفاعي</v>
      </c>
      <c r="D407" s="5">
        <f>IFERROR(__xludf.DUMMYFUNCTION("""COMPUTED_VALUE"""),2419.0)</f>
        <v>2419</v>
      </c>
      <c r="E407" s="5" t="str">
        <f>IFERROR(__xludf.DUMMYFUNCTION("""COMPUTED_VALUE"""),"EG10-EG11-EG12")</f>
        <v>EG10-EG11-EG12</v>
      </c>
      <c r="F407" s="5" t="str">
        <f>IFERROR(__xludf.DUMMYFUNCTION("""COMPUTED_VALUE"""),"has.alrefaey@gmail.com")</f>
        <v>has.alrefaey@gmail.com</v>
      </c>
      <c r="G407" s="5" t="str">
        <f>IFERROR(__xludf.DUMMYFUNCTION("""COMPUTED_VALUE"""),"01007303558")</f>
        <v>01007303558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tr">
        <f>IFERROR(__xludf.DUMMYFUNCTION("""COMPUTED_VALUE"""),"مرام طارق")</f>
        <v>مرام طارق</v>
      </c>
      <c r="B408" s="5">
        <f>IFERROR(__xludf.DUMMYFUNCTION("""COMPUTED_VALUE"""),3.15145768378E11)</f>
        <v>315145768378</v>
      </c>
      <c r="C408" s="5" t="str">
        <f>IFERROR(__xludf.DUMMYFUNCTION("""COMPUTED_VALUE"""),"مرام طارق")</f>
        <v>مرام طارق</v>
      </c>
      <c r="D408" s="5">
        <f>IFERROR(__xludf.DUMMYFUNCTION("""COMPUTED_VALUE"""),2421.0)</f>
        <v>2421</v>
      </c>
      <c r="E408" s="5" t="str">
        <f>IFERROR(__xludf.DUMMYFUNCTION("""COMPUTED_VALUE"""),"EG04-EG05-EG06-EG07-EG08-EG09")</f>
        <v>EG04-EG05-EG06-EG07-EG08-EG09</v>
      </c>
      <c r="F408" s="5" t="str">
        <f>IFERROR(__xludf.DUMMYFUNCTION("""COMPUTED_VALUE"""),"maram.tareq1988@gmail.com")</f>
        <v>maram.tareq1988@gmail.com</v>
      </c>
      <c r="G408" s="5" t="str">
        <f>IFERROR(__xludf.DUMMYFUNCTION("""COMPUTED_VALUE"""),"01550116087")</f>
        <v>01550116087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tr">
        <f>IFERROR(__xludf.DUMMYFUNCTION("""COMPUTED_VALUE"""),"أحمد ضيف")</f>
        <v>أحمد ضيف</v>
      </c>
      <c r="B409" s="5">
        <f>IFERROR(__xludf.DUMMYFUNCTION("""COMPUTED_VALUE"""),6.97164912817E11)</f>
        <v>697164912817</v>
      </c>
      <c r="C409" s="5" t="str">
        <f>IFERROR(__xludf.DUMMYFUNCTION("""COMPUTED_VALUE"""),"أحمد ضيف")</f>
        <v>أحمد ضيف</v>
      </c>
      <c r="D409" s="5">
        <f>IFERROR(__xludf.DUMMYFUNCTION("""COMPUTED_VALUE"""),2455.0)</f>
        <v>2455</v>
      </c>
      <c r="E409" s="5" t="str">
        <f>IFERROR(__xludf.DUMMYFUNCTION("""COMPUTED_VALUE"""),"EG07-EG08-EG09")</f>
        <v>EG07-EG08-EG09</v>
      </c>
      <c r="F409" s="5" t="str">
        <f>IFERROR(__xludf.DUMMYFUNCTION("""COMPUTED_VALUE"""),"ahmeddeif79@gmail.com")</f>
        <v>ahmeddeif79@gmail.com</v>
      </c>
      <c r="G409" s="5" t="str">
        <f>IFERROR(__xludf.DUMMYFUNCTION("""COMPUTED_VALUE"""),"01552762209")</f>
        <v>01552762209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tr">
        <f>IFERROR(__xludf.DUMMYFUNCTION("""COMPUTED_VALUE"""),"شيماء سعيد")</f>
        <v>شيماء سعيد</v>
      </c>
      <c r="B410" s="5">
        <f>IFERROR(__xludf.DUMMYFUNCTION("""COMPUTED_VALUE"""),9.04157297454E11)</f>
        <v>904157297454</v>
      </c>
      <c r="C410" s="5" t="str">
        <f>IFERROR(__xludf.DUMMYFUNCTION("""COMPUTED_VALUE"""),"شيماء سعيد")</f>
        <v>شيماء سعيد</v>
      </c>
      <c r="D410" s="5">
        <f>IFERROR(__xludf.DUMMYFUNCTION("""COMPUTED_VALUE"""),2425.0)</f>
        <v>2425</v>
      </c>
      <c r="E410" s="5" t="str">
        <f>IFERROR(__xludf.DUMMYFUNCTION("""COMPUTED_VALUE"""),"EG01-EG02-EG03")</f>
        <v>EG01-EG02-EG03</v>
      </c>
      <c r="F410" s="5" t="str">
        <f>IFERROR(__xludf.DUMMYFUNCTION("""COMPUTED_VALUE"""),"shaimaa.shawshaw@gmail.com")</f>
        <v>shaimaa.shawshaw@gmail.com</v>
      </c>
      <c r="G410" s="5" t="str">
        <f>IFERROR(__xludf.DUMMYFUNCTION("""COMPUTED_VALUE"""),"01061516190")</f>
        <v>01061516190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tr">
        <f>IFERROR(__xludf.DUMMYFUNCTION("""COMPUTED_VALUE"""),"أحمد درويش")</f>
        <v>أحمد درويش</v>
      </c>
      <c r="B411" s="5">
        <f>IFERROR(__xludf.DUMMYFUNCTION("""COMPUTED_VALUE"""),6.08183854595E11)</f>
        <v>608183854595</v>
      </c>
      <c r="C411" s="5" t="str">
        <f>IFERROR(__xludf.DUMMYFUNCTION("""COMPUTED_VALUE"""),"أحمد درويش")</f>
        <v>أحمد درويش</v>
      </c>
      <c r="D411" s="5">
        <f>IFERROR(__xludf.DUMMYFUNCTION("""COMPUTED_VALUE"""),2415.0)</f>
        <v>2415</v>
      </c>
      <c r="E411" s="5" t="str">
        <f>IFERROR(__xludf.DUMMYFUNCTION("""COMPUTED_VALUE"""),"EG06-EG07-EG08-EG09")</f>
        <v>EG06-EG07-EG08-EG09</v>
      </c>
      <c r="F411" s="5" t="str">
        <f>IFERROR(__xludf.DUMMYFUNCTION("""COMPUTED_VALUE"""),"ahmedsayed171730@gmail.com")</f>
        <v>ahmedsayed171730@gmail.com</v>
      </c>
      <c r="G411" s="5" t="str">
        <f>IFERROR(__xludf.DUMMYFUNCTION("""COMPUTED_VALUE"""),"01017173087")</f>
        <v>01017173087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tr">
        <f>IFERROR(__xludf.DUMMYFUNCTION("""COMPUTED_VALUE"""),"محمد حامد")</f>
        <v>محمد حامد</v>
      </c>
      <c r="B412" s="5">
        <f>IFERROR(__xludf.DUMMYFUNCTION("""COMPUTED_VALUE"""),4.16178416352E11)</f>
        <v>416178416352</v>
      </c>
      <c r="C412" s="5" t="str">
        <f>IFERROR(__xludf.DUMMYFUNCTION("""COMPUTED_VALUE"""),"محمد حامد")</f>
        <v>محمد حامد</v>
      </c>
      <c r="D412" s="5">
        <f>IFERROR(__xludf.DUMMYFUNCTION("""COMPUTED_VALUE"""),2410.0)</f>
        <v>2410</v>
      </c>
      <c r="E412" s="5" t="str">
        <f>IFERROR(__xludf.DUMMYFUNCTION("""COMPUTED_VALUE"""),"EG04-EG05-EG06-EG07-EG08-EG09")</f>
        <v>EG04-EG05-EG06-EG07-EG08-EG09</v>
      </c>
      <c r="F412" s="5" t="str">
        <f>IFERROR(__xludf.DUMMYFUNCTION("""COMPUTED_VALUE"""),"mh7350093@gmail.com")</f>
        <v>mh7350093@gmail.com</v>
      </c>
      <c r="G412" s="5" t="str">
        <f>IFERROR(__xludf.DUMMYFUNCTION("""COMPUTED_VALUE"""),"01226341167")</f>
        <v>01226341167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tr">
        <f>IFERROR(__xludf.DUMMYFUNCTION("""COMPUTED_VALUE"""),"إسراء علاء")</f>
        <v>إسراء علاء</v>
      </c>
      <c r="B413" s="5">
        <f>IFERROR(__xludf.DUMMYFUNCTION("""COMPUTED_VALUE"""),9.15139613231E11)</f>
        <v>915139613231</v>
      </c>
      <c r="C413" s="5" t="str">
        <f>IFERROR(__xludf.DUMMYFUNCTION("""COMPUTED_VALUE"""),"إسراء علاء")</f>
        <v>إسراء علاء</v>
      </c>
      <c r="D413" s="5">
        <f>IFERROR(__xludf.DUMMYFUNCTION("""COMPUTED_VALUE"""),2422.0)</f>
        <v>2422</v>
      </c>
      <c r="E413" s="5" t="str">
        <f>IFERROR(__xludf.DUMMYFUNCTION("""COMPUTED_VALUE"""),"EG01-EG02-EG03-EG04-EG05-EG06-EG07")</f>
        <v>EG01-EG02-EG03-EG04-EG05-EG06-EG07</v>
      </c>
      <c r="F413" s="5" t="str">
        <f>IFERROR(__xludf.DUMMYFUNCTION("""COMPUTED_VALUE"""),"esraalaa25@gmail.com")</f>
        <v>esraalaa25@gmail.com</v>
      </c>
      <c r="G413" s="5" t="str">
        <f>IFERROR(__xludf.DUMMYFUNCTION("""COMPUTED_VALUE"""),"01091311114")</f>
        <v>01091311114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 t="str">
        <f>IFERROR(__xludf.DUMMYFUNCTION("""COMPUTED_VALUE"""),"فاطمة عبد المنعم")</f>
        <v>فاطمة عبد المنعم</v>
      </c>
      <c r="B414" s="5">
        <f>IFERROR(__xludf.DUMMYFUNCTION("""COMPUTED_VALUE"""),5.29163026412E11)</f>
        <v>529163026412</v>
      </c>
      <c r="C414" s="5" t="str">
        <f>IFERROR(__xludf.DUMMYFUNCTION("""COMPUTED_VALUE"""),"فاطمة عبد المنعم")</f>
        <v>فاطمة عبد المنعم</v>
      </c>
      <c r="D414" s="5">
        <f>IFERROR(__xludf.DUMMYFUNCTION("""COMPUTED_VALUE"""),2416.0)</f>
        <v>2416</v>
      </c>
      <c r="E414" s="5" t="str">
        <f>IFERROR(__xludf.DUMMYFUNCTION("""COMPUTED_VALUE"""),"EG04-EG05-EG06")</f>
        <v>EG04-EG05-EG06</v>
      </c>
      <c r="F414" s="5" t="str">
        <f>IFERROR(__xludf.DUMMYFUNCTION("""COMPUTED_VALUE"""),"fatma25nady@gmail.com")</f>
        <v>fatma25nady@gmail.com</v>
      </c>
      <c r="G414" s="5" t="str">
        <f>IFERROR(__xludf.DUMMYFUNCTION("""COMPUTED_VALUE"""),"01028758529")</f>
        <v>01028758529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 t="str">
        <f>IFERROR(__xludf.DUMMYFUNCTION("""COMPUTED_VALUE"""),"أحمد رخا")</f>
        <v>أحمد رخا</v>
      </c>
      <c r="B415" s="5">
        <f>IFERROR(__xludf.DUMMYFUNCTION("""COMPUTED_VALUE"""),8.28145048729E11)</f>
        <v>828145048729</v>
      </c>
      <c r="C415" s="5" t="str">
        <f>IFERROR(__xludf.DUMMYFUNCTION("""COMPUTED_VALUE"""),"أحمد رخا")</f>
        <v>أحمد رخا</v>
      </c>
      <c r="D415" s="5">
        <f>IFERROR(__xludf.DUMMYFUNCTION("""COMPUTED_VALUE"""),2429.0)</f>
        <v>2429</v>
      </c>
      <c r="E415" s="5" t="str">
        <f>IFERROR(__xludf.DUMMYFUNCTION("""COMPUTED_VALUE"""),"EG07-EG08-EG09")</f>
        <v>EG07-EG08-EG09</v>
      </c>
      <c r="F415" s="5" t="str">
        <f>IFERROR(__xludf.DUMMYFUNCTION("""COMPUTED_VALUE"""),"arakha119@gmail.com")</f>
        <v>arakha119@gmail.com</v>
      </c>
      <c r="G415" s="5" t="str">
        <f>IFERROR(__xludf.DUMMYFUNCTION("""COMPUTED_VALUE"""),"01062336833 - 01229867543")</f>
        <v>01062336833 - 01229867543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tr">
        <f>IFERROR(__xludf.DUMMYFUNCTION("""COMPUTED_VALUE"""),"شيماء ناجي")</f>
        <v>شيماء ناجي</v>
      </c>
      <c r="B416" s="5">
        <f>IFERROR(__xludf.DUMMYFUNCTION("""COMPUTED_VALUE"""),3.42149485143E11)</f>
        <v>342149485143</v>
      </c>
      <c r="C416" s="5" t="str">
        <f>IFERROR(__xludf.DUMMYFUNCTION("""COMPUTED_VALUE"""),"شيماء ناجي")</f>
        <v>شيماء ناجي</v>
      </c>
      <c r="D416" s="5">
        <f>IFERROR(__xludf.DUMMYFUNCTION("""COMPUTED_VALUE"""),2430.0)</f>
        <v>2430</v>
      </c>
      <c r="E416" s="5" t="str">
        <f>IFERROR(__xludf.DUMMYFUNCTION("""COMPUTED_VALUE"""),"EG04-EG05-EG06-EG07-EG08-EG09")</f>
        <v>EG04-EG05-EG06-EG07-EG08-EG09</v>
      </c>
      <c r="F416" s="5" t="str">
        <f>IFERROR(__xludf.DUMMYFUNCTION("""COMPUTED_VALUE"""),"shemoelbindary52@gmail.com")</f>
        <v>shemoelbindary52@gmail.com</v>
      </c>
      <c r="G416" s="5" t="str">
        <f>IFERROR(__xludf.DUMMYFUNCTION("""COMPUTED_VALUE"""),"01090538802")</f>
        <v>01090538802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tr">
        <f>IFERROR(__xludf.DUMMYFUNCTION("""COMPUTED_VALUE"""),"عبد الله بكري")</f>
        <v>عبد الله بكري</v>
      </c>
      <c r="B417" s="5">
        <f>IFERROR(__xludf.DUMMYFUNCTION("""COMPUTED_VALUE"""),8.64160753024E11)</f>
        <v>864160753024</v>
      </c>
      <c r="C417" s="5" t="str">
        <f>IFERROR(__xludf.DUMMYFUNCTION("""COMPUTED_VALUE"""),"عبد الله بكري")</f>
        <v>عبد الله بكري</v>
      </c>
      <c r="D417" s="5">
        <f>IFERROR(__xludf.DUMMYFUNCTION("""COMPUTED_VALUE"""),2424.0)</f>
        <v>2424</v>
      </c>
      <c r="E417" s="5" t="str">
        <f>IFERROR(__xludf.DUMMYFUNCTION("""COMPUTED_VALUE"""),"EG07-EG08-EG09-EG10-EG11")</f>
        <v>EG07-EG08-EG09-EG10-EG11</v>
      </c>
      <c r="F417" s="5" t="str">
        <f>IFERROR(__xludf.DUMMYFUNCTION("""COMPUTED_VALUE"""),"abdollahbakry84@gmail.com")</f>
        <v>abdollahbakry84@gmail.com</v>
      </c>
      <c r="G417" s="5" t="str">
        <f>IFERROR(__xludf.DUMMYFUNCTION("""COMPUTED_VALUE"""),"01280483249")</f>
        <v>01280483249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tr">
        <f>IFERROR(__xludf.DUMMYFUNCTION("""COMPUTED_VALUE"""),"إيمان رمضان")</f>
        <v>إيمان رمضان</v>
      </c>
      <c r="B418" s="5">
        <f>IFERROR(__xludf.DUMMYFUNCTION("""COMPUTED_VALUE"""),8.96191427156E11)</f>
        <v>896191427156</v>
      </c>
      <c r="C418" s="5" t="str">
        <f>IFERROR(__xludf.DUMMYFUNCTION("""COMPUTED_VALUE"""),"إيمان رمضان")</f>
        <v>إيمان رمضان</v>
      </c>
      <c r="D418" s="5">
        <f>IFERROR(__xludf.DUMMYFUNCTION("""COMPUTED_VALUE"""),2440.0)</f>
        <v>2440</v>
      </c>
      <c r="E418" s="5" t="str">
        <f>IFERROR(__xludf.DUMMYFUNCTION("""COMPUTED_VALUE"""),"EG01-EG02-EG03")</f>
        <v>EG01-EG02-EG03</v>
      </c>
      <c r="F418" s="5" t="str">
        <f>IFERROR(__xludf.DUMMYFUNCTION("""COMPUTED_VALUE"""),"emanali8134@gmail.com")</f>
        <v>emanali8134@gmail.com</v>
      </c>
      <c r="G418" s="5" t="str">
        <f>IFERROR(__xludf.DUMMYFUNCTION("""COMPUTED_VALUE"""),"01282166883")</f>
        <v>01282166883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tr">
        <f>IFERROR(__xludf.DUMMYFUNCTION("""COMPUTED_VALUE"""),"فاطمة سمير")</f>
        <v>فاطمة سمير</v>
      </c>
      <c r="B419" s="5">
        <f>IFERROR(__xludf.DUMMYFUNCTION("""COMPUTED_VALUE"""),8.04162065074E11)</f>
        <v>804162065074</v>
      </c>
      <c r="C419" s="5" t="str">
        <f>IFERROR(__xludf.DUMMYFUNCTION("""COMPUTED_VALUE"""),"فاطمة سمير")</f>
        <v>فاطمة سمير</v>
      </c>
      <c r="D419" s="5">
        <f>IFERROR(__xludf.DUMMYFUNCTION("""COMPUTED_VALUE"""),2453.0)</f>
        <v>2453</v>
      </c>
      <c r="E419" s="5" t="str">
        <f>IFERROR(__xludf.DUMMYFUNCTION("""COMPUTED_VALUE"""),"EG07-EG08-EG09")</f>
        <v>EG07-EG08-EG09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tr">
        <f>IFERROR(__xludf.DUMMYFUNCTION("""COMPUTED_VALUE"""),"آية عادل")</f>
        <v>آية عادل</v>
      </c>
      <c r="B420" s="5">
        <f>IFERROR(__xludf.DUMMYFUNCTION("""COMPUTED_VALUE"""),3.0414968757E11)</f>
        <v>304149687570</v>
      </c>
      <c r="C420" s="5" t="str">
        <f>IFERROR(__xludf.DUMMYFUNCTION("""COMPUTED_VALUE"""),"آية عادل")</f>
        <v>آية عادل</v>
      </c>
      <c r="D420" s="5">
        <f>IFERROR(__xludf.DUMMYFUNCTION("""COMPUTED_VALUE"""),2454.0)</f>
        <v>2454</v>
      </c>
      <c r="E420" s="5" t="str">
        <f>IFERROR(__xludf.DUMMYFUNCTION("""COMPUTED_VALUE"""),"EG01-EG02-EG03")</f>
        <v>EG01-EG02-EG03</v>
      </c>
      <c r="F420" s="5" t="str">
        <f>IFERROR(__xludf.DUMMYFUNCTION("""COMPUTED_VALUE"""),"aya963539@gmail.com")</f>
        <v>aya963539@gmail.com</v>
      </c>
      <c r="G420" s="5" t="str">
        <f>IFERROR(__xludf.DUMMYFUNCTION("""COMPUTED_VALUE"""),"01064460758")</f>
        <v>01064460758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tr">
        <f>IFERROR(__xludf.DUMMYFUNCTION("""COMPUTED_VALUE"""),"إيمان فؤاد")</f>
        <v>إيمان فؤاد</v>
      </c>
      <c r="B421" s="5">
        <f>IFERROR(__xludf.DUMMYFUNCTION("""COMPUTED_VALUE"""),2.34189763426E11)</f>
        <v>234189763426</v>
      </c>
      <c r="C421" s="5" t="str">
        <f>IFERROR(__xludf.DUMMYFUNCTION("""COMPUTED_VALUE"""),"إيمان فؤاد")</f>
        <v>إيمان فؤاد</v>
      </c>
      <c r="D421" s="5">
        <f>IFERROR(__xludf.DUMMYFUNCTION("""COMPUTED_VALUE"""),2426.0)</f>
        <v>2426</v>
      </c>
      <c r="E421" s="5" t="str">
        <f>IFERROR(__xludf.DUMMYFUNCTION("""COMPUTED_VALUE"""),"EG04-EG05-EG06-EG07-EG08-EG09")</f>
        <v>EG04-EG05-EG06-EG07-EG08-EG09</v>
      </c>
      <c r="F421" s="5" t="str">
        <f>IFERROR(__xludf.DUMMYFUNCTION("""COMPUTED_VALUE"""),"efouad774@gmail.com")</f>
        <v>efouad774@gmail.com</v>
      </c>
      <c r="G421" s="5" t="str">
        <f>IFERROR(__xludf.DUMMYFUNCTION("""COMPUTED_VALUE"""),"01203102091")</f>
        <v>01203102091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tr">
        <f>IFERROR(__xludf.DUMMYFUNCTION("""COMPUTED_VALUE"""),"منار نبيل")</f>
        <v>منار نبيل</v>
      </c>
      <c r="B422" s="5">
        <f>IFERROR(__xludf.DUMMYFUNCTION("""COMPUTED_VALUE"""),1.39146351896E11)</f>
        <v>139146351896</v>
      </c>
      <c r="C422" s="5" t="str">
        <f>IFERROR(__xludf.DUMMYFUNCTION("""COMPUTED_VALUE"""),"منار نبيل")</f>
        <v>منار نبيل</v>
      </c>
      <c r="D422" s="5">
        <f>IFERROR(__xludf.DUMMYFUNCTION("""COMPUTED_VALUE"""),2435.0)</f>
        <v>2435</v>
      </c>
      <c r="E422" s="5" t="str">
        <f>IFERROR(__xludf.DUMMYFUNCTION("""COMPUTED_VALUE"""),"EG04-EG05-EG06")</f>
        <v>EG04-EG05-EG06</v>
      </c>
      <c r="F422" s="5" t="str">
        <f>IFERROR(__xludf.DUMMYFUNCTION("""COMPUTED_VALUE"""),"manarnabil88@gmail.com")</f>
        <v>manarnabil88@gmail.com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tr">
        <f>IFERROR(__xludf.DUMMYFUNCTION("""COMPUTED_VALUE"""),"حسام البدري")</f>
        <v>حسام البدري</v>
      </c>
      <c r="B423" s="5">
        <f>IFERROR(__xludf.DUMMYFUNCTION("""COMPUTED_VALUE"""),1.93167923501E11)</f>
        <v>193167923501</v>
      </c>
      <c r="C423" s="5" t="str">
        <f>IFERROR(__xludf.DUMMYFUNCTION("""COMPUTED_VALUE"""),"حسام البدري")</f>
        <v>حسام البدري</v>
      </c>
      <c r="D423" s="5">
        <f>IFERROR(__xludf.DUMMYFUNCTION("""COMPUTED_VALUE"""),2451.0)</f>
        <v>2451</v>
      </c>
      <c r="E423" s="5" t="str">
        <f>IFERROR(__xludf.DUMMYFUNCTION("""COMPUTED_VALUE"""),"EG04-EG05-EG06-EG07-EG08-EG09-EG10-EG11-EG12")</f>
        <v>EG04-EG05-EG06-EG07-EG08-EG09-EG10-EG11-EG12</v>
      </c>
      <c r="F423" s="5" t="str">
        <f>IFERROR(__xludf.DUMMYFUNCTION("""COMPUTED_VALUE"""),"hossam.assaf80@gmail.com")</f>
        <v>hossam.assaf80@gmail.com</v>
      </c>
      <c r="G423" s="5" t="str">
        <f>IFERROR(__xludf.DUMMYFUNCTION("""COMPUTED_VALUE"""),"01000415486")</f>
        <v>01000415486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tr">
        <f>IFERROR(__xludf.DUMMYFUNCTION("""COMPUTED_VALUE"""),"محمد عبد الحميد")</f>
        <v>محمد عبد الحميد</v>
      </c>
      <c r="B424" s="5">
        <f>IFERROR(__xludf.DUMMYFUNCTION("""COMPUTED_VALUE"""),7.35137965041E11)</f>
        <v>735137965041</v>
      </c>
      <c r="C424" s="5" t="str">
        <f>IFERROR(__xludf.DUMMYFUNCTION("""COMPUTED_VALUE"""),"محمد عبد الحميد")</f>
        <v>محمد عبد الحميد</v>
      </c>
      <c r="D424" s="5">
        <f>IFERROR(__xludf.DUMMYFUNCTION("""COMPUTED_VALUE"""),2469.0)</f>
        <v>2469</v>
      </c>
      <c r="E424" s="5" t="str">
        <f>IFERROR(__xludf.DUMMYFUNCTION("""COMPUTED_VALUE"""),"EG04-EG05-EG06-EG07-EG08-EG09")</f>
        <v>EG04-EG05-EG06-EG07-EG08-EG09</v>
      </c>
      <c r="F424" s="5" t="str">
        <f>IFERROR(__xludf.DUMMYFUNCTION("""COMPUTED_VALUE"""),"mohamedbasis4@gmail.com")</f>
        <v>mohamedbasis4@gmail.com</v>
      </c>
      <c r="G424" s="5" t="str">
        <f>IFERROR(__xludf.DUMMYFUNCTION("""COMPUTED_VALUE"""),"01227115532 - 01555325577")</f>
        <v>01227115532 - 01555325577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tr">
        <f>IFERROR(__xludf.DUMMYFUNCTION("""COMPUTED_VALUE"""),"دعاء أبو الحديد")</f>
        <v>دعاء أبو الحديد</v>
      </c>
      <c r="B425" s="5">
        <f>IFERROR(__xludf.DUMMYFUNCTION("""COMPUTED_VALUE"""),2.84156708018E11)</f>
        <v>284156708018</v>
      </c>
      <c r="C425" s="5" t="str">
        <f>IFERROR(__xludf.DUMMYFUNCTION("""COMPUTED_VALUE"""),"دعاء أبو الحديد")</f>
        <v>دعاء أبو الحديد</v>
      </c>
      <c r="D425" s="5">
        <f>IFERROR(__xludf.DUMMYFUNCTION("""COMPUTED_VALUE"""),2439.0)</f>
        <v>2439</v>
      </c>
      <c r="E425" s="5" t="str">
        <f>IFERROR(__xludf.DUMMYFUNCTION("""COMPUTED_VALUE"""),"EG04-EG05-EG06-EG07")</f>
        <v>EG04-EG05-EG06-EG07</v>
      </c>
      <c r="F425" s="5" t="str">
        <f>IFERROR(__xludf.DUMMYFUNCTION("""COMPUTED_VALUE"""),"doaa.aboelhadid@gmail.com")</f>
        <v>doaa.aboelhadid@gmail.com</v>
      </c>
      <c r="G425" s="5" t="str">
        <f>IFERROR(__xludf.DUMMYFUNCTION("""COMPUTED_VALUE"""),"01090759683")</f>
        <v>01090759683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tr">
        <f>IFERROR(__xludf.DUMMYFUNCTION("""COMPUTED_VALUE"""),"يارا حسن")</f>
        <v>يارا حسن</v>
      </c>
      <c r="B426" s="5">
        <f>IFERROR(__xludf.DUMMYFUNCTION("""COMPUTED_VALUE"""),8.73194273252E11)</f>
        <v>873194273252</v>
      </c>
      <c r="C426" s="5" t="str">
        <f>IFERROR(__xludf.DUMMYFUNCTION("""COMPUTED_VALUE"""),"يارا حسن")</f>
        <v>يارا حسن</v>
      </c>
      <c r="D426" s="5">
        <f>IFERROR(__xludf.DUMMYFUNCTION("""COMPUTED_VALUE"""),2520.0)</f>
        <v>2520</v>
      </c>
      <c r="E426" s="5" t="str">
        <f>IFERROR(__xludf.DUMMYFUNCTION("""COMPUTED_VALUE"""),"EG03-EG04-EG05-EG06")</f>
        <v>EG03-EG04-EG05-EG06</v>
      </c>
      <c r="F426" s="5" t="str">
        <f>IFERROR(__xludf.DUMMYFUNCTION("""COMPUTED_VALUE"""),"yarahassan2027@gmail.com")</f>
        <v>yarahassan2027@gmail.com</v>
      </c>
      <c r="G426" s="5" t="str">
        <f>IFERROR(__xludf.DUMMYFUNCTION("""COMPUTED_VALUE"""),"01014975043")</f>
        <v>01014975043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tr">
        <f>IFERROR(__xludf.DUMMYFUNCTION("""COMPUTED_VALUE"""),"عبد الرازق فتحي")</f>
        <v>عبد الرازق فتحي</v>
      </c>
      <c r="B427" s="5">
        <f>IFERROR(__xludf.DUMMYFUNCTION("""COMPUTED_VALUE"""),4.10125641839E11)</f>
        <v>410125641839</v>
      </c>
      <c r="C427" s="5" t="str">
        <f>IFERROR(__xludf.DUMMYFUNCTION("""COMPUTED_VALUE"""),"عبد الرازق فتحي")</f>
        <v>عبد الرازق فتحي</v>
      </c>
      <c r="D427" s="5">
        <f>IFERROR(__xludf.DUMMYFUNCTION("""COMPUTED_VALUE"""),2437.0)</f>
        <v>2437</v>
      </c>
      <c r="E427" s="5" t="str">
        <f>IFERROR(__xludf.DUMMYFUNCTION("""COMPUTED_VALUE"""),"EG04-EG05-EG06")</f>
        <v>EG04-EG05-EG06</v>
      </c>
      <c r="F427" s="5" t="str">
        <f>IFERROR(__xludf.DUMMYFUNCTION("""COMPUTED_VALUE"""),"abdonet777@yahoo.com")</f>
        <v>abdonet777@yahoo.com</v>
      </c>
      <c r="G427" s="5" t="str">
        <f>IFERROR(__xludf.DUMMYFUNCTION("""COMPUTED_VALUE"""),"01069344824")</f>
        <v>01069344824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tr">
        <f>IFERROR(__xludf.DUMMYFUNCTION("""COMPUTED_VALUE"""),"إنجي مختار")</f>
        <v>إنجي مختار</v>
      </c>
      <c r="B428" s="5">
        <f>IFERROR(__xludf.DUMMYFUNCTION("""COMPUTED_VALUE"""),2.15195154738E11)</f>
        <v>215195154738</v>
      </c>
      <c r="C428" s="5" t="str">
        <f>IFERROR(__xludf.DUMMYFUNCTION("""COMPUTED_VALUE"""),"إنجي مختار")</f>
        <v>إنجي مختار</v>
      </c>
      <c r="D428" s="5">
        <f>IFERROR(__xludf.DUMMYFUNCTION("""COMPUTED_VALUE"""),2441.0)</f>
        <v>2441</v>
      </c>
      <c r="E428" s="5" t="str">
        <f>IFERROR(__xludf.DUMMYFUNCTION("""COMPUTED_VALUE"""),"EG01-EG02-EG03")</f>
        <v>EG01-EG02-EG03</v>
      </c>
      <c r="F428" s="5" t="str">
        <f>IFERROR(__xludf.DUMMYFUNCTION("""COMPUTED_VALUE"""),"enjymokhtar.219@gmail.com")</f>
        <v>enjymokhtar.219@gmail.com</v>
      </c>
      <c r="G428" s="5" t="str">
        <f>IFERROR(__xludf.DUMMYFUNCTION("""COMPUTED_VALUE"""),"01201521125")</f>
        <v>01201521125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tr">
        <f>IFERROR(__xludf.DUMMYFUNCTION("""COMPUTED_VALUE"""),"أشرف ماهر")</f>
        <v>أشرف ماهر</v>
      </c>
      <c r="B429" s="5">
        <f>IFERROR(__xludf.DUMMYFUNCTION("""COMPUTED_VALUE"""),3.58183213283E11)</f>
        <v>358183213283</v>
      </c>
      <c r="C429" s="5" t="str">
        <f>IFERROR(__xludf.DUMMYFUNCTION("""COMPUTED_VALUE"""),"أشرف ماهر")</f>
        <v>أشرف ماهر</v>
      </c>
      <c r="D429" s="5">
        <f>IFERROR(__xludf.DUMMYFUNCTION("""COMPUTED_VALUE"""),2463.0)</f>
        <v>2463</v>
      </c>
      <c r="E429" s="5" t="str">
        <f>IFERROR(__xludf.DUMMYFUNCTION("""COMPUTED_VALUE"""),"EG07-EG08-EG09")</f>
        <v>EG07-EG08-EG09</v>
      </c>
      <c r="F429" s="5" t="str">
        <f>IFERROR(__xludf.DUMMYFUNCTION("""COMPUTED_VALUE"""),"ashrf.d20011@yahoo.com")</f>
        <v>ashrf.d20011@yahoo.com</v>
      </c>
      <c r="G429" s="5" t="str">
        <f>IFERROR(__xludf.DUMMYFUNCTION("""COMPUTED_VALUE"""),"01140350043")</f>
        <v>01140350043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tr">
        <f>IFERROR(__xludf.DUMMYFUNCTION("""COMPUTED_VALUE"""),"عمرو طارق")</f>
        <v>عمرو طارق</v>
      </c>
      <c r="B430" s="5">
        <f>IFERROR(__xludf.DUMMYFUNCTION("""COMPUTED_VALUE"""),3.75181246026E11)</f>
        <v>375181246026</v>
      </c>
      <c r="C430" s="5" t="str">
        <f>IFERROR(__xludf.DUMMYFUNCTION("""COMPUTED_VALUE"""),"عمرو طارق")</f>
        <v>عمرو طارق</v>
      </c>
      <c r="D430" s="5">
        <f>IFERROR(__xludf.DUMMYFUNCTION("""COMPUTED_VALUE"""),2452.0)</f>
        <v>2452</v>
      </c>
      <c r="E430" s="5" t="str">
        <f>IFERROR(__xludf.DUMMYFUNCTION("""COMPUTED_VALUE"""),"EG04-EG05-EG06")</f>
        <v>EG04-EG05-EG06</v>
      </c>
      <c r="F430" s="5" t="str">
        <f>IFERROR(__xludf.DUMMYFUNCTION("""COMPUTED_VALUE"""),"amrtarek.1100@yahoo.com")</f>
        <v>amrtarek.1100@yahoo.com</v>
      </c>
      <c r="G430" s="5" t="str">
        <f>IFERROR(__xludf.DUMMYFUNCTION("""COMPUTED_VALUE"""),"01143727455")</f>
        <v>01143727455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tr">
        <f>IFERROR(__xludf.DUMMYFUNCTION("""COMPUTED_VALUE"""),"شيماء كمال")</f>
        <v>شيماء كمال</v>
      </c>
      <c r="B431" s="5">
        <f>IFERROR(__xludf.DUMMYFUNCTION("""COMPUTED_VALUE"""),2.5717687148E11)</f>
        <v>257176871480</v>
      </c>
      <c r="C431" s="5" t="str">
        <f>IFERROR(__xludf.DUMMYFUNCTION("""COMPUTED_VALUE"""),"شيماء كمال")</f>
        <v>شيماء كمال</v>
      </c>
      <c r="D431" s="5">
        <f>IFERROR(__xludf.DUMMYFUNCTION("""COMPUTED_VALUE"""),2461.0)</f>
        <v>2461</v>
      </c>
      <c r="E431" s="5" t="str">
        <f>IFERROR(__xludf.DUMMYFUNCTION("""COMPUTED_VALUE"""),"EG01-EG02-EG03")</f>
        <v>EG01-EG02-EG03</v>
      </c>
      <c r="F431" s="5" t="str">
        <f>IFERROR(__xludf.DUMMYFUNCTION("""COMPUTED_VALUE"""),"shimaakamal553@gmail.com")</f>
        <v>shimaakamal553@gmail.com</v>
      </c>
      <c r="G431" s="5" t="str">
        <f>IFERROR(__xludf.DUMMYFUNCTION("""COMPUTED_VALUE"""),"01157711782")</f>
        <v>01157711782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tr">
        <f>IFERROR(__xludf.DUMMYFUNCTION("""COMPUTED_VALUE"""),"روماني سعد")</f>
        <v>روماني سعد</v>
      </c>
      <c r="B432" s="5">
        <f>IFERROR(__xludf.DUMMYFUNCTION("""COMPUTED_VALUE"""),4.84190812809E11)</f>
        <v>484190812809</v>
      </c>
      <c r="C432" s="5" t="str">
        <f>IFERROR(__xludf.DUMMYFUNCTION("""COMPUTED_VALUE"""),"روماني سعد")</f>
        <v>روماني سعد</v>
      </c>
      <c r="D432" s="5">
        <f>IFERROR(__xludf.DUMMYFUNCTION("""COMPUTED_VALUE"""),2465.0)</f>
        <v>2465</v>
      </c>
      <c r="E432" s="5" t="str">
        <f>IFERROR(__xludf.DUMMYFUNCTION("""COMPUTED_VALUE"""),"EG11-EG12")</f>
        <v>EG11-EG12</v>
      </c>
      <c r="F432" s="5" t="str">
        <f>IFERROR(__xludf.DUMMYFUNCTION("""COMPUTED_VALUE"""),"romanyscience00@gmail.com")</f>
        <v>romanyscience00@gmail.com</v>
      </c>
      <c r="G432" s="5" t="str">
        <f>IFERROR(__xludf.DUMMYFUNCTION("""COMPUTED_VALUE"""),"01282802415")</f>
        <v>01282802415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tr">
        <f>IFERROR(__xludf.DUMMYFUNCTION("""COMPUTED_VALUE"""),"مريم أبو غراب")</f>
        <v>مريم أبو غراب</v>
      </c>
      <c r="B433" s="5">
        <f>IFERROR(__xludf.DUMMYFUNCTION("""COMPUTED_VALUE"""),8.58151472598E11)</f>
        <v>858151472598</v>
      </c>
      <c r="C433" s="5" t="str">
        <f>IFERROR(__xludf.DUMMYFUNCTION("""COMPUTED_VALUE"""),"مريم أبو غراب")</f>
        <v>مريم أبو غراب</v>
      </c>
      <c r="D433" s="5">
        <f>IFERROR(__xludf.DUMMYFUNCTION("""COMPUTED_VALUE"""),2477.0)</f>
        <v>2477</v>
      </c>
      <c r="E433" s="5" t="str">
        <f>IFERROR(__xludf.DUMMYFUNCTION("""COMPUTED_VALUE"""),"EG01-EG02-EG03-EG04-EG05-EG06")</f>
        <v>EG01-EG02-EG03-EG04-EG05-EG06</v>
      </c>
      <c r="F433" s="5" t="str">
        <f>IFERROR(__xludf.DUMMYFUNCTION("""COMPUTED_VALUE"""),"maryamabogourab98@gmail.com")</f>
        <v>maryamabogourab98@gmail.com</v>
      </c>
      <c r="G433" s="5" t="str">
        <f>IFERROR(__xludf.DUMMYFUNCTION("""COMPUTED_VALUE"""),"01024705051")</f>
        <v>01024705051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tr">
        <f>IFERROR(__xludf.DUMMYFUNCTION("""COMPUTED_VALUE"""),"شيماء جابر")</f>
        <v>شيماء جابر</v>
      </c>
      <c r="B434" s="5">
        <f>IFERROR(__xludf.DUMMYFUNCTION("""COMPUTED_VALUE"""),6.19178602629E11)</f>
        <v>619178602629</v>
      </c>
      <c r="C434" s="5" t="str">
        <f>IFERROR(__xludf.DUMMYFUNCTION("""COMPUTED_VALUE"""),"شيماء جابر")</f>
        <v>شيماء جابر</v>
      </c>
      <c r="D434" s="5">
        <f>IFERROR(__xludf.DUMMYFUNCTION("""COMPUTED_VALUE"""),2470.0)</f>
        <v>2470</v>
      </c>
      <c r="E434" s="5" t="str">
        <f>IFERROR(__xludf.DUMMYFUNCTION("""COMPUTED_VALUE"""),"EG07-EG08-EG09")</f>
        <v>EG07-EG08-EG09</v>
      </c>
      <c r="F434" s="5" t="str">
        <f>IFERROR(__xludf.DUMMYFUNCTION("""COMPUTED_VALUE"""),"shaymaagaber.sg@gmail.com")</f>
        <v>shaymaagaber.sg@gmail.com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tr">
        <f>IFERROR(__xludf.DUMMYFUNCTION("""COMPUTED_VALUE"""),"دينا رضوان")</f>
        <v>دينا رضوان</v>
      </c>
      <c r="B435" s="5">
        <f>IFERROR(__xludf.DUMMYFUNCTION("""COMPUTED_VALUE"""),5.90135797239E11)</f>
        <v>590135797239</v>
      </c>
      <c r="C435" s="5" t="str">
        <f>IFERROR(__xludf.DUMMYFUNCTION("""COMPUTED_VALUE"""),"دينا رضوان")</f>
        <v>دينا رضوان</v>
      </c>
      <c r="D435" s="5">
        <f>IFERROR(__xludf.DUMMYFUNCTION("""COMPUTED_VALUE"""),2447.0)</f>
        <v>2447</v>
      </c>
      <c r="E435" s="5" t="str">
        <f>IFERROR(__xludf.DUMMYFUNCTION("""COMPUTED_VALUE"""),"EG01-EG02-EG03-EG04-EG05")</f>
        <v>EG01-EG02-EG03-EG04-EG05</v>
      </c>
      <c r="F435" s="5" t="str">
        <f>IFERROR(__xludf.DUMMYFUNCTION("""COMPUTED_VALUE"""),"dinaradwan109@gmail.com")</f>
        <v>dinaradwan109@gmail.com</v>
      </c>
      <c r="G435" s="5" t="str">
        <f>IFERROR(__xludf.DUMMYFUNCTION("""COMPUTED_VALUE"""),"01144211463")</f>
        <v>01144211463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tr">
        <f>IFERROR(__xludf.DUMMYFUNCTION("""COMPUTED_VALUE"""),"أميرة رمضان")</f>
        <v>أميرة رمضان</v>
      </c>
      <c r="B436" s="5">
        <f>IFERROR(__xludf.DUMMYFUNCTION("""COMPUTED_VALUE"""),1.82137368351E11)</f>
        <v>182137368351</v>
      </c>
      <c r="C436" s="5" t="str">
        <f>IFERROR(__xludf.DUMMYFUNCTION("""COMPUTED_VALUE"""),"أميرة رمضان")</f>
        <v>أميرة رمضان</v>
      </c>
      <c r="D436" s="5">
        <f>IFERROR(__xludf.DUMMYFUNCTION("""COMPUTED_VALUE"""),2462.0)</f>
        <v>2462</v>
      </c>
      <c r="E436" s="5" t="str">
        <f>IFERROR(__xludf.DUMMYFUNCTION("""COMPUTED_VALUE"""),"EG03-EG04-EG05-EG06-EG07")</f>
        <v>EG03-EG04-EG05-EG06-EG07</v>
      </c>
      <c r="F436" s="5" t="str">
        <f>IFERROR(__xludf.DUMMYFUNCTION("""COMPUTED_VALUE"""),"meramera192333@gmail.com")</f>
        <v>meramera192333@gmail.com</v>
      </c>
      <c r="G436" s="5" t="str">
        <f>IFERROR(__xludf.DUMMYFUNCTION("""COMPUTED_VALUE"""),"01123054991")</f>
        <v>01123054991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tr">
        <f>IFERROR(__xludf.DUMMYFUNCTION("""COMPUTED_VALUE"""),"أسماء قاسم")</f>
        <v>أسماء قاسم</v>
      </c>
      <c r="B437" s="5">
        <f>IFERROR(__xludf.DUMMYFUNCTION("""COMPUTED_VALUE"""),1.83129070275E11)</f>
        <v>183129070275</v>
      </c>
      <c r="C437" s="5" t="str">
        <f>IFERROR(__xludf.DUMMYFUNCTION("""COMPUTED_VALUE"""),"أسماء قاسم")</f>
        <v>أسماء قاسم</v>
      </c>
      <c r="D437" s="5">
        <f>IFERROR(__xludf.DUMMYFUNCTION("""COMPUTED_VALUE"""),2458.0)</f>
        <v>2458</v>
      </c>
      <c r="E437" s="5" t="str">
        <f>IFERROR(__xludf.DUMMYFUNCTION("""COMPUTED_VALUE"""),"EG01-EG02-EG03")</f>
        <v>EG01-EG02-EG03</v>
      </c>
      <c r="F437" s="5" t="str">
        <f>IFERROR(__xludf.DUMMYFUNCTION("""COMPUTED_VALUE"""),"asmaakasem25@hotmail.com")</f>
        <v>asmaakasem25@hotmail.com</v>
      </c>
      <c r="G437" s="5" t="str">
        <f>IFERROR(__xludf.DUMMYFUNCTION("""COMPUTED_VALUE"""),"01100109067")</f>
        <v>01100109067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tr">
        <f>IFERROR(__xludf.DUMMYFUNCTION("""COMPUTED_VALUE"""),"إيناس أحمد")</f>
        <v>إيناس أحمد</v>
      </c>
      <c r="B438" s="5">
        <f>IFERROR(__xludf.DUMMYFUNCTION("""COMPUTED_VALUE"""),2.65124381798E11)</f>
        <v>265124381798</v>
      </c>
      <c r="C438" s="5" t="str">
        <f>IFERROR(__xludf.DUMMYFUNCTION("""COMPUTED_VALUE"""),"إيناس أحمد")</f>
        <v>إيناس أحمد</v>
      </c>
      <c r="D438" s="5">
        <f>IFERROR(__xludf.DUMMYFUNCTION("""COMPUTED_VALUE"""),2474.0)</f>
        <v>2474</v>
      </c>
      <c r="E438" s="5" t="str">
        <f>IFERROR(__xludf.DUMMYFUNCTION("""COMPUTED_VALUE"""),"EG01-EG02-EG03-EG04-EG05-EG06-EG07")</f>
        <v>EG01-EG02-EG03-EG04-EG05-EG06-EG07</v>
      </c>
      <c r="F438" s="5" t="str">
        <f>IFERROR(__xludf.DUMMYFUNCTION("""COMPUTED_VALUE"""),"enahany4@gmail.com")</f>
        <v>enahany4@gmail.com</v>
      </c>
      <c r="G438" s="5" t="str">
        <f>IFERROR(__xludf.DUMMYFUNCTION("""COMPUTED_VALUE"""),"01096788156")</f>
        <v>01096788156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tr">
        <f>IFERROR(__xludf.DUMMYFUNCTION("""COMPUTED_VALUE"""),"أحمد جودة")</f>
        <v>أحمد جودة</v>
      </c>
      <c r="B439" s="5">
        <f>IFERROR(__xludf.DUMMYFUNCTION("""COMPUTED_VALUE"""),6.43134674754E11)</f>
        <v>643134674754</v>
      </c>
      <c r="C439" s="5" t="str">
        <f>IFERROR(__xludf.DUMMYFUNCTION("""COMPUTED_VALUE"""),"أحمد جودة")</f>
        <v>أحمد جودة</v>
      </c>
      <c r="D439" s="5">
        <f>IFERROR(__xludf.DUMMYFUNCTION("""COMPUTED_VALUE"""),2475.0)</f>
        <v>2475</v>
      </c>
      <c r="E439" s="5" t="str">
        <f>IFERROR(__xludf.DUMMYFUNCTION("""COMPUTED_VALUE"""),"EG04-EG05-EG06")</f>
        <v>EG04-EG05-EG06</v>
      </c>
      <c r="F439" s="5" t="str">
        <f>IFERROR(__xludf.DUMMYFUNCTION("""COMPUTED_VALUE"""),"ahmedgoda712@gmail.com")</f>
        <v>ahmedgoda712@gmail.com</v>
      </c>
      <c r="G439" s="5" t="str">
        <f>IFERROR(__xludf.DUMMYFUNCTION("""COMPUTED_VALUE"""),"01212265381")</f>
        <v>01212265381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tr">
        <f>IFERROR(__xludf.DUMMYFUNCTION("""COMPUTED_VALUE"""),"عمرو الشريف")</f>
        <v>عمرو الشريف</v>
      </c>
      <c r="B440" s="5">
        <f>IFERROR(__xludf.DUMMYFUNCTION("""COMPUTED_VALUE"""),5.20172853627E11)</f>
        <v>520172853627</v>
      </c>
      <c r="C440" s="5" t="str">
        <f>IFERROR(__xludf.DUMMYFUNCTION("""COMPUTED_VALUE"""),"عمرو الشريف")</f>
        <v>عمرو الشريف</v>
      </c>
      <c r="D440" s="5">
        <f>IFERROR(__xludf.DUMMYFUNCTION("""COMPUTED_VALUE"""),2466.0)</f>
        <v>2466</v>
      </c>
      <c r="E440" s="5" t="str">
        <f>IFERROR(__xludf.DUMMYFUNCTION("""COMPUTED_VALUE"""),"EG04-EG05-EG06-EG07")</f>
        <v>EG04-EG05-EG06-EG07</v>
      </c>
      <c r="F440" s="5" t="str">
        <f>IFERROR(__xludf.DUMMYFUNCTION("""COMPUTED_VALUE"""),"amrgamalhamdi@gmail.com")</f>
        <v>amrgamalhamdi@gmail.com</v>
      </c>
      <c r="G440" s="5" t="str">
        <f>IFERROR(__xludf.DUMMYFUNCTION("""COMPUTED_VALUE"""),"01060743606")</f>
        <v>01060743606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tr">
        <f>IFERROR(__xludf.DUMMYFUNCTION("""COMPUTED_VALUE"""),"فاطمة لبيب")</f>
        <v>فاطمة لبيب</v>
      </c>
      <c r="B441" s="5">
        <f>IFERROR(__xludf.DUMMYFUNCTION("""COMPUTED_VALUE"""),3.74143640395E11)</f>
        <v>374143640395</v>
      </c>
      <c r="C441" s="5" t="str">
        <f>IFERROR(__xludf.DUMMYFUNCTION("""COMPUTED_VALUE"""),"فاطمة لبيب")</f>
        <v>فاطمة لبيب</v>
      </c>
      <c r="D441" s="5">
        <f>IFERROR(__xludf.DUMMYFUNCTION("""COMPUTED_VALUE"""),2473.0)</f>
        <v>2473</v>
      </c>
      <c r="E441" s="5" t="str">
        <f>IFERROR(__xludf.DUMMYFUNCTION("""COMPUTED_VALUE"""),"EG01-EG02-EG03-EG04-EG05-EG06")</f>
        <v>EG01-EG02-EG03-EG04-EG05-EG06</v>
      </c>
      <c r="F441" s="5" t="str">
        <f>IFERROR(__xludf.DUMMYFUNCTION("""COMPUTED_VALUE"""),"fatmalabib041@gmail.com")</f>
        <v>fatmalabib041@gmail.com</v>
      </c>
      <c r="G441" s="5" t="str">
        <f>IFERROR(__xludf.DUMMYFUNCTION("""COMPUTED_VALUE"""),"01019758284")</f>
        <v>01019758284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 t="str">
        <f>IFERROR(__xludf.DUMMYFUNCTION("""COMPUTED_VALUE"""),"أحمد علوي")</f>
        <v>أحمد علوي</v>
      </c>
      <c r="B442" s="5">
        <f>IFERROR(__xludf.DUMMYFUNCTION("""COMPUTED_VALUE"""),1.84134281752E11)</f>
        <v>184134281752</v>
      </c>
      <c r="C442" s="5" t="str">
        <f>IFERROR(__xludf.DUMMYFUNCTION("""COMPUTED_VALUE"""),"أحمد علوي")</f>
        <v>أحمد علوي</v>
      </c>
      <c r="D442" s="5">
        <f>IFERROR(__xludf.DUMMYFUNCTION("""COMPUTED_VALUE"""),2418.0)</f>
        <v>2418</v>
      </c>
      <c r="E442" s="5" t="str">
        <f>IFERROR(__xludf.DUMMYFUNCTION("""COMPUTED_VALUE"""),"EG07-EG08-EG09")</f>
        <v>EG07-EG08-EG09</v>
      </c>
      <c r="F442" s="5" t="str">
        <f>IFERROR(__xludf.DUMMYFUNCTION("""COMPUTED_VALUE"""),"ahmedolwy1973@gmail.com")</f>
        <v>ahmedolwy1973@gmail.com</v>
      </c>
      <c r="G442" s="5" t="str">
        <f>IFERROR(__xludf.DUMMYFUNCTION("""COMPUTED_VALUE"""),"01099194027")</f>
        <v>01099194027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tr">
        <f>IFERROR(__xludf.DUMMYFUNCTION("""COMPUTED_VALUE"""),"محمد فهمي")</f>
        <v>محمد فهمي</v>
      </c>
      <c r="B443" s="5">
        <f>IFERROR(__xludf.DUMMYFUNCTION("""COMPUTED_VALUE"""),7.18123675934E11)</f>
        <v>718123675934</v>
      </c>
      <c r="C443" s="5" t="str">
        <f>IFERROR(__xludf.DUMMYFUNCTION("""COMPUTED_VALUE"""),"محمد فهمي")</f>
        <v>محمد فهمي</v>
      </c>
      <c r="D443" s="5">
        <f>IFERROR(__xludf.DUMMYFUNCTION("""COMPUTED_VALUE"""),2449.0)</f>
        <v>2449</v>
      </c>
      <c r="E443" s="5" t="str">
        <f>IFERROR(__xludf.DUMMYFUNCTION("""COMPUTED_VALUE"""),"EG07-EG08-EG09")</f>
        <v>EG07-EG08-EG09</v>
      </c>
      <c r="F443" s="5" t="str">
        <f>IFERROR(__xludf.DUMMYFUNCTION("""COMPUTED_VALUE"""),"mohamed.fahmy0190@gmail.com")</f>
        <v>mohamed.fahmy0190@gmail.com</v>
      </c>
      <c r="G443" s="5" t="str">
        <f>IFERROR(__xludf.DUMMYFUNCTION("""COMPUTED_VALUE"""),"01110995621")</f>
        <v>01110995621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tr">
        <f>IFERROR(__xludf.DUMMYFUNCTION("""COMPUTED_VALUE"""),"فاطمة الزهراء حسين")</f>
        <v>فاطمة الزهراء حسين</v>
      </c>
      <c r="B444" s="5">
        <f>IFERROR(__xludf.DUMMYFUNCTION("""COMPUTED_VALUE"""),4.98189587153E11)</f>
        <v>498189587153</v>
      </c>
      <c r="C444" s="5" t="str">
        <f>IFERROR(__xludf.DUMMYFUNCTION("""COMPUTED_VALUE"""),"فاطمة الزهراء حسين")</f>
        <v>فاطمة الزهراء حسين</v>
      </c>
      <c r="D444" s="5">
        <f>IFERROR(__xludf.DUMMYFUNCTION("""COMPUTED_VALUE"""),2450.0)</f>
        <v>2450</v>
      </c>
      <c r="E444" s="5" t="str">
        <f>IFERROR(__xludf.DUMMYFUNCTION("""COMPUTED_VALUE"""),"EG04-EG05-EG06")</f>
        <v>EG04-EG05-EG06</v>
      </c>
      <c r="F444" s="5" t="str">
        <f>IFERROR(__xludf.DUMMYFUNCTION("""COMPUTED_VALUE"""),"samarana2654@gmail.com")</f>
        <v>samarana2654@gmail.com</v>
      </c>
      <c r="G444" s="5" t="str">
        <f>IFERROR(__xludf.DUMMYFUNCTION("""COMPUTED_VALUE"""),"01225233745")</f>
        <v>01225233745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tr">
        <f>IFERROR(__xludf.DUMMYFUNCTION("""COMPUTED_VALUE"""),"محمد توفيق")</f>
        <v>محمد توفيق</v>
      </c>
      <c r="B445" s="5">
        <f>IFERROR(__xludf.DUMMYFUNCTION("""COMPUTED_VALUE"""),7.4216490696E11)</f>
        <v>742164906960</v>
      </c>
      <c r="C445" s="5" t="str">
        <f>IFERROR(__xludf.DUMMYFUNCTION("""COMPUTED_VALUE"""),"محمد توفيق")</f>
        <v>محمد توفيق</v>
      </c>
      <c r="D445" s="5">
        <f>IFERROR(__xludf.DUMMYFUNCTION("""COMPUTED_VALUE"""),2051.0)</f>
        <v>2051</v>
      </c>
      <c r="E445" s="5"/>
      <c r="F445" s="5" t="str">
        <f>IFERROR(__xludf.DUMMYFUNCTION("""COMPUTED_VALUE"""),"mohammedtawfik1974@gmail.com")</f>
        <v>mohammedtawfik1974@gmail.com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tr">
        <f>IFERROR(__xludf.DUMMYFUNCTION("""COMPUTED_VALUE"""),"عبد الرحمن ربيع")</f>
        <v>عبد الرحمن ربيع</v>
      </c>
      <c r="B446" s="5">
        <f>IFERROR(__xludf.DUMMYFUNCTION("""COMPUTED_VALUE"""),7.96147347235E11)</f>
        <v>796147347235</v>
      </c>
      <c r="C446" s="5" t="str">
        <f>IFERROR(__xludf.DUMMYFUNCTION("""COMPUTED_VALUE"""),"عبد الرحمن ربيع")</f>
        <v>عبد الرحمن ربيع</v>
      </c>
      <c r="D446" s="5">
        <f>IFERROR(__xludf.DUMMYFUNCTION("""COMPUTED_VALUE"""),2457.0)</f>
        <v>2457</v>
      </c>
      <c r="E446" s="5" t="str">
        <f>IFERROR(__xludf.DUMMYFUNCTION("""COMPUTED_VALUE"""),"EG07-EG08-EG09")</f>
        <v>EG07-EG08-EG09</v>
      </c>
      <c r="F446" s="5" t="str">
        <f>IFERROR(__xludf.DUMMYFUNCTION("""COMPUTED_VALUE"""),"rabiea1222@gmail.com")</f>
        <v>rabiea1222@gmail.com</v>
      </c>
      <c r="G446" s="5" t="str">
        <f>IFERROR(__xludf.DUMMYFUNCTION("""COMPUTED_VALUE"""),"01095228365")</f>
        <v>01095228365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tr">
        <f>IFERROR(__xludf.DUMMYFUNCTION("""COMPUTED_VALUE"""),"أنطون ألبرت")</f>
        <v>أنطون ألبرت</v>
      </c>
      <c r="B447" s="5">
        <f>IFERROR(__xludf.DUMMYFUNCTION("""COMPUTED_VALUE"""),5.12161969162E11)</f>
        <v>512161969162</v>
      </c>
      <c r="C447" s="5" t="str">
        <f>IFERROR(__xludf.DUMMYFUNCTION("""COMPUTED_VALUE"""),"أنطون ألبرت")</f>
        <v>أنطون ألبرت</v>
      </c>
      <c r="D447" s="5">
        <f>IFERROR(__xludf.DUMMYFUNCTION("""COMPUTED_VALUE"""),2053.0)</f>
        <v>2053</v>
      </c>
      <c r="E447" s="5"/>
      <c r="F447" s="5" t="str">
        <f>IFERROR(__xludf.DUMMYFUNCTION("""COMPUTED_VALUE"""),"tonyalbert433@gmail.com")</f>
        <v>tonyalbert433@gmail.com</v>
      </c>
      <c r="G447" s="5" t="str">
        <f>IFERROR(__xludf.DUMMYFUNCTION("""COMPUTED_VALUE"""),"01220525771")</f>
        <v>01220525771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tr">
        <f>IFERROR(__xludf.DUMMYFUNCTION("""COMPUTED_VALUE"""),"شيرين محمد")</f>
        <v>شيرين محمد</v>
      </c>
      <c r="B448" s="5">
        <f>IFERROR(__xludf.DUMMYFUNCTION("""COMPUTED_VALUE"""),5.7410952596E11)</f>
        <v>574109525960</v>
      </c>
      <c r="C448" s="5" t="str">
        <f>IFERROR(__xludf.DUMMYFUNCTION("""COMPUTED_VALUE"""),"شيرين محمد")</f>
        <v>شيرين محمد</v>
      </c>
      <c r="D448" s="5">
        <f>IFERROR(__xludf.DUMMYFUNCTION("""COMPUTED_VALUE"""),2471.0)</f>
        <v>2471</v>
      </c>
      <c r="E448" s="5" t="str">
        <f>IFERROR(__xludf.DUMMYFUNCTION("""COMPUTED_VALUE"""),"EG04-EG05-EG06-EG07-EG08-EG09")</f>
        <v>EG04-EG05-EG06-EG07-EG08-EG09</v>
      </c>
      <c r="F448" s="5" t="str">
        <f>IFERROR(__xludf.DUMMYFUNCTION("""COMPUTED_VALUE"""),"sherin.mohamed.hafez@gmail.com")</f>
        <v>sherin.mohamed.hafez@gmail.com</v>
      </c>
      <c r="G448" s="5" t="str">
        <f>IFERROR(__xludf.DUMMYFUNCTION("""COMPUTED_VALUE"""),"01017179234")</f>
        <v>01017179234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tr">
        <f>IFERROR(__xludf.DUMMYFUNCTION("""COMPUTED_VALUE"""),"عبد المقصود حسن")</f>
        <v>عبد المقصود حسن</v>
      </c>
      <c r="B449" s="5">
        <f>IFERROR(__xludf.DUMMYFUNCTION("""COMPUTED_VALUE"""),8.72145824294E11)</f>
        <v>872145824294</v>
      </c>
      <c r="C449" s="5" t="str">
        <f>IFERROR(__xludf.DUMMYFUNCTION("""COMPUTED_VALUE"""),"عبد المقصود حسن")</f>
        <v>عبد المقصود حسن</v>
      </c>
      <c r="D449" s="5">
        <f>IFERROR(__xludf.DUMMYFUNCTION("""COMPUTED_VALUE"""),2464.0)</f>
        <v>2464</v>
      </c>
      <c r="E449" s="5" t="str">
        <f>IFERROR(__xludf.DUMMYFUNCTION("""COMPUTED_VALUE"""),"EG09-EG10-EG11")</f>
        <v>EG09-EG10-EG11</v>
      </c>
      <c r="F449" s="5" t="str">
        <f>IFERROR(__xludf.DUMMYFUNCTION("""COMPUTED_VALUE"""),"memomaksoood@gmail.com")</f>
        <v>memomaksoood@gmail.com</v>
      </c>
      <c r="G449" s="5" t="str">
        <f>IFERROR(__xludf.DUMMYFUNCTION("""COMPUTED_VALUE"""),"01272280157")</f>
        <v>01272280157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tr">
        <f>IFERROR(__xludf.DUMMYFUNCTION("""COMPUTED_VALUE"""),"يوستينا ويدي")</f>
        <v>يوستينا ويدي</v>
      </c>
      <c r="B450" s="5">
        <f>IFERROR(__xludf.DUMMYFUNCTION("""COMPUTED_VALUE"""),8.68184721354E11)</f>
        <v>868184721354</v>
      </c>
      <c r="C450" s="5" t="str">
        <f>IFERROR(__xludf.DUMMYFUNCTION("""COMPUTED_VALUE"""),"يوستينا ويدي")</f>
        <v>يوستينا ويدي</v>
      </c>
      <c r="D450" s="5">
        <f>IFERROR(__xludf.DUMMYFUNCTION("""COMPUTED_VALUE"""),2480.0)</f>
        <v>2480</v>
      </c>
      <c r="E450" s="5" t="str">
        <f>IFERROR(__xludf.DUMMYFUNCTION("""COMPUTED_VALUE"""),"EG04-EG05-EG06")</f>
        <v>EG04-EG05-EG06</v>
      </c>
      <c r="F450" s="5" t="str">
        <f>IFERROR(__xludf.DUMMYFUNCTION("""COMPUTED_VALUE"""),"youstina.waide123@gmail.com")</f>
        <v>youstina.waide123@gmail.com</v>
      </c>
      <c r="G450" s="5" t="str">
        <f>IFERROR(__xludf.DUMMYFUNCTION("""COMPUTED_VALUE"""),"01273882464")</f>
        <v>01273882464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tr">
        <f>IFERROR(__xludf.DUMMYFUNCTION("""COMPUTED_VALUE"""),"ريهام الطويل")</f>
        <v>ريهام الطويل</v>
      </c>
      <c r="B451" s="5">
        <f>IFERROR(__xludf.DUMMYFUNCTION("""COMPUTED_VALUE"""),9.69151976052E11)</f>
        <v>969151976052</v>
      </c>
      <c r="C451" s="5" t="str">
        <f>IFERROR(__xludf.DUMMYFUNCTION("""COMPUTED_VALUE"""),"ريهام الطويل")</f>
        <v>ريهام الطويل</v>
      </c>
      <c r="D451" s="5">
        <f>IFERROR(__xludf.DUMMYFUNCTION("""COMPUTED_VALUE"""),2468.0)</f>
        <v>2468</v>
      </c>
      <c r="E451" s="5" t="str">
        <f>IFERROR(__xludf.DUMMYFUNCTION("""COMPUTED_VALUE"""),"EG04-EG05-EG06")</f>
        <v>EG04-EG05-EG06</v>
      </c>
      <c r="F451" s="5" t="str">
        <f>IFERROR(__xludf.DUMMYFUNCTION("""COMPUTED_VALUE"""),"rihameltawil91@gmail.com")</f>
        <v>rihameltawil91@gmail.com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tr">
        <f>IFERROR(__xludf.DUMMYFUNCTION("""COMPUTED_VALUE"""),"أبو الصفا إسماعيل")</f>
        <v>أبو الصفا إسماعيل</v>
      </c>
      <c r="B452" s="5">
        <f>IFERROR(__xludf.DUMMYFUNCTION("""COMPUTED_VALUE"""),7.24157458293E11)</f>
        <v>724157458293</v>
      </c>
      <c r="C452" s="5" t="str">
        <f>IFERROR(__xludf.DUMMYFUNCTION("""COMPUTED_VALUE"""),"أبو الصفا إسماعيل")</f>
        <v>أبو الصفا إسماعيل</v>
      </c>
      <c r="D452" s="5">
        <f>IFERROR(__xludf.DUMMYFUNCTION("""COMPUTED_VALUE"""),2460.0)</f>
        <v>2460</v>
      </c>
      <c r="E452" s="5" t="str">
        <f>IFERROR(__xludf.DUMMYFUNCTION("""COMPUTED_VALUE"""),"EG07-EG08-EG09-EG10-EG11")</f>
        <v>EG07-EG08-EG09-EG10-EG11</v>
      </c>
      <c r="F452" s="5" t="str">
        <f>IFERROR(__xludf.DUMMYFUNCTION("""COMPUTED_VALUE"""),"safogo73@gmail.com")</f>
        <v>safogo73@gmail.com</v>
      </c>
      <c r="G452" s="5" t="str">
        <f>IFERROR(__xludf.DUMMYFUNCTION("""COMPUTED_VALUE"""),"01006339089")</f>
        <v>01006339089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tr">
        <f>IFERROR(__xludf.DUMMYFUNCTION("""COMPUTED_VALUE"""),"شيماء ماجد")</f>
        <v>شيماء ماجد</v>
      </c>
      <c r="B453" s="5">
        <f>IFERROR(__xludf.DUMMYFUNCTION("""COMPUTED_VALUE"""),9.83140839457E11)</f>
        <v>983140839457</v>
      </c>
      <c r="C453" s="5" t="str">
        <f>IFERROR(__xludf.DUMMYFUNCTION("""COMPUTED_VALUE"""),"شيماء ماجد")</f>
        <v>شيماء ماجد</v>
      </c>
      <c r="D453" s="5">
        <f>IFERROR(__xludf.DUMMYFUNCTION("""COMPUTED_VALUE"""),2482.0)</f>
        <v>2482</v>
      </c>
      <c r="E453" s="5" t="str">
        <f>IFERROR(__xludf.DUMMYFUNCTION("""COMPUTED_VALUE"""),"EG07-EG08-EG09")</f>
        <v>EG07-EG08-EG09</v>
      </c>
      <c r="F453" s="5" t="str">
        <f>IFERROR(__xludf.DUMMYFUNCTION("""COMPUTED_VALUE"""),"shimaamaged436@gmail.com")</f>
        <v>shimaamaged436@gmail.com</v>
      </c>
      <c r="G453" s="5" t="str">
        <f>IFERROR(__xludf.DUMMYFUNCTION("""COMPUTED_VALUE"""),"01271024461")</f>
        <v>01271024461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tr">
        <f>IFERROR(__xludf.DUMMYFUNCTION("""COMPUTED_VALUE"""),"إسراء مبارك")</f>
        <v>إسراء مبارك</v>
      </c>
      <c r="B454" s="5">
        <f>IFERROR(__xludf.DUMMYFUNCTION("""COMPUTED_VALUE"""),5.10131201316E11)</f>
        <v>510131201316</v>
      </c>
      <c r="C454" s="5" t="str">
        <f>IFERROR(__xludf.DUMMYFUNCTION("""COMPUTED_VALUE"""),"إسراء مبارك")</f>
        <v>إسراء مبارك</v>
      </c>
      <c r="D454" s="5"/>
      <c r="E454" s="5" t="str">
        <f>IFERROR(__xludf.DUMMYFUNCTION("""COMPUTED_VALUE"""),"EG04-EG05-EG06-EG07")</f>
        <v>EG04-EG05-EG06-EG07</v>
      </c>
      <c r="F454" s="5" t="str">
        <f>IFERROR(__xludf.DUMMYFUNCTION("""COMPUTED_VALUE"""),"essay.soo1996@gmail.com")</f>
        <v>essay.soo1996@gmail.com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tr">
        <f>IFERROR(__xludf.DUMMYFUNCTION("""COMPUTED_VALUE"""),"أحمد شعبان")</f>
        <v>أحمد شعبان</v>
      </c>
      <c r="B455" s="5">
        <f>IFERROR(__xludf.DUMMYFUNCTION("""COMPUTED_VALUE"""),9.87156102178E11)</f>
        <v>987156102178</v>
      </c>
      <c r="C455" s="5" t="str">
        <f>IFERROR(__xludf.DUMMYFUNCTION("""COMPUTED_VALUE"""),"أحمد شعبان")</f>
        <v>أحمد شعبان</v>
      </c>
      <c r="D455" s="5">
        <f>IFERROR(__xludf.DUMMYFUNCTION("""COMPUTED_VALUE"""),2481.0)</f>
        <v>2481</v>
      </c>
      <c r="E455" s="5" t="str">
        <f>IFERROR(__xludf.DUMMYFUNCTION("""COMPUTED_VALUE"""),"EG07-EG08-EG09-EG10-EG11-EG12")</f>
        <v>EG07-EG08-EG09-EG10-EG11-EG12</v>
      </c>
      <c r="F455" s="5" t="str">
        <f>IFERROR(__xludf.DUMMYFUNCTION("""COMPUTED_VALUE"""),"ahmedsakr1975@gmail.com")</f>
        <v>ahmedsakr1975@gmail.com</v>
      </c>
      <c r="G455" s="5" t="str">
        <f>IFERROR(__xludf.DUMMYFUNCTION("""COMPUTED_VALUE"""),"01118411148")</f>
        <v>01118411148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tr">
        <f>IFERROR(__xludf.DUMMYFUNCTION("""COMPUTED_VALUE"""),"عمرو حسين")</f>
        <v>عمرو حسين</v>
      </c>
      <c r="B456" s="5">
        <f>IFERROR(__xludf.DUMMYFUNCTION("""COMPUTED_VALUE"""),2.13182140457E11)</f>
        <v>213182140457</v>
      </c>
      <c r="C456" s="5" t="str">
        <f>IFERROR(__xludf.DUMMYFUNCTION("""COMPUTED_VALUE"""),"عمرو حسين")</f>
        <v>عمرو حسين</v>
      </c>
      <c r="D456" s="5">
        <f>IFERROR(__xludf.DUMMYFUNCTION("""COMPUTED_VALUE"""),2486.0)</f>
        <v>2486</v>
      </c>
      <c r="E456" s="5" t="str">
        <f>IFERROR(__xludf.DUMMYFUNCTION("""COMPUTED_VALUE"""),"EG07-EG08-EG09-EG10-EG11-EG12")</f>
        <v>EG07-EG08-EG09-EG10-EG11-EG12</v>
      </c>
      <c r="F456" s="5" t="str">
        <f>IFERROR(__xludf.DUMMYFUNCTION("""COMPUTED_VALUE"""),"amrhussien14@gmail.com")</f>
        <v>amrhussien14@gmail.com</v>
      </c>
      <c r="G456" s="5" t="str">
        <f>IFERROR(__xludf.DUMMYFUNCTION("""COMPUTED_VALUE"""),"01095433048")</f>
        <v>01095433048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tr">
        <f>IFERROR(__xludf.DUMMYFUNCTION("""COMPUTED_VALUE"""),"رامز باسيلي")</f>
        <v>رامز باسيلي</v>
      </c>
      <c r="B457" s="5">
        <f>IFERROR(__xludf.DUMMYFUNCTION("""COMPUTED_VALUE"""),7.07135059424E11)</f>
        <v>707135059424</v>
      </c>
      <c r="C457" s="5" t="str">
        <f>IFERROR(__xludf.DUMMYFUNCTION("""COMPUTED_VALUE"""),"رامز باسيلي")</f>
        <v>رامز باسيلي</v>
      </c>
      <c r="D457" s="5">
        <f>IFERROR(__xludf.DUMMYFUNCTION("""COMPUTED_VALUE"""),2497.0)</f>
        <v>2497</v>
      </c>
      <c r="E457" s="5" t="str">
        <f>IFERROR(__xludf.DUMMYFUNCTION("""COMPUTED_VALUE"""),"EG07-EG08-EG09-EG10-EG11-EG12")</f>
        <v>EG07-EG08-EG09-EG10-EG11-EG12</v>
      </c>
      <c r="F457" s="5" t="str">
        <f>IFERROR(__xludf.DUMMYFUNCTION("""COMPUTED_VALUE"""),"rzsa33@gmail.com")</f>
        <v>rzsa33@gmail.com</v>
      </c>
      <c r="G457" s="5" t="str">
        <f>IFERROR(__xludf.DUMMYFUNCTION("""COMPUTED_VALUE"""),"01228046146")</f>
        <v>01228046146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tr">
        <f>IFERROR(__xludf.DUMMYFUNCTION("""COMPUTED_VALUE"""),"أميرة عبد العزيز")</f>
        <v>أميرة عبد العزيز</v>
      </c>
      <c r="B458" s="5">
        <f>IFERROR(__xludf.DUMMYFUNCTION("""COMPUTED_VALUE"""),9.25193924973E11)</f>
        <v>925193924973</v>
      </c>
      <c r="C458" s="5" t="str">
        <f>IFERROR(__xludf.DUMMYFUNCTION("""COMPUTED_VALUE"""),"أميرة عبد العزيز")</f>
        <v>أميرة عبد العزيز</v>
      </c>
      <c r="D458" s="5">
        <f>IFERROR(__xludf.DUMMYFUNCTION("""COMPUTED_VALUE"""),2487.0)</f>
        <v>2487</v>
      </c>
      <c r="E458" s="5" t="str">
        <f>IFERROR(__xludf.DUMMYFUNCTION("""COMPUTED_VALUE"""),"EG01-EG02-EG03")</f>
        <v>EG01-EG02-EG03</v>
      </c>
      <c r="F458" s="5" t="str">
        <f>IFERROR(__xludf.DUMMYFUNCTION("""COMPUTED_VALUE"""),"amira.galal60@yahoo.com")</f>
        <v>amira.galal60@yahoo.com</v>
      </c>
      <c r="G458" s="5" t="str">
        <f>IFERROR(__xludf.DUMMYFUNCTION("""COMPUTED_VALUE"""),"01013983718")</f>
        <v>01013983718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tr">
        <f>IFERROR(__xludf.DUMMYFUNCTION("""COMPUTED_VALUE"""),"منى صلاح")</f>
        <v>منى صلاح</v>
      </c>
      <c r="B459" s="5">
        <f>IFERROR(__xludf.DUMMYFUNCTION("""COMPUTED_VALUE"""),4.58171934281E11)</f>
        <v>458171934281</v>
      </c>
      <c r="C459" s="5" t="str">
        <f>IFERROR(__xludf.DUMMYFUNCTION("""COMPUTED_VALUE"""),"منى صلاح")</f>
        <v>منى صلاح</v>
      </c>
      <c r="D459" s="5">
        <f>IFERROR(__xludf.DUMMYFUNCTION("""COMPUTED_VALUE"""),2472.0)</f>
        <v>2472</v>
      </c>
      <c r="E459" s="5" t="str">
        <f>IFERROR(__xludf.DUMMYFUNCTION("""COMPUTED_VALUE"""),"EG04-EG05-EG06-EG07-EG08-EG09")</f>
        <v>EG04-EG05-EG06-EG07-EG08-EG09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tr">
        <f>IFERROR(__xludf.DUMMYFUNCTION("""COMPUTED_VALUE"""),"شيماء حسين فهمي")</f>
        <v>شيماء حسين فهمي</v>
      </c>
      <c r="B460" s="5">
        <f>IFERROR(__xludf.DUMMYFUNCTION("""COMPUTED_VALUE"""),5.73149872824E11)</f>
        <v>573149872824</v>
      </c>
      <c r="C460" s="5" t="str">
        <f>IFERROR(__xludf.DUMMYFUNCTION("""COMPUTED_VALUE"""),"شيماء حسين فهمي")</f>
        <v>شيماء حسين فهمي</v>
      </c>
      <c r="D460" s="5">
        <f>IFERROR(__xludf.DUMMYFUNCTION("""COMPUTED_VALUE"""),2491.0)</f>
        <v>2491</v>
      </c>
      <c r="E460" s="5" t="str">
        <f>IFERROR(__xludf.DUMMYFUNCTION("""COMPUTED_VALUE"""),"EG01-EG02-EG03")</f>
        <v>EG01-EG02-EG03</v>
      </c>
      <c r="F460" s="5" t="str">
        <f>IFERROR(__xludf.DUMMYFUNCTION("""COMPUTED_VALUE"""),"shimaahussain2@gmail.com")</f>
        <v>shimaahussain2@gmail.com</v>
      </c>
      <c r="G460" s="5" t="str">
        <f>IFERROR(__xludf.DUMMYFUNCTION("""COMPUTED_VALUE"""),"01016634509")</f>
        <v>01016634509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tr">
        <f>IFERROR(__xludf.DUMMYFUNCTION("""COMPUTED_VALUE"""),"عبد الرحمن أشرف")</f>
        <v>عبد الرحمن أشرف</v>
      </c>
      <c r="B461" s="5">
        <f>IFERROR(__xludf.DUMMYFUNCTION("""COMPUTED_VALUE"""),8.27159763903E11)</f>
        <v>827159763903</v>
      </c>
      <c r="C461" s="5" t="str">
        <f>IFERROR(__xludf.DUMMYFUNCTION("""COMPUTED_VALUE"""),"عبد الرحمن أشرف")</f>
        <v>عبد الرحمن أشرف</v>
      </c>
      <c r="D461" s="5">
        <f>IFERROR(__xludf.DUMMYFUNCTION("""COMPUTED_VALUE"""),2488.0)</f>
        <v>2488</v>
      </c>
      <c r="E461" s="5" t="str">
        <f>IFERROR(__xludf.DUMMYFUNCTION("""COMPUTED_VALUE"""),"EG04-EG05-EG06-EG07")</f>
        <v>EG04-EG05-EG06-EG07</v>
      </c>
      <c r="F461" s="5" t="str">
        <f>IFERROR(__xludf.DUMMYFUNCTION("""COMPUTED_VALUE"""),"abdo11ashraf99@gmail.com")</f>
        <v>abdo11ashraf99@gmail.com</v>
      </c>
      <c r="G461" s="5" t="str">
        <f>IFERROR(__xludf.DUMMYFUNCTION("""COMPUTED_VALUE"""),"01025827201")</f>
        <v>01025827201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tr">
        <f>IFERROR(__xludf.DUMMYFUNCTION("""COMPUTED_VALUE"""),"دينا إسماعيل")</f>
        <v>دينا إسماعيل</v>
      </c>
      <c r="B462" s="5">
        <f>IFERROR(__xludf.DUMMYFUNCTION("""COMPUTED_VALUE"""),4.72132150306E11)</f>
        <v>472132150306</v>
      </c>
      <c r="C462" s="5" t="str">
        <f>IFERROR(__xludf.DUMMYFUNCTION("""COMPUTED_VALUE"""),"دينا إسماعيل")</f>
        <v>دينا إسماعيل</v>
      </c>
      <c r="D462" s="5">
        <f>IFERROR(__xludf.DUMMYFUNCTION("""COMPUTED_VALUE"""),2485.0)</f>
        <v>2485</v>
      </c>
      <c r="E462" s="5" t="str">
        <f>IFERROR(__xludf.DUMMYFUNCTION("""COMPUTED_VALUE"""),"EG04-EG05-EG06-EG07-EG08-EG09")</f>
        <v>EG04-EG05-EG06-EG07-EG08-EG09</v>
      </c>
      <c r="F462" s="5" t="str">
        <f>IFERROR(__xludf.DUMMYFUNCTION("""COMPUTED_VALUE"""),"dinaadel9623@gmail.com")</f>
        <v>dinaadel9623@gmail.com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tr">
        <f>IFERROR(__xludf.DUMMYFUNCTION("""COMPUTED_VALUE"""),"رنا البدري")</f>
        <v>رنا البدري</v>
      </c>
      <c r="B463" s="5">
        <f>IFERROR(__xludf.DUMMYFUNCTION("""COMPUTED_VALUE"""),8.03173848636E11)</f>
        <v>803173848636</v>
      </c>
      <c r="C463" s="5" t="str">
        <f>IFERROR(__xludf.DUMMYFUNCTION("""COMPUTED_VALUE"""),"رنا البدري")</f>
        <v>رنا البدري</v>
      </c>
      <c r="D463" s="5">
        <f>IFERROR(__xludf.DUMMYFUNCTION("""COMPUTED_VALUE"""),2498.0)</f>
        <v>2498</v>
      </c>
      <c r="E463" s="5" t="str">
        <f>IFERROR(__xludf.DUMMYFUNCTION("""COMPUTED_VALUE"""),"EG04-EG05-EG06")</f>
        <v>EG04-EG05-EG06</v>
      </c>
      <c r="F463" s="5" t="str">
        <f>IFERROR(__xludf.DUMMYFUNCTION("""COMPUTED_VALUE"""),"ranaelbadry753@gmail.com")</f>
        <v>ranaelbadry753@gmail.com</v>
      </c>
      <c r="G463" s="5" t="str">
        <f>IFERROR(__xludf.DUMMYFUNCTION("""COMPUTED_VALUE"""),"01090632568")</f>
        <v>01090632568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tr">
        <f>IFERROR(__xludf.DUMMYFUNCTION("""COMPUTED_VALUE"""),"نسمة محمد")</f>
        <v>نسمة محمد</v>
      </c>
      <c r="B464" s="5">
        <f>IFERROR(__xludf.DUMMYFUNCTION("""COMPUTED_VALUE"""),4.3419624235E11)</f>
        <v>434196242350</v>
      </c>
      <c r="C464" s="5" t="str">
        <f>IFERROR(__xludf.DUMMYFUNCTION("""COMPUTED_VALUE"""),"نسمة محمد")</f>
        <v>نسمة محمد</v>
      </c>
      <c r="D464" s="5">
        <f>IFERROR(__xludf.DUMMYFUNCTION("""COMPUTED_VALUE"""),2478.0)</f>
        <v>2478</v>
      </c>
      <c r="E464" s="5" t="str">
        <f>IFERROR(__xludf.DUMMYFUNCTION("""COMPUTED_VALUE"""),"EG07-EG08-EG09")</f>
        <v>EG07-EG08-EG09</v>
      </c>
      <c r="F464" s="5" t="str">
        <f>IFERROR(__xludf.DUMMYFUNCTION("""COMPUTED_VALUE"""),"nm1238991@gmail.com")</f>
        <v>nm1238991@gmail.com</v>
      </c>
      <c r="G464" s="5" t="str">
        <f>IFERROR(__xludf.DUMMYFUNCTION("""COMPUTED_VALUE"""),"01069534013")</f>
        <v>01069534013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tr">
        <f>IFERROR(__xludf.DUMMYFUNCTION("""COMPUTED_VALUE"""),"شريف الرخاوي")</f>
        <v>شريف الرخاوي</v>
      </c>
      <c r="B465" s="5">
        <f>IFERROR(__xludf.DUMMYFUNCTION("""COMPUTED_VALUE"""),8.10152324716E11)</f>
        <v>810152324716</v>
      </c>
      <c r="C465" s="5" t="str">
        <f>IFERROR(__xludf.DUMMYFUNCTION("""COMPUTED_VALUE"""),"شريف الرخاوي")</f>
        <v>شريف الرخاوي</v>
      </c>
      <c r="D465" s="5"/>
      <c r="E465" s="5" t="str">
        <f>IFERROR(__xludf.DUMMYFUNCTION("""COMPUTED_VALUE"""),"EG10-EG11-G12")</f>
        <v>EG10-EG11-G12</v>
      </c>
      <c r="F465" s="5" t="str">
        <f>IFERROR(__xludf.DUMMYFUNCTION("""COMPUTED_VALUE"""),"sherif_khair45@hotmail.com")</f>
        <v>sherif_khair45@hotmail.com</v>
      </c>
      <c r="G465" s="5" t="str">
        <f>IFERROR(__xludf.DUMMYFUNCTION("""COMPUTED_VALUE"""),"01018483822")</f>
        <v>01018483822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 t="str">
        <f>IFERROR(__xludf.DUMMYFUNCTION("""COMPUTED_VALUE"""),"سارة جرجس")</f>
        <v>سارة جرجس</v>
      </c>
      <c r="B466" s="5">
        <f>IFERROR(__xludf.DUMMYFUNCTION("""COMPUTED_VALUE"""),5.98135839671E11)</f>
        <v>598135839671</v>
      </c>
      <c r="C466" s="5" t="str">
        <f>IFERROR(__xludf.DUMMYFUNCTION("""COMPUTED_VALUE"""),"سارة جرجس")</f>
        <v>سارة جرجس</v>
      </c>
      <c r="D466" s="5">
        <f>IFERROR(__xludf.DUMMYFUNCTION("""COMPUTED_VALUE"""),2493.0)</f>
        <v>2493</v>
      </c>
      <c r="E466" s="5" t="str">
        <f>IFERROR(__xludf.DUMMYFUNCTION("""COMPUTED_VALUE"""),"EG01-EG02-EG03-EG04-EG05")</f>
        <v>EG01-EG02-EG03-EG04-EG05</v>
      </c>
      <c r="F466" s="5" t="str">
        <f>IFERROR(__xludf.DUMMYFUNCTION("""COMPUTED_VALUE"""),"aueed.eteachers@gmail.com")</f>
        <v>aueed.eteachers@gmail.com</v>
      </c>
      <c r="G466" s="5" t="str">
        <f>IFERROR(__xludf.DUMMYFUNCTION("""COMPUTED_VALUE"""),"01270819064")</f>
        <v>01270819064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 t="str">
        <f>IFERROR(__xludf.DUMMYFUNCTION("""COMPUTED_VALUE"""),"إيمان سعداوي")</f>
        <v>إيمان سعداوي</v>
      </c>
      <c r="B467" s="5">
        <f>IFERROR(__xludf.DUMMYFUNCTION("""COMPUTED_VALUE"""),5.70172941064E11)</f>
        <v>570172941064</v>
      </c>
      <c r="C467" s="5" t="str">
        <f>IFERROR(__xludf.DUMMYFUNCTION("""COMPUTED_VALUE"""),"إيمان سعداوي")</f>
        <v>إيمان سعداوي</v>
      </c>
      <c r="D467" s="5">
        <f>IFERROR(__xludf.DUMMYFUNCTION("""COMPUTED_VALUE"""),2495.0)</f>
        <v>2495</v>
      </c>
      <c r="E467" s="5" t="str">
        <f>IFERROR(__xludf.DUMMYFUNCTION("""COMPUTED_VALUE"""),"EG05-EG06")</f>
        <v>EG05-EG06</v>
      </c>
      <c r="F467" s="5" t="str">
        <f>IFERROR(__xludf.DUMMYFUNCTION("""COMPUTED_VALUE"""),"emanseadawy22@gmail.com")</f>
        <v>emanseadawy22@gmail.com</v>
      </c>
      <c r="G467" s="5" t="str">
        <f>IFERROR(__xludf.DUMMYFUNCTION("""COMPUTED_VALUE"""),"01080328965")</f>
        <v>01080328965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tr">
        <f>IFERROR(__xludf.DUMMYFUNCTION("""COMPUTED_VALUE"""),"خالد غالي")</f>
        <v>خالد غالي</v>
      </c>
      <c r="B468" s="5">
        <f>IFERROR(__xludf.DUMMYFUNCTION("""COMPUTED_VALUE"""),7.25121824513E11)</f>
        <v>725121824513</v>
      </c>
      <c r="C468" s="5" t="str">
        <f>IFERROR(__xludf.DUMMYFUNCTION("""COMPUTED_VALUE"""),"خالد غالي")</f>
        <v>خالد غالي</v>
      </c>
      <c r="D468" s="5">
        <f>IFERROR(__xludf.DUMMYFUNCTION("""COMPUTED_VALUE"""),2510.0)</f>
        <v>2510</v>
      </c>
      <c r="E468" s="5" t="str">
        <f>IFERROR(__xludf.DUMMYFUNCTION("""COMPUTED_VALUE"""),"EG10-EG11-EG12")</f>
        <v>EG10-EG11-EG12</v>
      </c>
      <c r="F468" s="5" t="str">
        <f>IFERROR(__xludf.DUMMYFUNCTION("""COMPUTED_VALUE"""),"khaled.ghaly.acd@gmail.com")</f>
        <v>khaled.ghaly.acd@gmail.com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tr">
        <f>IFERROR(__xludf.DUMMYFUNCTION("""COMPUTED_VALUE"""),"أحمد عبد الونيس")</f>
        <v>أحمد عبد الونيس</v>
      </c>
      <c r="B469" s="5">
        <f>IFERROR(__xludf.DUMMYFUNCTION("""COMPUTED_VALUE"""),2.06148501987E11)</f>
        <v>206148501987</v>
      </c>
      <c r="C469" s="5" t="str">
        <f>IFERROR(__xludf.DUMMYFUNCTION("""COMPUTED_VALUE"""),"أحمد عبد الونيس")</f>
        <v>أحمد عبد الونيس</v>
      </c>
      <c r="D469" s="5">
        <f>IFERROR(__xludf.DUMMYFUNCTION("""COMPUTED_VALUE"""),2496.0)</f>
        <v>2496</v>
      </c>
      <c r="E469" s="5" t="str">
        <f>IFERROR(__xludf.DUMMYFUNCTION("""COMPUTED_VALUE"""),"EG07-EG08-EG09-EG10")</f>
        <v>EG07-EG08-EG09-EG10</v>
      </c>
      <c r="F469" s="5" t="str">
        <f>IFERROR(__xludf.DUMMYFUNCTION("""COMPUTED_VALUE"""),"aabdelwanis10@gmail.com")</f>
        <v>aabdelwanis10@gmail.com</v>
      </c>
      <c r="G469" s="5" t="str">
        <f>IFERROR(__xludf.DUMMYFUNCTION("""COMPUTED_VALUE"""),"01277938694")</f>
        <v>01277938694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tr">
        <f>IFERROR(__xludf.DUMMYFUNCTION("""COMPUTED_VALUE"""),"هدى عادل")</f>
        <v>هدى عادل</v>
      </c>
      <c r="B470" s="5">
        <f>IFERROR(__xludf.DUMMYFUNCTION("""COMPUTED_VALUE"""),6.09181324791E11)</f>
        <v>609181324791</v>
      </c>
      <c r="C470" s="5" t="str">
        <f>IFERROR(__xludf.DUMMYFUNCTION("""COMPUTED_VALUE"""),"هدى عادل")</f>
        <v>هدى عادل</v>
      </c>
      <c r="D470" s="5">
        <f>IFERROR(__xludf.DUMMYFUNCTION("""COMPUTED_VALUE"""),2512.0)</f>
        <v>2512</v>
      </c>
      <c r="E470" s="5" t="str">
        <f>IFERROR(__xludf.DUMMYFUNCTION("""COMPUTED_VALUE"""),"EG01-EG02-EG03")</f>
        <v>EG01-EG02-EG03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tr">
        <f>IFERROR(__xludf.DUMMYFUNCTION("""COMPUTED_VALUE"""),"حنان زيدان")</f>
        <v>حنان زيدان</v>
      </c>
      <c r="B471" s="5">
        <f>IFERROR(__xludf.DUMMYFUNCTION("""COMPUTED_VALUE"""),6.75158027827E11)</f>
        <v>675158027827</v>
      </c>
      <c r="C471" s="5" t="str">
        <f>IFERROR(__xludf.DUMMYFUNCTION("""COMPUTED_VALUE"""),"حنان زيدان")</f>
        <v>حنان زيدان</v>
      </c>
      <c r="D471" s="5">
        <f>IFERROR(__xludf.DUMMYFUNCTION("""COMPUTED_VALUE"""),2492.0)</f>
        <v>2492</v>
      </c>
      <c r="E471" s="5" t="str">
        <f>IFERROR(__xludf.DUMMYFUNCTION("""COMPUTED_VALUE"""),"EG07-EG08-EG09")</f>
        <v>EG07-EG08-EG09</v>
      </c>
      <c r="F471" s="5" t="str">
        <f>IFERROR(__xludf.DUMMYFUNCTION("""COMPUTED_VALUE"""),"zidanhanan106@gmail.com")</f>
        <v>zidanhanan106@gmail.com</v>
      </c>
      <c r="G471" s="5" t="str">
        <f>IFERROR(__xludf.DUMMYFUNCTION("""COMPUTED_VALUE"""),"01000832547")</f>
        <v>01000832547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tr">
        <f>IFERROR(__xludf.DUMMYFUNCTION("""COMPUTED_VALUE"""),"شيماء سيد")</f>
        <v>شيماء سيد</v>
      </c>
      <c r="B472" s="5">
        <f>IFERROR(__xludf.DUMMYFUNCTION("""COMPUTED_VALUE"""),2.13134791302E11)</f>
        <v>213134791302</v>
      </c>
      <c r="C472" s="5" t="str">
        <f>IFERROR(__xludf.DUMMYFUNCTION("""COMPUTED_VALUE"""),"شيماء سيد")</f>
        <v>شيماء سيد</v>
      </c>
      <c r="D472" s="5">
        <f>IFERROR(__xludf.DUMMYFUNCTION("""COMPUTED_VALUE"""),2511.0)</f>
        <v>2511</v>
      </c>
      <c r="E472" s="5" t="str">
        <f>IFERROR(__xludf.DUMMYFUNCTION("""COMPUTED_VALUE"""),"EG04-EG05-EG06-EG07-EG08-EG09")</f>
        <v>EG04-EG05-EG06-EG07-EG08-EG09</v>
      </c>
      <c r="F472" s="5" t="str">
        <f>IFERROR(__xludf.DUMMYFUNCTION("""COMPUTED_VALUE"""),"shimaasayed7796@gmail.com")</f>
        <v>shimaasayed7796@gmail.com</v>
      </c>
      <c r="G472" s="5" t="str">
        <f>IFERROR(__xludf.DUMMYFUNCTION("""COMPUTED_VALUE"""),"01014038811")</f>
        <v>01014038811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tr">
        <f>IFERROR(__xludf.DUMMYFUNCTION("""COMPUTED_VALUE"""),"آية حمدي")</f>
        <v>آية حمدي</v>
      </c>
      <c r="B473" s="5">
        <f>IFERROR(__xludf.DUMMYFUNCTION("""COMPUTED_VALUE"""),5.14130261047E11)</f>
        <v>514130261047</v>
      </c>
      <c r="C473" s="5" t="str">
        <f>IFERROR(__xludf.DUMMYFUNCTION("""COMPUTED_VALUE"""),"آية حمدي")</f>
        <v>آية حمدي</v>
      </c>
      <c r="D473" s="5">
        <f>IFERROR(__xludf.DUMMYFUNCTION("""COMPUTED_VALUE"""),2509.0)</f>
        <v>2509</v>
      </c>
      <c r="E473" s="5" t="str">
        <f>IFERROR(__xludf.DUMMYFUNCTION("""COMPUTED_VALUE"""),"EG04-EG05-EG06")</f>
        <v>EG04-EG05-EG06</v>
      </c>
      <c r="F473" s="5" t="str">
        <f>IFERROR(__xludf.DUMMYFUNCTION("""COMPUTED_VALUE"""),"aya.emara96@gmail.com")</f>
        <v>aya.emara96@gmail.com</v>
      </c>
      <c r="G473" s="5">
        <f>IFERROR(__xludf.DUMMYFUNCTION("""COMPUTED_VALUE"""),1.097953066E9)</f>
        <v>1097953066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tr">
        <f>IFERROR(__xludf.DUMMYFUNCTION("""COMPUTED_VALUE"""),"منة الله أشرف")</f>
        <v>منة الله أشرف</v>
      </c>
      <c r="B474" s="5">
        <f>IFERROR(__xludf.DUMMYFUNCTION("""COMPUTED_VALUE"""),3.19175494359E11)</f>
        <v>319175494359</v>
      </c>
      <c r="C474" s="5" t="str">
        <f>IFERROR(__xludf.DUMMYFUNCTION("""COMPUTED_VALUE"""),"منة الله أشرف")</f>
        <v>منة الله أشرف</v>
      </c>
      <c r="D474" s="5">
        <f>IFERROR(__xludf.DUMMYFUNCTION("""COMPUTED_VALUE"""),2476.0)</f>
        <v>2476</v>
      </c>
      <c r="E474" s="5" t="str">
        <f>IFERROR(__xludf.DUMMYFUNCTION("""COMPUTED_VALUE"""),"EG04-EG05")</f>
        <v>EG04-EG05</v>
      </c>
      <c r="F474" s="5" t="str">
        <f>IFERROR(__xludf.DUMMYFUNCTION("""COMPUTED_VALUE"""),"mennaashraf863@gmail.com")</f>
        <v>mennaashraf863@gmail.com</v>
      </c>
      <c r="G474" s="5" t="str">
        <f>IFERROR(__xludf.DUMMYFUNCTION("""COMPUTED_VALUE"""),"01222505132")</f>
        <v>01222505132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tr">
        <f>IFERROR(__xludf.DUMMYFUNCTION("""COMPUTED_VALUE"""),"عبد الهادي غز")</f>
        <v>عبد الهادي غز</v>
      </c>
      <c r="B475" s="5">
        <f>IFERROR(__xludf.DUMMYFUNCTION("""COMPUTED_VALUE"""),6.0714082684E11)</f>
        <v>607140826840</v>
      </c>
      <c r="C475" s="5" t="str">
        <f>IFERROR(__xludf.DUMMYFUNCTION("""COMPUTED_VALUE"""),"عبد الهادي غز")</f>
        <v>عبد الهادي غز</v>
      </c>
      <c r="D475" s="5">
        <f>IFERROR(__xludf.DUMMYFUNCTION("""COMPUTED_VALUE"""),2828.0)</f>
        <v>2828</v>
      </c>
      <c r="E475" s="5" t="str">
        <f>IFERROR(__xludf.DUMMYFUNCTION("""COMPUTED_VALUE"""),"EG07-EG08-EG09-EG10-EG11-EG12")</f>
        <v>EG07-EG08-EG09-EG10-EG11-EG12</v>
      </c>
      <c r="F475" s="5" t="str">
        <f>IFERROR(__xludf.DUMMYFUNCTION("""COMPUTED_VALUE"""),"abdelhadyghzz@yahoo.com")</f>
        <v>abdelhadyghzz@yahoo.com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tr">
        <f>IFERROR(__xludf.DUMMYFUNCTION("""COMPUTED_VALUE"""),"منال إبراهيم")</f>
        <v>منال إبراهيم</v>
      </c>
      <c r="B476" s="5">
        <f>IFERROR(__xludf.DUMMYFUNCTION("""COMPUTED_VALUE"""),9.74169434219E11)</f>
        <v>974169434219</v>
      </c>
      <c r="C476" s="5" t="str">
        <f>IFERROR(__xludf.DUMMYFUNCTION("""COMPUTED_VALUE"""),"منال إبراهيم")</f>
        <v>منال إبراهيم</v>
      </c>
      <c r="D476" s="5">
        <f>IFERROR(__xludf.DUMMYFUNCTION("""COMPUTED_VALUE"""),2448.0)</f>
        <v>2448</v>
      </c>
      <c r="E476" s="5" t="str">
        <f>IFERROR(__xludf.DUMMYFUNCTION("""COMPUTED_VALUE"""),"EG01-EG02-EG03")</f>
        <v>EG01-EG02-EG03</v>
      </c>
      <c r="F476" s="5" t="str">
        <f>IFERROR(__xludf.DUMMYFUNCTION("""COMPUTED_VALUE"""),"manalabdelnaby10@gmail.com")</f>
        <v>manalabdelnaby10@gmail.com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tr">
        <f>IFERROR(__xludf.DUMMYFUNCTION("""COMPUTED_VALUE"""),"مها الكردي")</f>
        <v>مها الكردي</v>
      </c>
      <c r="B477" s="5">
        <f>IFERROR(__xludf.DUMMYFUNCTION("""COMPUTED_VALUE"""),4.13139051352E11)</f>
        <v>413139051352</v>
      </c>
      <c r="C477" s="5" t="str">
        <f>IFERROR(__xludf.DUMMYFUNCTION("""COMPUTED_VALUE"""),"مها الكردي")</f>
        <v>مها الكردي</v>
      </c>
      <c r="D477" s="5">
        <f>IFERROR(__xludf.DUMMYFUNCTION("""COMPUTED_VALUE"""),2506.0)</f>
        <v>2506</v>
      </c>
      <c r="E477" s="5" t="str">
        <f>IFERROR(__xludf.DUMMYFUNCTION("""COMPUTED_VALUE"""),"EG04-EG05-EG06")</f>
        <v>EG04-EG05-EG06</v>
      </c>
      <c r="F477" s="5" t="str">
        <f>IFERROR(__xludf.DUMMYFUNCTION("""COMPUTED_VALUE"""),"mahaelhamzay@gmail.com")</f>
        <v>mahaelhamzay@gmail.com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tr">
        <f>IFERROR(__xludf.DUMMYFUNCTION("""COMPUTED_VALUE"""),"مصطفى محمود")</f>
        <v>مصطفى محمود</v>
      </c>
      <c r="B478" s="5">
        <f>IFERROR(__xludf.DUMMYFUNCTION("""COMPUTED_VALUE"""),3.48197264895E11)</f>
        <v>348197264895</v>
      </c>
      <c r="C478" s="5" t="str">
        <f>IFERROR(__xludf.DUMMYFUNCTION("""COMPUTED_VALUE"""),"مصطفى محمود")</f>
        <v>مصطفى محمود</v>
      </c>
      <c r="D478" s="5">
        <f>IFERROR(__xludf.DUMMYFUNCTION("""COMPUTED_VALUE"""),2434.0)</f>
        <v>2434</v>
      </c>
      <c r="E478" s="5" t="str">
        <f>IFERROR(__xludf.DUMMYFUNCTION("""COMPUTED_VALUE"""),"EG04-EG05-EG06")</f>
        <v>EG04-EG05-EG06</v>
      </c>
      <c r="F478" s="5" t="str">
        <f>IFERROR(__xludf.DUMMYFUNCTION("""COMPUTED_VALUE"""),"mustaphahistory@gmail.com")</f>
        <v>mustaphahistory@gmail.com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tr">
        <f>IFERROR(__xludf.DUMMYFUNCTION("""COMPUTED_VALUE"""),"كيرلس بطرس")</f>
        <v>كيرلس بطرس</v>
      </c>
      <c r="B479" s="5">
        <f>IFERROR(__xludf.DUMMYFUNCTION("""COMPUTED_VALUE"""),8.94178098602E11)</f>
        <v>894178098602</v>
      </c>
      <c r="C479" s="5" t="str">
        <f>IFERROR(__xludf.DUMMYFUNCTION("""COMPUTED_VALUE"""),"كيرلس بطرس")</f>
        <v>كيرلس بطرس</v>
      </c>
      <c r="D479" s="5">
        <f>IFERROR(__xludf.DUMMYFUNCTION("""COMPUTED_VALUE"""),2529.0)</f>
        <v>2529</v>
      </c>
      <c r="E479" s="5" t="str">
        <f>IFERROR(__xludf.DUMMYFUNCTION("""COMPUTED_VALUE"""),"EG04-EG05-EG06")</f>
        <v>EG04-EG05-EG06</v>
      </c>
      <c r="F479" s="5" t="str">
        <f>IFERROR(__xludf.DUMMYFUNCTION("""COMPUTED_VALUE"""),"kirolosbotrosrizk@gmail.com")</f>
        <v>kirolosbotrosrizk@gmail.com</v>
      </c>
      <c r="G479" s="5" t="str">
        <f>IFERROR(__xludf.DUMMYFUNCTION("""COMPUTED_VALUE"""),"01212650406")</f>
        <v>01212650406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tr">
        <f>IFERROR(__xludf.DUMMYFUNCTION("""COMPUTED_VALUE"""),"بسمة مرسي")</f>
        <v>بسمة مرسي</v>
      </c>
      <c r="B480" s="5">
        <f>IFERROR(__xludf.DUMMYFUNCTION("""COMPUTED_VALUE"""),3.89178162973E11)</f>
        <v>389178162973</v>
      </c>
      <c r="C480" s="5" t="str">
        <f>IFERROR(__xludf.DUMMYFUNCTION("""COMPUTED_VALUE"""),"بسمة مرسي")</f>
        <v>بسمة مرسي</v>
      </c>
      <c r="D480" s="5">
        <f>IFERROR(__xludf.DUMMYFUNCTION("""COMPUTED_VALUE"""),2528.0)</f>
        <v>2528</v>
      </c>
      <c r="E480" s="5" t="str">
        <f>IFERROR(__xludf.DUMMYFUNCTION("""COMPUTED_VALUE"""),"EG04-EG05")</f>
        <v>EG04-EG05</v>
      </c>
      <c r="F480" s="5" t="str">
        <f>IFERROR(__xludf.DUMMYFUNCTION("""COMPUTED_VALUE"""),"cute.pospos@gmail.com")</f>
        <v>cute.pospos@gmail.com</v>
      </c>
      <c r="G480" s="5" t="str">
        <f>IFERROR(__xludf.DUMMYFUNCTION("""COMPUTED_VALUE"""),"01142388120")</f>
        <v>01142388120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tr">
        <f>IFERROR(__xludf.DUMMYFUNCTION("""COMPUTED_VALUE"""),"بسمة سعيد")</f>
        <v>بسمة سعيد</v>
      </c>
      <c r="B481" s="5">
        <f>IFERROR(__xludf.DUMMYFUNCTION("""COMPUTED_VALUE"""),5.2614826298E11)</f>
        <v>526148262980</v>
      </c>
      <c r="C481" s="5" t="str">
        <f>IFERROR(__xludf.DUMMYFUNCTION("""COMPUTED_VALUE"""),"بسمة سعيد")</f>
        <v>بسمة سعيد</v>
      </c>
      <c r="D481" s="5">
        <f>IFERROR(__xludf.DUMMYFUNCTION("""COMPUTED_VALUE"""),2526.0)</f>
        <v>2526</v>
      </c>
      <c r="E481" s="5" t="str">
        <f>IFERROR(__xludf.DUMMYFUNCTION("""COMPUTED_VALUE"""),"EG04-EG05-EG06")</f>
        <v>EG04-EG05-EG06</v>
      </c>
      <c r="F481" s="5" t="str">
        <f>IFERROR(__xludf.DUMMYFUNCTION("""COMPUTED_VALUE"""),"basmasaeed2714@gmail.com")</f>
        <v>basmasaeed2714@gmail.com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tr">
        <f>IFERROR(__xludf.DUMMYFUNCTION("""COMPUTED_VALUE"""),"حسام الدين الزغبي")</f>
        <v>حسام الدين الزغبي</v>
      </c>
      <c r="B482" s="5">
        <f>IFERROR(__xludf.DUMMYFUNCTION("""COMPUTED_VALUE"""),1.86169282803E11)</f>
        <v>186169282803</v>
      </c>
      <c r="C482" s="5" t="str">
        <f>IFERROR(__xludf.DUMMYFUNCTION("""COMPUTED_VALUE"""),"حسام الدين الزغبي")</f>
        <v>حسام الدين الزغبي</v>
      </c>
      <c r="D482" s="5">
        <f>IFERROR(__xludf.DUMMYFUNCTION("""COMPUTED_VALUE"""),2044.0)</f>
        <v>2044</v>
      </c>
      <c r="E482" s="5" t="str">
        <f>IFERROR(__xludf.DUMMYFUNCTION("""COMPUTED_VALUE"""),"EG07-EG08-EG09")</f>
        <v>EG07-EG08-EG09</v>
      </c>
      <c r="F482" s="5" t="str">
        <f>IFERROR(__xludf.DUMMYFUNCTION("""COMPUTED_VALUE"""),"hossammath@yahoo.com")</f>
        <v>hossammath@yahoo.com</v>
      </c>
      <c r="G482" s="5" t="str">
        <f>IFERROR(__xludf.DUMMYFUNCTION("""COMPUTED_VALUE"""),"01006233576")</f>
        <v>01006233576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tr">
        <f>IFERROR(__xludf.DUMMYFUNCTION("""COMPUTED_VALUE"""),"مي الهمشري")</f>
        <v>مي الهمشري</v>
      </c>
      <c r="B483" s="5">
        <f>IFERROR(__xludf.DUMMYFUNCTION("""COMPUTED_VALUE"""),7.03149308423E11)</f>
        <v>703149308423</v>
      </c>
      <c r="C483" s="5" t="str">
        <f>IFERROR(__xludf.DUMMYFUNCTION("""COMPUTED_VALUE"""),"مي الهمشري")</f>
        <v>مي الهمشري</v>
      </c>
      <c r="D483" s="5">
        <f>IFERROR(__xludf.DUMMYFUNCTION("""COMPUTED_VALUE"""),2535.0)</f>
        <v>2535</v>
      </c>
      <c r="E483" s="5" t="str">
        <f>IFERROR(__xludf.DUMMYFUNCTION("""COMPUTED_VALUE"""),"EG04-EG05-EG06")</f>
        <v>EG04-EG05-EG06</v>
      </c>
      <c r="F483" s="5" t="str">
        <f>IFERROR(__xludf.DUMMYFUNCTION("""COMPUTED_VALUE"""),"may.elhamshary18@gmail.com")</f>
        <v>may.elhamshary18@gmail.com</v>
      </c>
      <c r="G483" s="5" t="str">
        <f>IFERROR(__xludf.DUMMYFUNCTION("""COMPUTED_VALUE"""),"01098180108")</f>
        <v>01098180108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tr">
        <f>IFERROR(__xludf.DUMMYFUNCTION("""COMPUTED_VALUE"""),"عادل الحلفاوي")</f>
        <v>عادل الحلفاوي</v>
      </c>
      <c r="B484" s="5">
        <f>IFERROR(__xludf.DUMMYFUNCTION("""COMPUTED_VALUE"""),2.58162458472E11)</f>
        <v>258162458472</v>
      </c>
      <c r="C484" s="5" t="str">
        <f>IFERROR(__xludf.DUMMYFUNCTION("""COMPUTED_VALUE"""),"عادل الحلفاوي")</f>
        <v>عادل الحلفاوي</v>
      </c>
      <c r="D484" s="5">
        <f>IFERROR(__xludf.DUMMYFUNCTION("""COMPUTED_VALUE"""),2541.0)</f>
        <v>2541</v>
      </c>
      <c r="E484" s="5" t="str">
        <f>IFERROR(__xludf.DUMMYFUNCTION("""COMPUTED_VALUE"""),"EG04-EG05-EG06-EG07")</f>
        <v>EG04-EG05-EG06-EG07</v>
      </c>
      <c r="F484" s="5" t="str">
        <f>IFERROR(__xludf.DUMMYFUNCTION("""COMPUTED_VALUE"""),"adelhalfawytea@gmail.com")</f>
        <v>adelhalfawytea@gmail.com</v>
      </c>
      <c r="G484" s="5" t="str">
        <f>IFERROR(__xludf.DUMMYFUNCTION("""COMPUTED_VALUE"""),"01026332686")</f>
        <v>01026332686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tr">
        <f>IFERROR(__xludf.DUMMYFUNCTION("""COMPUTED_VALUE"""),"عبد الله سامي")</f>
        <v>عبد الله سامي</v>
      </c>
      <c r="B485" s="5">
        <f>IFERROR(__xludf.DUMMYFUNCTION("""COMPUTED_VALUE"""),8.19179164789E11)</f>
        <v>819179164789</v>
      </c>
      <c r="C485" s="5" t="str">
        <f>IFERROR(__xludf.DUMMYFUNCTION("""COMPUTED_VALUE"""),"عبد الله سامي")</f>
        <v>عبد الله سامي</v>
      </c>
      <c r="D485" s="5">
        <f>IFERROR(__xludf.DUMMYFUNCTION("""COMPUTED_VALUE"""),2527.0)</f>
        <v>2527</v>
      </c>
      <c r="E485" s="5" t="str">
        <f>IFERROR(__xludf.DUMMYFUNCTION("""COMPUTED_VALUE"""),"EG07-EG08-EG09")</f>
        <v>EG07-EG08-EG09</v>
      </c>
      <c r="F485" s="5" t="str">
        <f>IFERROR(__xludf.DUMMYFUNCTION("""COMPUTED_VALUE"""),"bsamy3661@gmail.com")</f>
        <v>bsamy3661@gmail.com</v>
      </c>
      <c r="G485" s="5" t="str">
        <f>IFERROR(__xludf.DUMMYFUNCTION("""COMPUTED_VALUE"""),"01022651019")</f>
        <v>01022651019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tr">
        <f>IFERROR(__xludf.DUMMYFUNCTION("""COMPUTED_VALUE"""),"حسام قنديل")</f>
        <v>حسام قنديل</v>
      </c>
      <c r="B486" s="5">
        <f>IFERROR(__xludf.DUMMYFUNCTION("""COMPUTED_VALUE"""),4.07189748903E11)</f>
        <v>407189748903</v>
      </c>
      <c r="C486" s="5" t="str">
        <f>IFERROR(__xludf.DUMMYFUNCTION("""COMPUTED_VALUE"""),"حسام قنديل")</f>
        <v>حسام قنديل</v>
      </c>
      <c r="D486" s="5">
        <f>IFERROR(__xludf.DUMMYFUNCTION("""COMPUTED_VALUE"""),2544.0)</f>
        <v>2544</v>
      </c>
      <c r="E486" s="5" t="str">
        <f>IFERROR(__xludf.DUMMYFUNCTION("""COMPUTED_VALUE"""),"EG04-EG05-EG06-EG07-EG08-EG09")</f>
        <v>EG04-EG05-EG06-EG07-EG08-EG09</v>
      </c>
      <c r="F486" s="5" t="str">
        <f>IFERROR(__xludf.DUMMYFUNCTION("""COMPUTED_VALUE"""),"hossam.kandel70@gmail.com")</f>
        <v>hossam.kandel70@gmail.com</v>
      </c>
      <c r="G486" s="5" t="str">
        <f>IFERROR(__xludf.DUMMYFUNCTION("""COMPUTED_VALUE"""),"01227304602")</f>
        <v>01227304602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tr">
        <f>IFERROR(__xludf.DUMMYFUNCTION("""COMPUTED_VALUE"""),"إيمان حسن")</f>
        <v>إيمان حسن</v>
      </c>
      <c r="B487" s="5">
        <f>IFERROR(__xludf.DUMMYFUNCTION("""COMPUTED_VALUE"""),2.04103586289E11)</f>
        <v>204103586289</v>
      </c>
      <c r="C487" s="5" t="str">
        <f>IFERROR(__xludf.DUMMYFUNCTION("""COMPUTED_VALUE"""),"إيمان حسن")</f>
        <v>إيمان حسن</v>
      </c>
      <c r="D487" s="5">
        <f>IFERROR(__xludf.DUMMYFUNCTION("""COMPUTED_VALUE"""),2550.0)</f>
        <v>2550</v>
      </c>
      <c r="E487" s="5" t="str">
        <f>IFERROR(__xludf.DUMMYFUNCTION("""COMPUTED_VALUE"""),"EG03-EG04-EG05-EG06")</f>
        <v>EG03-EG04-EG05-EG06</v>
      </c>
      <c r="F487" s="5" t="str">
        <f>IFERROR(__xludf.DUMMYFUNCTION("""COMPUTED_VALUE"""),"eh718010@gmail.com")</f>
        <v>eh718010@gmail.com</v>
      </c>
      <c r="G487" s="5" t="str">
        <f>IFERROR(__xludf.DUMMYFUNCTION("""COMPUTED_VALUE"""),"01011118294")</f>
        <v>01011118294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tr">
        <f>IFERROR(__xludf.DUMMYFUNCTION("""COMPUTED_VALUE"""),"عمر جمعة")</f>
        <v>عمر جمعة</v>
      </c>
      <c r="B488" s="5">
        <f>IFERROR(__xludf.DUMMYFUNCTION("""COMPUTED_VALUE"""),8.95145269153E11)</f>
        <v>895145269153</v>
      </c>
      <c r="C488" s="5" t="str">
        <f>IFERROR(__xludf.DUMMYFUNCTION("""COMPUTED_VALUE"""),"عمر جمعة")</f>
        <v>عمر جمعة</v>
      </c>
      <c r="D488" s="5">
        <f>IFERROR(__xludf.DUMMYFUNCTION("""COMPUTED_VALUE"""),2534.0)</f>
        <v>2534</v>
      </c>
      <c r="E488" s="5" t="str">
        <f>IFERROR(__xludf.DUMMYFUNCTION("""COMPUTED_VALUE"""),"EG04-EG05-EG06")</f>
        <v>EG04-EG05-EG06</v>
      </c>
      <c r="F488" s="5" t="str">
        <f>IFERROR(__xludf.DUMMYFUNCTION("""COMPUTED_VALUE"""),"ogomaa57@gmail.com")</f>
        <v>ogomaa57@gmail.com</v>
      </c>
      <c r="G488" s="5" t="str">
        <f>IFERROR(__xludf.DUMMYFUNCTION("""COMPUTED_VALUE"""),"01002637904")</f>
        <v>01002637904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tr">
        <f>IFERROR(__xludf.DUMMYFUNCTION("""COMPUTED_VALUE"""),"نيرة إسماعيل")</f>
        <v>نيرة إسماعيل</v>
      </c>
      <c r="B489" s="5">
        <f>IFERROR(__xludf.DUMMYFUNCTION("""COMPUTED_VALUE"""),1.89136923623E11)</f>
        <v>189136923623</v>
      </c>
      <c r="C489" s="5" t="str">
        <f>IFERROR(__xludf.DUMMYFUNCTION("""COMPUTED_VALUE"""),"نيرة إسماعيل")</f>
        <v>نيرة إسماعيل</v>
      </c>
      <c r="D489" s="5">
        <f>IFERROR(__xludf.DUMMYFUNCTION("""COMPUTED_VALUE"""),2542.0)</f>
        <v>2542</v>
      </c>
      <c r="E489" s="5" t="str">
        <f>IFERROR(__xludf.DUMMYFUNCTION("""COMPUTED_VALUE"""),"EG04-EG05-EG06")</f>
        <v>EG04-EG05-EG06</v>
      </c>
      <c r="F489" s="5" t="str">
        <f>IFERROR(__xludf.DUMMYFUNCTION("""COMPUTED_VALUE"""),"nayeraismailm@gmail.com")</f>
        <v>nayeraismailm@gmail.com</v>
      </c>
      <c r="G489" s="5" t="str">
        <f>IFERROR(__xludf.DUMMYFUNCTION("""COMPUTED_VALUE"""),"01022608292")</f>
        <v>01022608292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tr">
        <f>IFERROR(__xludf.DUMMYFUNCTION("""COMPUTED_VALUE"""),"كارولين إسحاق")</f>
        <v>كارولين إسحاق</v>
      </c>
      <c r="B490" s="5">
        <f>IFERROR(__xludf.DUMMYFUNCTION("""COMPUTED_VALUE"""),6.53189026206E11)</f>
        <v>653189026206</v>
      </c>
      <c r="C490" s="5" t="str">
        <f>IFERROR(__xludf.DUMMYFUNCTION("""COMPUTED_VALUE"""),"كارولين إسحاق")</f>
        <v>كارولين إسحاق</v>
      </c>
      <c r="D490" s="5">
        <f>IFERROR(__xludf.DUMMYFUNCTION("""COMPUTED_VALUE"""),2521.0)</f>
        <v>2521</v>
      </c>
      <c r="E490" s="5" t="str">
        <f>IFERROR(__xludf.DUMMYFUNCTION("""COMPUTED_VALUE"""),"EG04-EG05-EG06")</f>
        <v>EG04-EG05-EG06</v>
      </c>
      <c r="F490" s="5" t="str">
        <f>IFERROR(__xludf.DUMMYFUNCTION("""COMPUTED_VALUE"""),"carolineezak250@gmail.com")</f>
        <v>carolineezak250@gmail.com</v>
      </c>
      <c r="G490" s="5" t="str">
        <f>IFERROR(__xludf.DUMMYFUNCTION("""COMPUTED_VALUE"""),"01200451640")</f>
        <v>01200451640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tr">
        <f>IFERROR(__xludf.DUMMYFUNCTION("""COMPUTED_VALUE"""),"محمود جلال")</f>
        <v>محمود جلال</v>
      </c>
      <c r="B491" s="5">
        <f>IFERROR(__xludf.DUMMYFUNCTION("""COMPUTED_VALUE"""),4.03198357923E11)</f>
        <v>403198357923</v>
      </c>
      <c r="C491" s="5" t="str">
        <f>IFERROR(__xludf.DUMMYFUNCTION("""COMPUTED_VALUE"""),"محمود جلال")</f>
        <v>محمود جلال</v>
      </c>
      <c r="D491" s="5">
        <f>IFERROR(__xludf.DUMMYFUNCTION("""COMPUTED_VALUE"""),2516.0)</f>
        <v>2516</v>
      </c>
      <c r="E491" s="5" t="str">
        <f>IFERROR(__xludf.DUMMYFUNCTION("""COMPUTED_VALUE"""),"EG07-EG08-EG09")</f>
        <v>EG07-EG08-EG09</v>
      </c>
      <c r="F491" s="5" t="str">
        <f>IFERROR(__xludf.DUMMYFUNCTION("""COMPUTED_VALUE"""),"galalgalal185@gmail.com")</f>
        <v>galalgalal185@gmail.com</v>
      </c>
      <c r="G491" s="5" t="str">
        <f>IFERROR(__xludf.DUMMYFUNCTION("""COMPUTED_VALUE"""),"01006486535")</f>
        <v>01006486535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tr">
        <f>IFERROR(__xludf.DUMMYFUNCTION("""COMPUTED_VALUE"""),"سارة صبري")</f>
        <v>سارة صبري</v>
      </c>
      <c r="B492" s="5">
        <f>IFERROR(__xludf.DUMMYFUNCTION("""COMPUTED_VALUE"""),3.40126030476E11)</f>
        <v>340126030476</v>
      </c>
      <c r="C492" s="5" t="str">
        <f>IFERROR(__xludf.DUMMYFUNCTION("""COMPUTED_VALUE"""),"سارة صبري")</f>
        <v>سارة صبري</v>
      </c>
      <c r="D492" s="5">
        <f>IFERROR(__xludf.DUMMYFUNCTION("""COMPUTED_VALUE"""),2483.0)</f>
        <v>2483</v>
      </c>
      <c r="E492" s="5" t="str">
        <f>IFERROR(__xludf.DUMMYFUNCTION("""COMPUTED_VALUE"""),"EG04-EG05-EG06-EG07-EG08-EG09")</f>
        <v>EG04-EG05-EG06-EG07-EG08-EG09</v>
      </c>
      <c r="F492" s="5" t="str">
        <f>IFERROR(__xludf.DUMMYFUNCTION("""COMPUTED_VALUE"""),"sarasabry32@yahoo.com")</f>
        <v>sarasabry32@yahoo.com</v>
      </c>
      <c r="G492" s="5" t="str">
        <f>IFERROR(__xludf.DUMMYFUNCTION("""COMPUTED_VALUE"""),"+201024181225")</f>
        <v>+201024181225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tr">
        <f>IFERROR(__xludf.DUMMYFUNCTION("""COMPUTED_VALUE"""),"محمد شعبان")</f>
        <v>محمد شعبان</v>
      </c>
      <c r="B493" s="5">
        <f>IFERROR(__xludf.DUMMYFUNCTION("""COMPUTED_VALUE"""),2.03175727593E11)</f>
        <v>203175727593</v>
      </c>
      <c r="C493" s="5" t="str">
        <f>IFERROR(__xludf.DUMMYFUNCTION("""COMPUTED_VALUE"""),"محمد شعبان")</f>
        <v>محمد شعبان</v>
      </c>
      <c r="D493" s="5">
        <f>IFERROR(__xludf.DUMMYFUNCTION("""COMPUTED_VALUE"""),2626.0)</f>
        <v>2626</v>
      </c>
      <c r="E493" s="5" t="str">
        <f>IFERROR(__xludf.DUMMYFUNCTION("""COMPUTED_VALUE"""),"EG04-EG05-EG06")</f>
        <v>EG04-EG05-EG06</v>
      </c>
      <c r="F493" s="5" t="str">
        <f>IFERROR(__xludf.DUMMYFUNCTION("""COMPUTED_VALUE"""),"ms3455672@gmail.com")</f>
        <v>ms3455672@gmail.com</v>
      </c>
      <c r="G493" s="5" t="str">
        <f>IFERROR(__xludf.DUMMYFUNCTION("""COMPUTED_VALUE"""),"01068974535")</f>
        <v>01068974535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tr">
        <f>IFERROR(__xludf.DUMMYFUNCTION("""COMPUTED_VALUE"""),"سمية محمد")</f>
        <v>سمية محمد</v>
      </c>
      <c r="B494" s="5">
        <f>IFERROR(__xludf.DUMMYFUNCTION("""COMPUTED_VALUE"""),1.42195036319E11)</f>
        <v>142195036319</v>
      </c>
      <c r="C494" s="5" t="str">
        <f>IFERROR(__xludf.DUMMYFUNCTION("""COMPUTED_VALUE"""),"سمية محمد")</f>
        <v>سمية محمد</v>
      </c>
      <c r="D494" s="5">
        <f>IFERROR(__xludf.DUMMYFUNCTION("""COMPUTED_VALUE"""),2445.0)</f>
        <v>2445</v>
      </c>
      <c r="E494" s="5" t="str">
        <f>IFERROR(__xludf.DUMMYFUNCTION("""COMPUTED_VALUE"""),"EG01-EG02-EG03-EG04-EG05-EG06")</f>
        <v>EG01-EG02-EG03-EG04-EG05-EG06</v>
      </c>
      <c r="F494" s="5" t="str">
        <f>IFERROR(__xludf.DUMMYFUNCTION("""COMPUTED_VALUE"""),"somaiamohmed2050@gmail.com")</f>
        <v>somaiamohmed2050@gmail.com</v>
      </c>
      <c r="G494" s="5" t="str">
        <f>IFERROR(__xludf.DUMMYFUNCTION("""COMPUTED_VALUE"""),"01096034557")</f>
        <v>01096034557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tr">
        <f>IFERROR(__xludf.DUMMYFUNCTION("""COMPUTED_VALUE"""),"أحمد جمال")</f>
        <v>أحمد جمال</v>
      </c>
      <c r="B495" s="5">
        <f>IFERROR(__xludf.DUMMYFUNCTION("""COMPUTED_VALUE"""),1.96162052652E11)</f>
        <v>196162052652</v>
      </c>
      <c r="C495" s="5" t="str">
        <f>IFERROR(__xludf.DUMMYFUNCTION("""COMPUTED_VALUE"""),"أحمد جمال")</f>
        <v>أحمد جمال</v>
      </c>
      <c r="D495" s="5">
        <f>IFERROR(__xludf.DUMMYFUNCTION("""COMPUTED_VALUE"""),2494.0)</f>
        <v>2494</v>
      </c>
      <c r="E495" s="5" t="str">
        <f>IFERROR(__xludf.DUMMYFUNCTION("""COMPUTED_VALUE"""),"EG04-EG05-EG06-EG07-EG08-EG09")</f>
        <v>EG04-EG05-EG06-EG07-EG08-EG09</v>
      </c>
      <c r="F495" s="5" t="str">
        <f>IFERROR(__xludf.DUMMYFUNCTION("""COMPUTED_VALUE"""),"medoarabichotmail@gmail.com")</f>
        <v>medoarabichotmail@gmail.com</v>
      </c>
      <c r="G495" s="5" t="str">
        <f>IFERROR(__xludf.DUMMYFUNCTION("""COMPUTED_VALUE"""),"01061778524")</f>
        <v>01061778524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tr">
        <f>IFERROR(__xludf.DUMMYFUNCTION("""COMPUTED_VALUE"""),"رنا حسن")</f>
        <v>رنا حسن</v>
      </c>
      <c r="B496" s="5">
        <f>IFERROR(__xludf.DUMMYFUNCTION("""COMPUTED_VALUE"""),9.06101634295E11)</f>
        <v>906101634295</v>
      </c>
      <c r="C496" s="5" t="str">
        <f>IFERROR(__xludf.DUMMYFUNCTION("""COMPUTED_VALUE"""),"رنا حسن")</f>
        <v>رنا حسن</v>
      </c>
      <c r="D496" s="5" t="str">
        <f>IFERROR(__xludf.DUMMYFUNCTION("""COMPUTED_VALUE"""),"#N/A")</f>
        <v>#N/A</v>
      </c>
      <c r="E496" s="5"/>
      <c r="F496" s="5" t="str">
        <f>IFERROR(__xludf.DUMMYFUNCTION("""COMPUTED_VALUE"""),"rana.hassan@nagwa.com")</f>
        <v>rana.hassan@nagwa.com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tr">
        <f>IFERROR(__xludf.DUMMYFUNCTION("""COMPUTED_VALUE"""),"محمود محمد")</f>
        <v>محمود محمد</v>
      </c>
      <c r="B497" s="5">
        <f>IFERROR(__xludf.DUMMYFUNCTION("""COMPUTED_VALUE"""),6.79186893032E11)</f>
        <v>679186893032</v>
      </c>
      <c r="C497" s="5" t="str">
        <f>IFERROR(__xludf.DUMMYFUNCTION("""COMPUTED_VALUE"""),"محمود محمد")</f>
        <v>محمود محمد</v>
      </c>
      <c r="D497" s="5" t="str">
        <f>IFERROR(__xludf.DUMMYFUNCTION("""COMPUTED_VALUE"""),"#N/A")</f>
        <v>#N/A</v>
      </c>
      <c r="E497" s="5"/>
      <c r="F497" s="5" t="str">
        <f>IFERROR(__xludf.DUMMYFUNCTION("""COMPUTED_VALUE"""),"mahmoud.mohammed@nagwa.com")</f>
        <v>mahmoud.mohammed@nagwa.com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tr">
        <f>IFERROR(__xludf.DUMMYFUNCTION("""COMPUTED_VALUE"""),"محمود عبده")</f>
        <v>محمود عبده</v>
      </c>
      <c r="B498" s="5">
        <f>IFERROR(__xludf.DUMMYFUNCTION("""COMPUTED_VALUE"""),3.24151012329E11)</f>
        <v>324151012329</v>
      </c>
      <c r="C498" s="5" t="str">
        <f>IFERROR(__xludf.DUMMYFUNCTION("""COMPUTED_VALUE"""),"محمود عبده")</f>
        <v>محمود عبده</v>
      </c>
      <c r="D498" s="5" t="str">
        <f>IFERROR(__xludf.DUMMYFUNCTION("""COMPUTED_VALUE"""),"#N/A")</f>
        <v>#N/A</v>
      </c>
      <c r="E498" s="5"/>
      <c r="F498" s="5" t="str">
        <f>IFERROR(__xludf.DUMMYFUNCTION("""COMPUTED_VALUE"""),"mahmoud.abdo@nagwa.com")</f>
        <v>mahmoud.abdo@nagwa.com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tr">
        <f>IFERROR(__xludf.DUMMYFUNCTION("""COMPUTED_VALUE"""),"شريف صلاح")</f>
        <v>شريف صلاح</v>
      </c>
      <c r="B499" s="5">
        <f>IFERROR(__xludf.DUMMYFUNCTION("""COMPUTED_VALUE"""),1.25147363253E11)</f>
        <v>125147363253</v>
      </c>
      <c r="C499" s="5" t="str">
        <f>IFERROR(__xludf.DUMMYFUNCTION("""COMPUTED_VALUE"""),"شريف صلاح")</f>
        <v>شريف صلاح</v>
      </c>
      <c r="D499" s="5">
        <f>IFERROR(__xludf.DUMMYFUNCTION("""COMPUTED_VALUE"""),2050.0)</f>
        <v>2050</v>
      </c>
      <c r="E499" s="5" t="str">
        <f>IFERROR(__xludf.DUMMYFUNCTION("""COMPUTED_VALUE"""),"EG07-EG08-EG09")</f>
        <v>EG07-EG08-EG09</v>
      </c>
      <c r="F499" s="5" t="str">
        <f>IFERROR(__xludf.DUMMYFUNCTION("""COMPUTED_VALUE"""),"mrsherifsalah85@gmail.com")</f>
        <v>mrsherifsalah85@gmail.com</v>
      </c>
      <c r="G499" s="5" t="str">
        <f>IFERROR(__xludf.DUMMYFUNCTION("""COMPUTED_VALUE"""),"01020165124")</f>
        <v>01020165124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tr">
        <f>IFERROR(__xludf.DUMMYFUNCTION("""COMPUTED_VALUE"""),"علي حامد")</f>
        <v>علي حامد</v>
      </c>
      <c r="B500" s="5">
        <f>IFERROR(__xludf.DUMMYFUNCTION("""COMPUTED_VALUE"""),1.57194097243E11)</f>
        <v>157194097243</v>
      </c>
      <c r="C500" s="5" t="str">
        <f>IFERROR(__xludf.DUMMYFUNCTION("""COMPUTED_VALUE"""),"علي حامد")</f>
        <v>علي حامد</v>
      </c>
      <c r="D500" s="5">
        <f>IFERROR(__xludf.DUMMYFUNCTION("""COMPUTED_VALUE"""),2556.0)</f>
        <v>2556</v>
      </c>
      <c r="E500" s="5" t="str">
        <f>IFERROR(__xludf.DUMMYFUNCTION("""COMPUTED_VALUE"""),"EG04-EG05-EG06")</f>
        <v>EG04-EG05-EG06</v>
      </c>
      <c r="F500" s="5" t="str">
        <f>IFERROR(__xludf.DUMMYFUNCTION("""COMPUTED_VALUE"""),"hamdly634@gmail.com")</f>
        <v>hamdly634@gmail.com</v>
      </c>
      <c r="G500" s="5" t="str">
        <f>IFERROR(__xludf.DUMMYFUNCTION("""COMPUTED_VALUE"""),"01157080971")</f>
        <v>01157080971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tr">
        <f>IFERROR(__xludf.DUMMYFUNCTION("""COMPUTED_VALUE"""),"سالي خالد")</f>
        <v>سالي خالد</v>
      </c>
      <c r="B501" s="5">
        <f>IFERROR(__xludf.DUMMYFUNCTION("""COMPUTED_VALUE"""),4.85171368085E11)</f>
        <v>485171368085</v>
      </c>
      <c r="C501" s="5" t="str">
        <f>IFERROR(__xludf.DUMMYFUNCTION("""COMPUTED_VALUE"""),"سالي خالد")</f>
        <v>سالي خالد</v>
      </c>
      <c r="D501" s="5">
        <f>IFERROR(__xludf.DUMMYFUNCTION("""COMPUTED_VALUE"""),2566.0)</f>
        <v>2566</v>
      </c>
      <c r="E501" s="5" t="str">
        <f>IFERROR(__xludf.DUMMYFUNCTION("""COMPUTED_VALUE"""),"EG07-EG08-EG09")</f>
        <v>EG07-EG08-EG09</v>
      </c>
      <c r="F501" s="5" t="str">
        <f>IFERROR(__xludf.DUMMYFUNCTION("""COMPUTED_VALUE"""),"sally.khalledsamy@outlook.com")</f>
        <v>sally.khalledsamy@outlook.com</v>
      </c>
      <c r="G501" s="5" t="str">
        <f>IFERROR(__xludf.DUMMYFUNCTION("""COMPUTED_VALUE"""),"01149979990")</f>
        <v>01149979990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tr">
        <f>IFERROR(__xludf.DUMMYFUNCTION("""COMPUTED_VALUE"""),"منة الله محمد")</f>
        <v>منة الله محمد</v>
      </c>
      <c r="B502" s="5">
        <f>IFERROR(__xludf.DUMMYFUNCTION("""COMPUTED_VALUE"""),5.94108798987E11)</f>
        <v>594108798987</v>
      </c>
      <c r="C502" s="5" t="str">
        <f>IFERROR(__xludf.DUMMYFUNCTION("""COMPUTED_VALUE"""),"منة الله محمد")</f>
        <v>منة الله محمد</v>
      </c>
      <c r="D502" s="5">
        <f>IFERROR(__xludf.DUMMYFUNCTION("""COMPUTED_VALUE"""),2547.0)</f>
        <v>2547</v>
      </c>
      <c r="E502" s="5" t="str">
        <f>IFERROR(__xludf.DUMMYFUNCTION("""COMPUTED_VALUE"""),"EG04-EG05-EG06")</f>
        <v>EG04-EG05-EG06</v>
      </c>
      <c r="F502" s="5" t="str">
        <f>IFERROR(__xludf.DUMMYFUNCTION("""COMPUTED_VALUE"""),"mennatullahmohamed23@gmail.com")</f>
        <v>mennatullahmohamed23@gmail.com</v>
      </c>
      <c r="G502" s="5" t="str">
        <f>IFERROR(__xludf.DUMMYFUNCTION("""COMPUTED_VALUE"""),"01203531607")</f>
        <v>01203531607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tr">
        <f>IFERROR(__xludf.DUMMYFUNCTION("""COMPUTED_VALUE"""),"محمود حسنين")</f>
        <v>محمود حسنين</v>
      </c>
      <c r="B503" s="5">
        <f>IFERROR(__xludf.DUMMYFUNCTION("""COMPUTED_VALUE"""),8.09150758018E11)</f>
        <v>809150758018</v>
      </c>
      <c r="C503" s="5" t="str">
        <f>IFERROR(__xludf.DUMMYFUNCTION("""COMPUTED_VALUE"""),"محمود حسنين")</f>
        <v>محمود حسنين</v>
      </c>
      <c r="D503" s="5">
        <f>IFERROR(__xludf.DUMMYFUNCTION("""COMPUTED_VALUE"""),2564.0)</f>
        <v>2564</v>
      </c>
      <c r="E503" s="5" t="str">
        <f>IFERROR(__xludf.DUMMYFUNCTION("""COMPUTED_VALUE"""),"EG07-EG08-EG09-EG10-EG11-EG12")</f>
        <v>EG07-EG08-EG09-EG10-EG11-EG12</v>
      </c>
      <c r="F503" s="5" t="str">
        <f>IFERROR(__xludf.DUMMYFUNCTION("""COMPUTED_VALUE"""),"mm.hh7238@gmail.com")</f>
        <v>mm.hh7238@gmail.com</v>
      </c>
      <c r="G503" s="5" t="str">
        <f>IFERROR(__xludf.DUMMYFUNCTION("""COMPUTED_VALUE"""),"01098964450")</f>
        <v>01098964450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tr">
        <f>IFERROR(__xludf.DUMMYFUNCTION("""COMPUTED_VALUE"""),"نورهان عماد")</f>
        <v>نورهان عماد</v>
      </c>
      <c r="B504" s="5">
        <f>IFERROR(__xludf.DUMMYFUNCTION("""COMPUTED_VALUE"""),2.76184302392E11)</f>
        <v>276184302392</v>
      </c>
      <c r="C504" s="5" t="str">
        <f>IFERROR(__xludf.DUMMYFUNCTION("""COMPUTED_VALUE"""),"نورهان عماد")</f>
        <v>نورهان عماد</v>
      </c>
      <c r="D504" s="5">
        <f>IFERROR(__xludf.DUMMYFUNCTION("""COMPUTED_VALUE"""),2557.0)</f>
        <v>2557</v>
      </c>
      <c r="E504" s="5" t="str">
        <f>IFERROR(__xludf.DUMMYFUNCTION("""COMPUTED_VALUE"""),"EG04-EG05-EG06")</f>
        <v>EG04-EG05-EG06</v>
      </c>
      <c r="F504" s="5" t="str">
        <f>IFERROR(__xludf.DUMMYFUNCTION("""COMPUTED_VALUE"""),"nourhanemad92@gmail.com")</f>
        <v>nourhanemad92@gmail.com</v>
      </c>
      <c r="G504" s="5" t="str">
        <f>IFERROR(__xludf.DUMMYFUNCTION("""COMPUTED_VALUE"""),"01007704272")</f>
        <v>01007704272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tr">
        <f>IFERROR(__xludf.DUMMYFUNCTION("""COMPUTED_VALUE"""),"سارة سلامة")</f>
        <v>سارة سلامة</v>
      </c>
      <c r="B505" s="5">
        <f>IFERROR(__xludf.DUMMYFUNCTION("""COMPUTED_VALUE"""),9.89127575602E11)</f>
        <v>989127575602</v>
      </c>
      <c r="C505" s="5" t="str">
        <f>IFERROR(__xludf.DUMMYFUNCTION("""COMPUTED_VALUE"""),"سارة سلامة")</f>
        <v>سارة سلامة</v>
      </c>
      <c r="D505" s="5">
        <f>IFERROR(__xludf.DUMMYFUNCTION("""COMPUTED_VALUE"""),2560.0)</f>
        <v>2560</v>
      </c>
      <c r="E505" s="5" t="str">
        <f>IFERROR(__xludf.DUMMYFUNCTION("""COMPUTED_VALUE"""),"EG04-EG05")</f>
        <v>EG04-EG05</v>
      </c>
      <c r="F505" s="5" t="str">
        <f>IFERROR(__xludf.DUMMYFUNCTION("""COMPUTED_VALUE"""),"sarageo405060@gmail.com")</f>
        <v>sarageo405060@gmail.com</v>
      </c>
      <c r="G505" s="5" t="str">
        <f>IFERROR(__xludf.DUMMYFUNCTION("""COMPUTED_VALUE"""),"01125500358")</f>
        <v>01125500358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tr">
        <f>IFERROR(__xludf.DUMMYFUNCTION("""COMPUTED_VALUE"""),"عمرو العقبي")</f>
        <v>عمرو العقبي</v>
      </c>
      <c r="B506" s="5">
        <f>IFERROR(__xludf.DUMMYFUNCTION("""COMPUTED_VALUE"""),7.26184376073E11)</f>
        <v>726184376073</v>
      </c>
      <c r="C506" s="5" t="str">
        <f>IFERROR(__xludf.DUMMYFUNCTION("""COMPUTED_VALUE"""),"عمرو العقبي")</f>
        <v>عمرو العقبي</v>
      </c>
      <c r="D506" s="5">
        <f>IFERROR(__xludf.DUMMYFUNCTION("""COMPUTED_VALUE"""),2522.0)</f>
        <v>2522</v>
      </c>
      <c r="E506" s="5" t="str">
        <f>IFERROR(__xludf.DUMMYFUNCTION("""COMPUTED_VALUE"""),"EG10-EG11-EG12")</f>
        <v>EG10-EG11-EG12</v>
      </c>
      <c r="F506" s="5" t="str">
        <f>IFERROR(__xludf.DUMMYFUNCTION("""COMPUTED_VALUE"""),"mr.amro.elukby@gmail.com")</f>
        <v>mr.amro.elukby@gmail.com</v>
      </c>
      <c r="G506" s="5" t="str">
        <f>IFERROR(__xludf.DUMMYFUNCTION("""COMPUTED_VALUE"""),"01004106537")</f>
        <v>01004106537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tr">
        <f>IFERROR(__xludf.DUMMYFUNCTION("""COMPUTED_VALUE"""),"إسراء رامي")</f>
        <v>إسراء رامي</v>
      </c>
      <c r="B507" s="5">
        <f>IFERROR(__xludf.DUMMYFUNCTION("""COMPUTED_VALUE"""),9.39180714785E11)</f>
        <v>939180714785</v>
      </c>
      <c r="C507" s="5" t="str">
        <f>IFERROR(__xludf.DUMMYFUNCTION("""COMPUTED_VALUE"""),"إسراء رامي")</f>
        <v>إسراء رامي</v>
      </c>
      <c r="D507" s="5">
        <f>IFERROR(__xludf.DUMMYFUNCTION("""COMPUTED_VALUE"""),2562.0)</f>
        <v>2562</v>
      </c>
      <c r="E507" s="5" t="str">
        <f>IFERROR(__xludf.DUMMYFUNCTION("""COMPUTED_VALUE"""),"EG04-EG05-EG06")</f>
        <v>EG04-EG05-EG06</v>
      </c>
      <c r="F507" s="5" t="str">
        <f>IFERROR(__xludf.DUMMYFUNCTION("""COMPUTED_VALUE"""),"esraaramy50@gmail.com")</f>
        <v>esraaramy50@gmail.com</v>
      </c>
      <c r="G507" s="5" t="str">
        <f>IFERROR(__xludf.DUMMYFUNCTION("""COMPUTED_VALUE"""),"01032803981")</f>
        <v>01032803981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tr">
        <f>IFERROR(__xludf.DUMMYFUNCTION("""COMPUTED_VALUE"""),"يوسف عبد الوهاب")</f>
        <v>يوسف عبد الوهاب</v>
      </c>
      <c r="B508" s="5">
        <f>IFERROR(__xludf.DUMMYFUNCTION("""COMPUTED_VALUE"""),4.95158084197E11)</f>
        <v>495158084197</v>
      </c>
      <c r="C508" s="5" t="str">
        <f>IFERROR(__xludf.DUMMYFUNCTION("""COMPUTED_VALUE"""),"يوسف عبد الوهاب")</f>
        <v>يوسف عبد الوهاب</v>
      </c>
      <c r="D508" s="5">
        <f>IFERROR(__xludf.DUMMYFUNCTION("""COMPUTED_VALUE"""),2552.0)</f>
        <v>2552</v>
      </c>
      <c r="E508" s="5" t="str">
        <f>IFERROR(__xludf.DUMMYFUNCTION("""COMPUTED_VALUE"""),"EG09-EG10-EG11")</f>
        <v>EG09-EG10-EG11</v>
      </c>
      <c r="F508" s="5" t="str">
        <f>IFERROR(__xludf.DUMMYFUNCTION("""COMPUTED_VALUE"""),"youssef.ibrahem20@gmail.com")</f>
        <v>youssef.ibrahem20@gmail.com</v>
      </c>
      <c r="G508" s="5" t="str">
        <f>IFERROR(__xludf.DUMMYFUNCTION("""COMPUTED_VALUE"""),"01110454612")</f>
        <v>01110454612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tr">
        <f>IFERROR(__xludf.DUMMYFUNCTION("""COMPUTED_VALUE"""),"يارا سلطان")</f>
        <v>يارا سلطان</v>
      </c>
      <c r="B509" s="5">
        <f>IFERROR(__xludf.DUMMYFUNCTION("""COMPUTED_VALUE"""),9.19170561064E11)</f>
        <v>919170561064</v>
      </c>
      <c r="C509" s="5" t="str">
        <f>IFERROR(__xludf.DUMMYFUNCTION("""COMPUTED_VALUE"""),"يارا سلطان")</f>
        <v>يارا سلطان</v>
      </c>
      <c r="D509" s="5">
        <f>IFERROR(__xludf.DUMMYFUNCTION("""COMPUTED_VALUE"""),2561.0)</f>
        <v>2561</v>
      </c>
      <c r="E509" s="5" t="str">
        <f>IFERROR(__xludf.DUMMYFUNCTION("""COMPUTED_VALUE"""),"EG01-EG02-EG03")</f>
        <v>EG01-EG02-EG03</v>
      </c>
      <c r="F509" s="5" t="str">
        <f>IFERROR(__xludf.DUMMYFUNCTION("""COMPUTED_VALUE"""),"ywael044@gmail.com")</f>
        <v>ywael044@gmail.com</v>
      </c>
      <c r="G509" s="5" t="str">
        <f>IFERROR(__xludf.DUMMYFUNCTION("""COMPUTED_VALUE"""),"01271833101")</f>
        <v>01271833101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tr">
        <f>IFERROR(__xludf.DUMMYFUNCTION("""COMPUTED_VALUE"""),"نهاد يسري")</f>
        <v>نهاد يسري</v>
      </c>
      <c r="B510" s="5">
        <f>IFERROR(__xludf.DUMMYFUNCTION("""COMPUTED_VALUE"""),6.05108626197E11)</f>
        <v>605108626197</v>
      </c>
      <c r="C510" s="5" t="str">
        <f>IFERROR(__xludf.DUMMYFUNCTION("""COMPUTED_VALUE"""),"نهاد يسري")</f>
        <v>نهاد يسري</v>
      </c>
      <c r="D510" s="5">
        <f>IFERROR(__xludf.DUMMYFUNCTION("""COMPUTED_VALUE"""),2555.0)</f>
        <v>2555</v>
      </c>
      <c r="E510" s="5" t="str">
        <f>IFERROR(__xludf.DUMMYFUNCTION("""COMPUTED_VALUE"""),"EG08-EG09")</f>
        <v>EG08-EG09</v>
      </c>
      <c r="F510" s="5" t="str">
        <f>IFERROR(__xludf.DUMMYFUNCTION("""COMPUTED_VALUE"""),"nehadyousry1984@gmail.com")</f>
        <v>nehadyousry1984@gmail.com</v>
      </c>
      <c r="G510" s="5" t="str">
        <f>IFERROR(__xludf.DUMMYFUNCTION("""COMPUTED_VALUE"""),"01221944623")</f>
        <v>01221944623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tr">
        <f>IFERROR(__xludf.DUMMYFUNCTION("""COMPUTED_VALUE"""),"إسلام حسن")</f>
        <v>إسلام حسن</v>
      </c>
      <c r="B511" s="5">
        <f>IFERROR(__xludf.DUMMYFUNCTION("""COMPUTED_VALUE"""),8.76195784914E11)</f>
        <v>876195784914</v>
      </c>
      <c r="C511" s="5" t="str">
        <f>IFERROR(__xludf.DUMMYFUNCTION("""COMPUTED_VALUE"""),"إسلام حسن")</f>
        <v>إسلام حسن</v>
      </c>
      <c r="D511" s="5">
        <f>IFERROR(__xludf.DUMMYFUNCTION("""COMPUTED_VALUE"""),2553.0)</f>
        <v>2553</v>
      </c>
      <c r="E511" s="5" t="str">
        <f>IFERROR(__xludf.DUMMYFUNCTION("""COMPUTED_VALUE"""),"EG07-EG08-EG09")</f>
        <v>EG07-EG08-EG09</v>
      </c>
      <c r="F511" s="5" t="str">
        <f>IFERROR(__xludf.DUMMYFUNCTION("""COMPUTED_VALUE"""),"dr.eslam.h.i@gmail.com")</f>
        <v>dr.eslam.h.i@gmail.com</v>
      </c>
      <c r="G511" s="5" t="str">
        <f>IFERROR(__xludf.DUMMYFUNCTION("""COMPUTED_VALUE"""),"01002501821")</f>
        <v>01002501821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tr">
        <f>IFERROR(__xludf.DUMMYFUNCTION("""COMPUTED_VALUE"""),"أحمد عاشور")</f>
        <v>أحمد عاشور</v>
      </c>
      <c r="B512" s="5">
        <f>IFERROR(__xludf.DUMMYFUNCTION("""COMPUTED_VALUE"""),1.97153280125E11)</f>
        <v>197153280125</v>
      </c>
      <c r="C512" s="5" t="str">
        <f>IFERROR(__xludf.DUMMYFUNCTION("""COMPUTED_VALUE"""),"أحمد عاشور")</f>
        <v>أحمد عاشور</v>
      </c>
      <c r="D512" s="5" t="str">
        <f>IFERROR(__xludf.DUMMYFUNCTION("""COMPUTED_VALUE"""),"#N/A")</f>
        <v>#N/A</v>
      </c>
      <c r="E512" s="5"/>
      <c r="F512" s="5" t="str">
        <f>IFERROR(__xludf.DUMMYFUNCTION("""COMPUTED_VALUE"""),"ahmedashourayyad@gmail.com")</f>
        <v>ahmedashourayyad@gmail.com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tr">
        <f>IFERROR(__xludf.DUMMYFUNCTION("""COMPUTED_VALUE"""),"محمد رأفت")</f>
        <v>محمد رأفت</v>
      </c>
      <c r="B513" s="5">
        <f>IFERROR(__xludf.DUMMYFUNCTION("""COMPUTED_VALUE"""),8.15141510923E11)</f>
        <v>815141510923</v>
      </c>
      <c r="C513" s="5" t="str">
        <f>IFERROR(__xludf.DUMMYFUNCTION("""COMPUTED_VALUE"""),"محمد رأفت")</f>
        <v>محمد رأفت</v>
      </c>
      <c r="D513" s="5">
        <f>IFERROR(__xludf.DUMMYFUNCTION("""COMPUTED_VALUE"""),2558.0)</f>
        <v>2558</v>
      </c>
      <c r="E513" s="5" t="str">
        <f>IFERROR(__xludf.DUMMYFUNCTION("""COMPUTED_VALUE"""),"EG04-EG05-EG06")</f>
        <v>EG04-EG05-EG06</v>
      </c>
      <c r="F513" s="5" t="str">
        <f>IFERROR(__xludf.DUMMYFUNCTION("""COMPUTED_VALUE"""),"m.h.raffat@gmail.com")</f>
        <v>m.h.raffat@gmail.com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 t="str">
        <f>IFERROR(__xludf.DUMMYFUNCTION("""COMPUTED_VALUE"""),"أسماء الحسيني")</f>
        <v>أسماء الحسيني</v>
      </c>
      <c r="B514" s="5">
        <f>IFERROR(__xludf.DUMMYFUNCTION("""COMPUTED_VALUE"""),6.23157516497E11)</f>
        <v>623157516497</v>
      </c>
      <c r="C514" s="5" t="str">
        <f>IFERROR(__xludf.DUMMYFUNCTION("""COMPUTED_VALUE"""),"أسماء الحسيني")</f>
        <v>أسماء الحسيني</v>
      </c>
      <c r="D514" s="5">
        <f>IFERROR(__xludf.DUMMYFUNCTION("""COMPUTED_VALUE"""),2580.0)</f>
        <v>2580</v>
      </c>
      <c r="E514" s="5" t="str">
        <f>IFERROR(__xludf.DUMMYFUNCTION("""COMPUTED_VALUE"""),"EG01-EG02-EG03")</f>
        <v>EG01-EG02-EG03</v>
      </c>
      <c r="F514" s="5" t="str">
        <f>IFERROR(__xludf.DUMMYFUNCTION("""COMPUTED_VALUE"""),"elhosseinyasmaa@gmail.com")</f>
        <v>elhosseinyasmaa@gmail.com</v>
      </c>
      <c r="G514" s="5" t="str">
        <f>IFERROR(__xludf.DUMMYFUNCTION("""COMPUTED_VALUE"""),"01006995563")</f>
        <v>01006995563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 t="str">
        <f>IFERROR(__xludf.DUMMYFUNCTION("""COMPUTED_VALUE"""),"أحمد حسني")</f>
        <v>أحمد حسني</v>
      </c>
      <c r="B515" s="5">
        <f>IFERROR(__xludf.DUMMYFUNCTION("""COMPUTED_VALUE"""),6.78162816468E11)</f>
        <v>678162816468</v>
      </c>
      <c r="C515" s="5" t="str">
        <f>IFERROR(__xludf.DUMMYFUNCTION("""COMPUTED_VALUE"""),"أحمد حسني")</f>
        <v>أحمد حسني</v>
      </c>
      <c r="D515" s="5">
        <f>IFERROR(__xludf.DUMMYFUNCTION("""COMPUTED_VALUE"""),2579.0)</f>
        <v>2579</v>
      </c>
      <c r="E515" s="5" t="str">
        <f>IFERROR(__xludf.DUMMYFUNCTION("""COMPUTED_VALUE"""),"EG07-EG08-EG09")</f>
        <v>EG07-EG08-EG09</v>
      </c>
      <c r="F515" s="5" t="str">
        <f>IFERROR(__xludf.DUMMYFUNCTION("""COMPUTED_VALUE"""),"mr_ahmedhosni@yahoo.com")</f>
        <v>mr_ahmedhosni@yahoo.com</v>
      </c>
      <c r="G515" s="5" t="str">
        <f>IFERROR(__xludf.DUMMYFUNCTION("""COMPUTED_VALUE"""),"01000120625")</f>
        <v>01000120625</v>
      </c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tr">
        <f>IFERROR(__xludf.DUMMYFUNCTION("""COMPUTED_VALUE"""),"نسمة سلطان")</f>
        <v>نسمة سلطان</v>
      </c>
      <c r="B516" s="5">
        <f>IFERROR(__xludf.DUMMYFUNCTION("""COMPUTED_VALUE"""),9.6018609539E11)</f>
        <v>960186095390</v>
      </c>
      <c r="C516" s="5" t="str">
        <f>IFERROR(__xludf.DUMMYFUNCTION("""COMPUTED_VALUE"""),"نسمة سلطان")</f>
        <v>نسمة سلطان</v>
      </c>
      <c r="D516" s="5">
        <f>IFERROR(__xludf.DUMMYFUNCTION("""COMPUTED_VALUE"""),2587.0)</f>
        <v>2587</v>
      </c>
      <c r="E516" s="5" t="str">
        <f>IFERROR(__xludf.DUMMYFUNCTION("""COMPUTED_VALUE"""),"EG01-EG02-EG03")</f>
        <v>EG01-EG02-EG03</v>
      </c>
      <c r="F516" s="5" t="str">
        <f>IFERROR(__xludf.DUMMYFUNCTION("""COMPUTED_VALUE"""),"nesmasultan933@gmail.com")</f>
        <v>nesmasultan933@gmail.com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tr">
        <f>IFERROR(__xludf.DUMMYFUNCTION("""COMPUTED_VALUE"""),"عادل عبد الله")</f>
        <v>عادل عبد الله</v>
      </c>
      <c r="B517" s="5">
        <f>IFERROR(__xludf.DUMMYFUNCTION("""COMPUTED_VALUE"""),4.72125058909E11)</f>
        <v>472125058909</v>
      </c>
      <c r="C517" s="5" t="str">
        <f>IFERROR(__xludf.DUMMYFUNCTION("""COMPUTED_VALUE"""),"عادل عبد الله")</f>
        <v>عادل عبد الله</v>
      </c>
      <c r="D517" s="5">
        <f>IFERROR(__xludf.DUMMYFUNCTION("""COMPUTED_VALUE"""),2578.0)</f>
        <v>2578</v>
      </c>
      <c r="E517" s="5" t="str">
        <f>IFERROR(__xludf.DUMMYFUNCTION("""COMPUTED_VALUE"""),"EG04-EG06-EG07-EG08-EG09")</f>
        <v>EG04-EG06-EG07-EG08-EG09</v>
      </c>
      <c r="F517" s="5" t="str">
        <f>IFERROR(__xludf.DUMMYFUNCTION("""COMPUTED_VALUE"""),"a.abdallah.depd@gmail.com")</f>
        <v>a.abdallah.depd@gmail.com</v>
      </c>
      <c r="G517" s="5" t="str">
        <f>IFERROR(__xludf.DUMMYFUNCTION("""COMPUTED_VALUE"""),"01118300659 - 01225781819")</f>
        <v>01118300659 - 01225781819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tr">
        <f>IFERROR(__xludf.DUMMYFUNCTION("""COMPUTED_VALUE"""),"شيماء سليمان")</f>
        <v>شيماء سليمان</v>
      </c>
      <c r="B518" s="5">
        <f>IFERROR(__xludf.DUMMYFUNCTION("""COMPUTED_VALUE"""),5.74161321575E11)</f>
        <v>574161321575</v>
      </c>
      <c r="C518" s="5" t="str">
        <f>IFERROR(__xludf.DUMMYFUNCTION("""COMPUTED_VALUE"""),"شيماء سليمان")</f>
        <v>شيماء سليمان</v>
      </c>
      <c r="D518" s="5">
        <f>IFERROR(__xludf.DUMMYFUNCTION("""COMPUTED_VALUE"""),2581.0)</f>
        <v>2581</v>
      </c>
      <c r="E518" s="5" t="str">
        <f>IFERROR(__xludf.DUMMYFUNCTION("""COMPUTED_VALUE"""),"EG01-EG02-EG03")</f>
        <v>EG01-EG02-EG03</v>
      </c>
      <c r="F518" s="5" t="str">
        <f>IFERROR(__xludf.DUMMYFUNCTION("""COMPUTED_VALUE"""),"shimosoliman4016@gmail.com")</f>
        <v>shimosoliman4016@gmail.com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tr">
        <f>IFERROR(__xludf.DUMMYFUNCTION("""COMPUTED_VALUE"""),"رباب أحمد")</f>
        <v>رباب أحمد</v>
      </c>
      <c r="B519" s="5">
        <f>IFERROR(__xludf.DUMMYFUNCTION("""COMPUTED_VALUE"""),3.79179346029E11)</f>
        <v>379179346029</v>
      </c>
      <c r="C519" s="5" t="str">
        <f>IFERROR(__xludf.DUMMYFUNCTION("""COMPUTED_VALUE"""),"رباب أحمد")</f>
        <v>رباب أحمد</v>
      </c>
      <c r="D519" s="5">
        <f>IFERROR(__xludf.DUMMYFUNCTION("""COMPUTED_VALUE"""),2326.0)</f>
        <v>2326</v>
      </c>
      <c r="E519" s="5" t="str">
        <f>IFERROR(__xludf.DUMMYFUNCTION("""COMPUTED_VALUE"""),"EG04-EG05-EG06-EG07-EG08")</f>
        <v>EG04-EG05-EG06-EG07-EG08</v>
      </c>
      <c r="F519" s="5" t="str">
        <f>IFERROR(__xludf.DUMMYFUNCTION("""COMPUTED_VALUE"""),"rababelhenawey@gmail.com")</f>
        <v>rababelhenawey@gmail.com</v>
      </c>
      <c r="G519" s="5">
        <f>IFERROR(__xludf.DUMMYFUNCTION("""COMPUTED_VALUE"""),2.01111445648E11)</f>
        <v>201111445648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tr">
        <f>IFERROR(__xludf.DUMMYFUNCTION("""COMPUTED_VALUE"""),"أسامة خليل")</f>
        <v>أسامة خليل</v>
      </c>
      <c r="B520" s="5">
        <f>IFERROR(__xludf.DUMMYFUNCTION("""COMPUTED_VALUE"""),1.5616543606E11)</f>
        <v>156165436060</v>
      </c>
      <c r="C520" s="5" t="str">
        <f>IFERROR(__xludf.DUMMYFUNCTION("""COMPUTED_VALUE"""),"أسامة خليل")</f>
        <v>أسامة خليل</v>
      </c>
      <c r="D520" s="5">
        <f>IFERROR(__xludf.DUMMYFUNCTION("""COMPUTED_VALUE"""),2599.0)</f>
        <v>2599</v>
      </c>
      <c r="E520" s="5" t="str">
        <f>IFERROR(__xludf.DUMMYFUNCTION("""COMPUTED_VALUE"""),"EG06-EG07-EG08-EG09")</f>
        <v>EG06-EG07-EG08-EG09</v>
      </c>
      <c r="F520" s="5" t="str">
        <f>IFERROR(__xludf.DUMMYFUNCTION("""COMPUTED_VALUE"""),"okhalim2022@gmail.com")</f>
        <v>okhalim2022@gmail.com</v>
      </c>
      <c r="G520" s="5" t="str">
        <f>IFERROR(__xludf.DUMMYFUNCTION("""COMPUTED_VALUE"""),"01024105035")</f>
        <v>01024105035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tr">
        <f>IFERROR(__xludf.DUMMYFUNCTION("""COMPUTED_VALUE"""),"خديجة عبد الرحمن")</f>
        <v>خديجة عبد الرحمن</v>
      </c>
      <c r="B521" s="5">
        <f>IFERROR(__xludf.DUMMYFUNCTION("""COMPUTED_VALUE"""),7.06195648651E11)</f>
        <v>706195648651</v>
      </c>
      <c r="C521" s="5" t="str">
        <f>IFERROR(__xludf.DUMMYFUNCTION("""COMPUTED_VALUE"""),"خديجة عبد الرحمن")</f>
        <v>خديجة عبد الرحمن</v>
      </c>
      <c r="D521" s="5">
        <f>IFERROR(__xludf.DUMMYFUNCTION("""COMPUTED_VALUE"""),2603.0)</f>
        <v>2603</v>
      </c>
      <c r="E521" s="5" t="str">
        <f>IFERROR(__xludf.DUMMYFUNCTION("""COMPUTED_VALUE"""),"EG04-EG05-EG06")</f>
        <v>EG04-EG05-EG06</v>
      </c>
      <c r="F521" s="5" t="str">
        <f>IFERROR(__xludf.DUMMYFUNCTION("""COMPUTED_VALUE"""),"khadijaabdelrahman88@gmail.com")</f>
        <v>khadijaabdelrahman88@gmail.com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tr">
        <f>IFERROR(__xludf.DUMMYFUNCTION("""COMPUTED_VALUE"""),"حسين حلمي")</f>
        <v>حسين حلمي</v>
      </c>
      <c r="B522" s="5">
        <f>IFERROR(__xludf.DUMMYFUNCTION("""COMPUTED_VALUE"""),3.18195473726E11)</f>
        <v>318195473726</v>
      </c>
      <c r="C522" s="5" t="str">
        <f>IFERROR(__xludf.DUMMYFUNCTION("""COMPUTED_VALUE"""),"حسين حلمي")</f>
        <v>حسين حلمي</v>
      </c>
      <c r="D522" s="5">
        <f>IFERROR(__xludf.DUMMYFUNCTION("""COMPUTED_VALUE"""),2072.0)</f>
        <v>2072</v>
      </c>
      <c r="E522" s="5" t="str">
        <f>IFERROR(__xludf.DUMMYFUNCTION("""COMPUTED_VALUE"""),"EG01-EG02-EG03")</f>
        <v>EG01-EG02-EG03</v>
      </c>
      <c r="F522" s="5" t="str">
        <f>IFERROR(__xludf.DUMMYFUNCTION("""COMPUTED_VALUE"""),"hussienhelmy54@gmail.com")</f>
        <v>hussienhelmy54@gmail.com</v>
      </c>
      <c r="G522" s="5" t="str">
        <f>IFERROR(__xludf.DUMMYFUNCTION("""COMPUTED_VALUE"""),"01222364937")</f>
        <v>01222364937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tr">
        <f>IFERROR(__xludf.DUMMYFUNCTION("""COMPUTED_VALUE"""),"نوران لطفي")</f>
        <v>نوران لطفي</v>
      </c>
      <c r="B523" s="5">
        <f>IFERROR(__xludf.DUMMYFUNCTION("""COMPUTED_VALUE"""),4.63137028567E11)</f>
        <v>463137028567</v>
      </c>
      <c r="C523" s="5" t="str">
        <f>IFERROR(__xludf.DUMMYFUNCTION("""COMPUTED_VALUE"""),"نوران لطفي")</f>
        <v>نوران لطفي</v>
      </c>
      <c r="D523" s="5">
        <f>IFERROR(__xludf.DUMMYFUNCTION("""COMPUTED_VALUE"""),2563.0)</f>
        <v>2563</v>
      </c>
      <c r="E523" s="5" t="str">
        <f>IFERROR(__xludf.DUMMYFUNCTION("""COMPUTED_VALUE"""),"EG07-EG08")</f>
        <v>EG07-EG08</v>
      </c>
      <c r="F523" s="5" t="str">
        <f>IFERROR(__xludf.DUMMYFUNCTION("""COMPUTED_VALUE"""),"nouranlotfy63@gmail.com")</f>
        <v>nouranlotfy63@gmail.com</v>
      </c>
      <c r="G523" s="5" t="str">
        <f>IFERROR(__xludf.DUMMYFUNCTION("""COMPUTED_VALUE"""),"01001625777")</f>
        <v>01001625777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tr">
        <f>IFERROR(__xludf.DUMMYFUNCTION("""COMPUTED_VALUE"""),"علاء أبو الحسن")</f>
        <v>علاء أبو الحسن</v>
      </c>
      <c r="B524" s="5">
        <f>IFERROR(__xludf.DUMMYFUNCTION("""COMPUTED_VALUE"""),8.1613815985E11)</f>
        <v>816138159850</v>
      </c>
      <c r="C524" s="5" t="str">
        <f>IFERROR(__xludf.DUMMYFUNCTION("""COMPUTED_VALUE"""),"علاء أبو الحسن")</f>
        <v>علاء أبو الحسن</v>
      </c>
      <c r="D524" s="5">
        <f>IFERROR(__xludf.DUMMYFUNCTION("""COMPUTED_VALUE"""),2661.0)</f>
        <v>2661</v>
      </c>
      <c r="E524" s="5" t="str">
        <f>IFERROR(__xludf.DUMMYFUNCTION("""COMPUTED_VALUE"""),"EG07-EG08-EG09-EG10-EG11")</f>
        <v>EG07-EG08-EG09-EG10-EG11</v>
      </c>
      <c r="F524" s="5" t="str">
        <f>IFERROR(__xludf.DUMMYFUNCTION("""COMPUTED_VALUE"""),"abouelhassan777@gmail.com")</f>
        <v>abouelhassan777@gmail.com</v>
      </c>
      <c r="G524" s="5" t="str">
        <f>IFERROR(__xludf.DUMMYFUNCTION("""COMPUTED_VALUE"""),"01143319486")</f>
        <v>01143319486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tr">
        <f>IFERROR(__xludf.DUMMYFUNCTION("""COMPUTED_VALUE"""),"ريهام علي")</f>
        <v>ريهام علي</v>
      </c>
      <c r="B525" s="5">
        <f>IFERROR(__xludf.DUMMYFUNCTION("""COMPUTED_VALUE"""),6.97109284394E11)</f>
        <v>697109284394</v>
      </c>
      <c r="C525" s="5" t="str">
        <f>IFERROR(__xludf.DUMMYFUNCTION("""COMPUTED_VALUE"""),"ريهام علي")</f>
        <v>ريهام علي</v>
      </c>
      <c r="D525" s="5">
        <f>IFERROR(__xludf.DUMMYFUNCTION("""COMPUTED_VALUE"""),2586.0)</f>
        <v>2586</v>
      </c>
      <c r="E525" s="5" t="str">
        <f>IFERROR(__xludf.DUMMYFUNCTION("""COMPUTED_VALUE"""),"EG07-EG08-EG09")</f>
        <v>EG07-EG08-EG09</v>
      </c>
      <c r="F525" s="5" t="str">
        <f>IFERROR(__xludf.DUMMYFUNCTION("""COMPUTED_VALUE"""),"rehamaly.76@gmail.com")</f>
        <v>rehamaly.76@gmail.com</v>
      </c>
      <c r="G525" s="5" t="str">
        <f>IFERROR(__xludf.DUMMYFUNCTION("""COMPUTED_VALUE"""),"01206255208")</f>
        <v>01206255208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tr">
        <f>IFERROR(__xludf.DUMMYFUNCTION("""COMPUTED_VALUE"""),"محمد نبيه")</f>
        <v>محمد نبيه</v>
      </c>
      <c r="B526" s="5">
        <f>IFERROR(__xludf.DUMMYFUNCTION("""COMPUTED_VALUE"""),5.89184652592E11)</f>
        <v>589184652592</v>
      </c>
      <c r="C526" s="5" t="str">
        <f>IFERROR(__xludf.DUMMYFUNCTION("""COMPUTED_VALUE"""),"محمد نبيه")</f>
        <v>محمد نبيه</v>
      </c>
      <c r="D526" s="5">
        <f>IFERROR(__xludf.DUMMYFUNCTION("""COMPUTED_VALUE"""),2592.0)</f>
        <v>2592</v>
      </c>
      <c r="E526" s="5" t="str">
        <f>IFERROR(__xludf.DUMMYFUNCTION("""COMPUTED_VALUE"""),"EG07-EG08-EG09")</f>
        <v>EG07-EG08-EG09</v>
      </c>
      <c r="F526" s="5" t="str">
        <f>IFERROR(__xludf.DUMMYFUNCTION("""COMPUTED_VALUE"""),"mohmednbih2019@gmail.com")</f>
        <v>mohmednbih2019@gmail.com</v>
      </c>
      <c r="G526" s="5" t="str">
        <f>IFERROR(__xludf.DUMMYFUNCTION("""COMPUTED_VALUE"""),"01003911095")</f>
        <v>01003911095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tr">
        <f>IFERROR(__xludf.DUMMYFUNCTION("""COMPUTED_VALUE"""),"ياسمين سمير")</f>
        <v>ياسمين سمير</v>
      </c>
      <c r="B527" s="5">
        <f>IFERROR(__xludf.DUMMYFUNCTION("""COMPUTED_VALUE"""),3.67106989606E11)</f>
        <v>367106989606</v>
      </c>
      <c r="C527" s="5" t="str">
        <f>IFERROR(__xludf.DUMMYFUNCTION("""COMPUTED_VALUE"""),"ياسمين سمير")</f>
        <v>ياسمين سمير</v>
      </c>
      <c r="D527" s="5">
        <f>IFERROR(__xludf.DUMMYFUNCTION("""COMPUTED_VALUE"""),2585.0)</f>
        <v>2585</v>
      </c>
      <c r="E527" s="5" t="str">
        <f>IFERROR(__xludf.DUMMYFUNCTION("""COMPUTED_VALUE"""),"EG07-EG08-EG09-EG10-EG11-EG12")</f>
        <v>EG07-EG08-EG09-EG10-EG11-EG12</v>
      </c>
      <c r="F527" s="5" t="str">
        <f>IFERROR(__xludf.DUMMYFUNCTION("""COMPUTED_VALUE"""),"jasminaahmed60@gmail.com")</f>
        <v>jasminaahmed60@gmail.com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tr">
        <f>IFERROR(__xludf.DUMMYFUNCTION("""COMPUTED_VALUE"""),"علي طنطاوي")</f>
        <v>علي طنطاوي</v>
      </c>
      <c r="B528" s="5">
        <f>IFERROR(__xludf.DUMMYFUNCTION("""COMPUTED_VALUE"""),8.40176714634E11)</f>
        <v>840176714634</v>
      </c>
      <c r="C528" s="5" t="str">
        <f>IFERROR(__xludf.DUMMYFUNCTION("""COMPUTED_VALUE"""),"علي طنطاوي")</f>
        <v>علي طنطاوي</v>
      </c>
      <c r="D528" s="5">
        <f>IFERROR(__xludf.DUMMYFUNCTION("""COMPUTED_VALUE"""),2584.0)</f>
        <v>2584</v>
      </c>
      <c r="E528" s="5" t="str">
        <f>IFERROR(__xludf.DUMMYFUNCTION("""COMPUTED_VALUE"""),"EG07-EG08-EG09-EG10-EG11-EG12")</f>
        <v>EG07-EG08-EG09-EG10-EG11-EG12</v>
      </c>
      <c r="F528" s="5" t="str">
        <f>IFERROR(__xludf.DUMMYFUNCTION("""COMPUTED_VALUE"""),"ali.tantawy10@icloud.com")</f>
        <v>ali.tantawy10@icloud.com</v>
      </c>
      <c r="G528" s="5" t="str">
        <f>IFERROR(__xludf.DUMMYFUNCTION("""COMPUTED_VALUE"""),"01069571410")</f>
        <v>01069571410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tr">
        <f>IFERROR(__xludf.DUMMYFUNCTION("""COMPUTED_VALUE"""),"أحمد حسين")</f>
        <v>أحمد حسين</v>
      </c>
      <c r="B529" s="5">
        <f>IFERROR(__xludf.DUMMYFUNCTION("""COMPUTED_VALUE"""),2.70138641795E11)</f>
        <v>270138641795</v>
      </c>
      <c r="C529" s="5" t="str">
        <f>IFERROR(__xludf.DUMMYFUNCTION("""COMPUTED_VALUE"""),"أحمد حسين")</f>
        <v>أحمد حسين</v>
      </c>
      <c r="D529" s="5">
        <f>IFERROR(__xludf.DUMMYFUNCTION("""COMPUTED_VALUE"""),2612.0)</f>
        <v>2612</v>
      </c>
      <c r="E529" s="5" t="str">
        <f>IFERROR(__xludf.DUMMYFUNCTION("""COMPUTED_VALUE"""),"EG07-EG08-EG09")</f>
        <v>EG07-EG08-EG09</v>
      </c>
      <c r="F529" s="5" t="str">
        <f>IFERROR(__xludf.DUMMYFUNCTION("""COMPUTED_VALUE"""),"dr.english007@gmail.com")</f>
        <v>dr.english007@gmail.com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tr">
        <f>IFERROR(__xludf.DUMMYFUNCTION("""COMPUTED_VALUE"""),"نورا سلطان")</f>
        <v>نورا سلطان</v>
      </c>
      <c r="B530" s="5">
        <f>IFERROR(__xludf.DUMMYFUNCTION("""COMPUTED_VALUE"""),9.03167431715E11)</f>
        <v>903167431715</v>
      </c>
      <c r="C530" s="5" t="str">
        <f>IFERROR(__xludf.DUMMYFUNCTION("""COMPUTED_VALUE"""),"نورا سلطان")</f>
        <v>نورا سلطان</v>
      </c>
      <c r="D530" s="5">
        <f>IFERROR(__xludf.DUMMYFUNCTION("""COMPUTED_VALUE"""),2618.0)</f>
        <v>2618</v>
      </c>
      <c r="E530" s="5" t="str">
        <f>IFERROR(__xludf.DUMMYFUNCTION("""COMPUTED_VALUE"""),"EG04-EG05-EG06-EG07-EG08")</f>
        <v>EG04-EG05-EG06-EG07-EG08</v>
      </c>
      <c r="F530" s="5" t="str">
        <f>IFERROR(__xludf.DUMMYFUNCTION("""COMPUTED_VALUE"""),"nourasultan97@gmail.com")</f>
        <v>nourasultan97@gmail.com</v>
      </c>
      <c r="G530" s="5" t="str">
        <f>IFERROR(__xludf.DUMMYFUNCTION("""COMPUTED_VALUE"""),"01025577259")</f>
        <v>01025577259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tr">
        <f>IFERROR(__xludf.DUMMYFUNCTION("""COMPUTED_VALUE"""),"إيمان علاء")</f>
        <v>إيمان علاء</v>
      </c>
      <c r="B531" s="5">
        <f>IFERROR(__xludf.DUMMYFUNCTION("""COMPUTED_VALUE"""),6.23198675307E11)</f>
        <v>623198675307</v>
      </c>
      <c r="C531" s="5" t="str">
        <f>IFERROR(__xludf.DUMMYFUNCTION("""COMPUTED_VALUE"""),"إيمان علاء")</f>
        <v>إيمان علاء</v>
      </c>
      <c r="D531" s="5">
        <f>IFERROR(__xludf.DUMMYFUNCTION("""COMPUTED_VALUE"""),2613.0)</f>
        <v>2613</v>
      </c>
      <c r="E531" s="5" t="str">
        <f>IFERROR(__xludf.DUMMYFUNCTION("""COMPUTED_VALUE"""),"EG07-EG08-EG09")</f>
        <v>EG07-EG08-EG09</v>
      </c>
      <c r="F531" s="5" t="str">
        <f>IFERROR(__xludf.DUMMYFUNCTION("""COMPUTED_VALUE"""),"emanalaahassan@gmail.com")</f>
        <v>emanalaahassan@gmail.com</v>
      </c>
      <c r="G531" s="5" t="str">
        <f>IFERROR(__xludf.DUMMYFUNCTION("""COMPUTED_VALUE"""),"01092570623")</f>
        <v>01092570623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tr">
        <f>IFERROR(__xludf.DUMMYFUNCTION("""COMPUTED_VALUE"""),"ندى شريف")</f>
        <v>ندى شريف</v>
      </c>
      <c r="B532" s="5">
        <f>IFERROR(__xludf.DUMMYFUNCTION("""COMPUTED_VALUE"""),6.9513970838E11)</f>
        <v>695139708380</v>
      </c>
      <c r="C532" s="5" t="str">
        <f>IFERROR(__xludf.DUMMYFUNCTION("""COMPUTED_VALUE"""),"ندى شريف")</f>
        <v>ندى شريف</v>
      </c>
      <c r="D532" s="5">
        <f>IFERROR(__xludf.DUMMYFUNCTION("""COMPUTED_VALUE"""),2614.0)</f>
        <v>2614</v>
      </c>
      <c r="E532" s="5" t="str">
        <f>IFERROR(__xludf.DUMMYFUNCTION("""COMPUTED_VALUE"""),"EG01-EG02-EG03-EG04-EG05")</f>
        <v>EG01-EG02-EG03-EG04-EG05</v>
      </c>
      <c r="F532" s="5" t="str">
        <f>IFERROR(__xludf.DUMMYFUNCTION("""COMPUTED_VALUE"""),"nadasherif1007@gmail.com")</f>
        <v>nadasherif1007@gmail.com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tr">
        <f>IFERROR(__xludf.DUMMYFUNCTION("""COMPUTED_VALUE"""),"كريمة سعيد")</f>
        <v>كريمة سعيد</v>
      </c>
      <c r="B533" s="5">
        <f>IFERROR(__xludf.DUMMYFUNCTION("""COMPUTED_VALUE"""),6.36191708065E11)</f>
        <v>636191708065</v>
      </c>
      <c r="C533" s="5" t="str">
        <f>IFERROR(__xludf.DUMMYFUNCTION("""COMPUTED_VALUE"""),"كريمة سعيد")</f>
        <v>كريمة سعيد</v>
      </c>
      <c r="D533" s="5">
        <f>IFERROR(__xludf.DUMMYFUNCTION("""COMPUTED_VALUE"""),2604.0)</f>
        <v>2604</v>
      </c>
      <c r="E533" s="5" t="str">
        <f>IFERROR(__xludf.DUMMYFUNCTION("""COMPUTED_VALUE"""),"EG04-EG05-EG06")</f>
        <v>EG04-EG05-EG06</v>
      </c>
      <c r="F533" s="5" t="str">
        <f>IFERROR(__xludf.DUMMYFUNCTION("""COMPUTED_VALUE"""),"karema0saed@gmail.com")</f>
        <v>karema0saed@gmail.com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tr">
        <f>IFERROR(__xludf.DUMMYFUNCTION("""COMPUTED_VALUE"""),"أيمن علي")</f>
        <v>أيمن علي</v>
      </c>
      <c r="B534" s="5">
        <f>IFERROR(__xludf.DUMMYFUNCTION("""COMPUTED_VALUE"""),2.36169469685E11)</f>
        <v>236169469685</v>
      </c>
      <c r="C534" s="5" t="str">
        <f>IFERROR(__xludf.DUMMYFUNCTION("""COMPUTED_VALUE"""),"أيمن علي")</f>
        <v>أيمن علي</v>
      </c>
      <c r="D534" s="5">
        <f>IFERROR(__xludf.DUMMYFUNCTION("""COMPUTED_VALUE"""),2625.0)</f>
        <v>2625</v>
      </c>
      <c r="E534" s="5" t="str">
        <f>IFERROR(__xludf.DUMMYFUNCTION("""COMPUTED_VALUE"""),"EG07-EG08-EG09")</f>
        <v>EG07-EG08-EG09</v>
      </c>
      <c r="F534" s="5" t="str">
        <f>IFERROR(__xludf.DUMMYFUNCTION("""COMPUTED_VALUE"""),"ayman3li077@gmail.com")</f>
        <v>ayman3li077@gmail.com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tr">
        <f>IFERROR(__xludf.DUMMYFUNCTION("""COMPUTED_VALUE"""),"محمود رجب")</f>
        <v>محمود رجب</v>
      </c>
      <c r="B535" s="5">
        <f>IFERROR(__xludf.DUMMYFUNCTION("""COMPUTED_VALUE"""),8.63124634182E11)</f>
        <v>863124634182</v>
      </c>
      <c r="C535" s="5" t="str">
        <f>IFERROR(__xludf.DUMMYFUNCTION("""COMPUTED_VALUE"""),"محمود رجب")</f>
        <v>محمود رجب</v>
      </c>
      <c r="D535" s="5">
        <f>IFERROR(__xludf.DUMMYFUNCTION("""COMPUTED_VALUE"""),2598.0)</f>
        <v>2598</v>
      </c>
      <c r="E535" s="5" t="str">
        <f>IFERROR(__xludf.DUMMYFUNCTION("""COMPUTED_VALUE"""),"EG04-EG05-EG06-EG07-EG08-EG09")</f>
        <v>EG04-EG05-EG06-EG07-EG08-EG09</v>
      </c>
      <c r="F535" s="5" t="str">
        <f>IFERROR(__xludf.DUMMYFUNCTION("""COMPUTED_VALUE"""),"mragab2@gmail.com")</f>
        <v>mragab2@gmail.com</v>
      </c>
      <c r="G535" s="5" t="str">
        <f>IFERROR(__xludf.DUMMYFUNCTION("""COMPUTED_VALUE"""),"01111180258")</f>
        <v>01111180258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tr">
        <f>IFERROR(__xludf.DUMMYFUNCTION("""COMPUTED_VALUE"""),"باسم المصري")</f>
        <v>باسم المصري</v>
      </c>
      <c r="B536" s="5">
        <f>IFERROR(__xludf.DUMMYFUNCTION("""COMPUTED_VALUE"""),3.89173496489E11)</f>
        <v>389173496489</v>
      </c>
      <c r="C536" s="5" t="str">
        <f>IFERROR(__xludf.DUMMYFUNCTION("""COMPUTED_VALUE"""),"باسم المصري")</f>
        <v>باسم المصري</v>
      </c>
      <c r="D536" s="5">
        <f>IFERROR(__xludf.DUMMYFUNCTION("""COMPUTED_VALUE"""),2565.0)</f>
        <v>2565</v>
      </c>
      <c r="E536" s="5" t="str">
        <f>IFERROR(__xludf.DUMMYFUNCTION("""COMPUTED_VALUE"""),"EG04-EG05-EG06")</f>
        <v>EG04-EG05-EG06</v>
      </c>
      <c r="F536" s="5" t="str">
        <f>IFERROR(__xludf.DUMMYFUNCTION("""COMPUTED_VALUE"""),"bassemalmasry80@gmail.com")</f>
        <v>bassemalmasry80@gmail.com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tr">
        <f>IFERROR(__xludf.DUMMYFUNCTION("""COMPUTED_VALUE"""),"أحمد خيري")</f>
        <v>أحمد خيري</v>
      </c>
      <c r="B537" s="5">
        <f>IFERROR(__xludf.DUMMYFUNCTION("""COMPUTED_VALUE"""),6.79107028652E11)</f>
        <v>679107028652</v>
      </c>
      <c r="C537" s="5" t="str">
        <f>IFERROR(__xludf.DUMMYFUNCTION("""COMPUTED_VALUE"""),"أحمد خيري")</f>
        <v>أحمد خيري</v>
      </c>
      <c r="D537" s="5">
        <f>IFERROR(__xludf.DUMMYFUNCTION("""COMPUTED_VALUE"""),2607.0)</f>
        <v>2607</v>
      </c>
      <c r="E537" s="5" t="str">
        <f>IFERROR(__xludf.DUMMYFUNCTION("""COMPUTED_VALUE"""),"EG04-EG05-EG06-EG07-EG08-EG09")</f>
        <v>EG04-EG05-EG06-EG07-EG08-EG09</v>
      </c>
      <c r="F537" s="5" t="str">
        <f>IFERROR(__xludf.DUMMYFUNCTION("""COMPUTED_VALUE"""),"akhiry443@gmail.com")</f>
        <v>akhiry443@gmail.com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tr">
        <f>IFERROR(__xludf.DUMMYFUNCTION("""COMPUTED_VALUE"""),"هدى شعبان")</f>
        <v>هدى شعبان</v>
      </c>
      <c r="B538" s="5">
        <f>IFERROR(__xludf.DUMMYFUNCTION("""COMPUTED_VALUE"""),1.75142750434E11)</f>
        <v>175142750434</v>
      </c>
      <c r="C538" s="5" t="str">
        <f>IFERROR(__xludf.DUMMYFUNCTION("""COMPUTED_VALUE"""),"هدى شعبان")</f>
        <v>هدى شعبان</v>
      </c>
      <c r="D538" s="5">
        <f>IFERROR(__xludf.DUMMYFUNCTION("""COMPUTED_VALUE"""),2600.0)</f>
        <v>2600</v>
      </c>
      <c r="E538" s="5" t="str">
        <f>IFERROR(__xludf.DUMMYFUNCTION("""COMPUTED_VALUE"""),"EG01-EG02-EG03")</f>
        <v>EG01-EG02-EG03</v>
      </c>
      <c r="F538" s="5" t="str">
        <f>IFERROR(__xludf.DUMMYFUNCTION("""COMPUTED_VALUE"""),"dodo.lougy2014@gmail.com")</f>
        <v>dodo.lougy2014@gmail.com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tr">
        <f>IFERROR(__xludf.DUMMYFUNCTION("""COMPUTED_VALUE"""),"ريهام أحمد")</f>
        <v>ريهام أحمد</v>
      </c>
      <c r="B539" s="5">
        <f>IFERROR(__xludf.DUMMYFUNCTION("""COMPUTED_VALUE"""),1.6518527362E11)</f>
        <v>165185273620</v>
      </c>
      <c r="C539" s="5" t="str">
        <f>IFERROR(__xludf.DUMMYFUNCTION("""COMPUTED_VALUE"""),"ريهام أحمد")</f>
        <v>ريهام أحمد</v>
      </c>
      <c r="D539" s="5">
        <f>IFERROR(__xludf.DUMMYFUNCTION("""COMPUTED_VALUE"""),2617.0)</f>
        <v>2617</v>
      </c>
      <c r="E539" s="5" t="str">
        <f>IFERROR(__xludf.DUMMYFUNCTION("""COMPUTED_VALUE"""),"EG04-EG05-EG06-EG07-EG08-EG09")</f>
        <v>EG04-EG05-EG06-EG07-EG08-EG09</v>
      </c>
      <c r="F539" s="5" t="str">
        <f>IFERROR(__xludf.DUMMYFUNCTION("""COMPUTED_VALUE"""),"rihamaql@gmail.com")</f>
        <v>rihamaql@gmail.com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tr">
        <f>IFERROR(__xludf.DUMMYFUNCTION("""COMPUTED_VALUE"""),"نهى عبد الرحمن")</f>
        <v>نهى عبد الرحمن</v>
      </c>
      <c r="B540" s="5">
        <f>IFERROR(__xludf.DUMMYFUNCTION("""COMPUTED_VALUE"""),9.72107636075E11)</f>
        <v>972107636075</v>
      </c>
      <c r="C540" s="5" t="str">
        <f>IFERROR(__xludf.DUMMYFUNCTION("""COMPUTED_VALUE"""),"نهى عبد الرحمن")</f>
        <v>نهى عبد الرحمن</v>
      </c>
      <c r="D540" s="5">
        <f>IFERROR(__xludf.DUMMYFUNCTION("""COMPUTED_VALUE"""),2621.0)</f>
        <v>2621</v>
      </c>
      <c r="E540" s="5" t="str">
        <f>IFERROR(__xludf.DUMMYFUNCTION("""COMPUTED_VALUE"""),"EG07-EG08-EG09-EG10-EG11-EG12")</f>
        <v>EG07-EG08-EG09-EG10-EG11-EG12</v>
      </c>
      <c r="F540" s="5" t="str">
        <f>IFERROR(__xludf.DUMMYFUNCTION("""COMPUTED_VALUE"""),"nohaabdelrahman840@gmail.com")</f>
        <v>nohaabdelrahman840@gmail.com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tr">
        <f>IFERROR(__xludf.DUMMYFUNCTION("""COMPUTED_VALUE"""),"نورهان فاضل")</f>
        <v>نورهان فاضل</v>
      </c>
      <c r="B541" s="5">
        <f>IFERROR(__xludf.DUMMYFUNCTION("""COMPUTED_VALUE"""),9.27186502806E11)</f>
        <v>927186502806</v>
      </c>
      <c r="C541" s="5" t="str">
        <f>IFERROR(__xludf.DUMMYFUNCTION("""COMPUTED_VALUE"""),"نورهان فاضل")</f>
        <v>نورهان فاضل</v>
      </c>
      <c r="D541" s="5">
        <f>IFERROR(__xludf.DUMMYFUNCTION("""COMPUTED_VALUE"""),2596.0)</f>
        <v>2596</v>
      </c>
      <c r="E541" s="5" t="str">
        <f>IFERROR(__xludf.DUMMYFUNCTION("""COMPUTED_VALUE"""),"EG01-EG02-EG03-EG04-EG05")</f>
        <v>EG01-EG02-EG03-EG04-EG05</v>
      </c>
      <c r="F541" s="5" t="str">
        <f>IFERROR(__xludf.DUMMYFUNCTION("""COMPUTED_VALUE"""),"nourhan.fdel5@gmail.com")</f>
        <v>nourhan.fdel5@gmail.com</v>
      </c>
      <c r="G541" s="5" t="str">
        <f>IFERROR(__xludf.DUMMYFUNCTION("""COMPUTED_VALUE"""),"01091234112")</f>
        <v>01091234112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tr">
        <f>IFERROR(__xludf.DUMMYFUNCTION("""COMPUTED_VALUE"""),"كاثرين ذكي")</f>
        <v>كاثرين ذكي</v>
      </c>
      <c r="B542" s="5">
        <f>IFERROR(__xludf.DUMMYFUNCTION("""COMPUTED_VALUE"""),1.64181742498E11)</f>
        <v>164181742498</v>
      </c>
      <c r="C542" s="5" t="str">
        <f>IFERROR(__xludf.DUMMYFUNCTION("""COMPUTED_VALUE"""),"كاثرين ذكي")</f>
        <v>كاثرين ذكي</v>
      </c>
      <c r="D542" s="5">
        <f>IFERROR(__xludf.DUMMYFUNCTION("""COMPUTED_VALUE"""),2554.0)</f>
        <v>2554</v>
      </c>
      <c r="E542" s="5" t="str">
        <f>IFERROR(__xludf.DUMMYFUNCTION("""COMPUTED_VALUE"""),"EG07-EG08")</f>
        <v>EG07-EG08</v>
      </c>
      <c r="F542" s="5" t="str">
        <f>IFERROR(__xludf.DUMMYFUNCTION("""COMPUTED_VALUE"""),"catherinezaki90@gmail.com")</f>
        <v>catherinezaki90@gmail.com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tr">
        <f>IFERROR(__xludf.DUMMYFUNCTION("""COMPUTED_VALUE"""),"داليا نبيل")</f>
        <v>داليا نبيل</v>
      </c>
      <c r="B543" s="5">
        <f>IFERROR(__xludf.DUMMYFUNCTION("""COMPUTED_VALUE"""),5.9616063024E11)</f>
        <v>596160630240</v>
      </c>
      <c r="C543" s="5" t="str">
        <f>IFERROR(__xludf.DUMMYFUNCTION("""COMPUTED_VALUE"""),"داليا نبيل")</f>
        <v>داليا نبيل</v>
      </c>
      <c r="D543" s="5">
        <f>IFERROR(__xludf.DUMMYFUNCTION("""COMPUTED_VALUE"""),2622.0)</f>
        <v>2622</v>
      </c>
      <c r="E543" s="5" t="str">
        <f>IFERROR(__xludf.DUMMYFUNCTION("""COMPUTED_VALUE"""),"EG04-EG05-EG06")</f>
        <v>EG04-EG05-EG06</v>
      </c>
      <c r="F543" s="5" t="str">
        <f>IFERROR(__xludf.DUMMYFUNCTION("""COMPUTED_VALUE"""),"dalianabil145@gmail.com")</f>
        <v>dalianabil145@gmail.com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tr">
        <f>IFERROR(__xludf.DUMMYFUNCTION("""COMPUTED_VALUE"""),"منة رأفت")</f>
        <v>منة رأفت</v>
      </c>
      <c r="B544" s="5">
        <f>IFERROR(__xludf.DUMMYFUNCTION("""COMPUTED_VALUE"""),5.46184861318E11)</f>
        <v>546184861318</v>
      </c>
      <c r="C544" s="5" t="str">
        <f>IFERROR(__xludf.DUMMYFUNCTION("""COMPUTED_VALUE"""),"منة رأفت")</f>
        <v>منة رأفت</v>
      </c>
      <c r="D544" s="5">
        <f>IFERROR(__xludf.DUMMYFUNCTION("""COMPUTED_VALUE"""),2616.0)</f>
        <v>2616</v>
      </c>
      <c r="E544" s="5" t="str">
        <f>IFERROR(__xludf.DUMMYFUNCTION("""COMPUTED_VALUE"""),"EG04-EG05-EG06")</f>
        <v>EG04-EG05-EG06</v>
      </c>
      <c r="F544" s="5" t="str">
        <f>IFERROR(__xludf.DUMMYFUNCTION("""COMPUTED_VALUE"""),"mennar048@gmail.com")</f>
        <v>mennar048@gmail.com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tr">
        <f>IFERROR(__xludf.DUMMYFUNCTION("""COMPUTED_VALUE"""),"سارة عادل")</f>
        <v>سارة عادل</v>
      </c>
      <c r="B545" s="5">
        <f>IFERROR(__xludf.DUMMYFUNCTION("""COMPUTED_VALUE"""),4.94132147854E11)</f>
        <v>494132147854</v>
      </c>
      <c r="C545" s="5" t="str">
        <f>IFERROR(__xludf.DUMMYFUNCTION("""COMPUTED_VALUE"""),"سارة عادل")</f>
        <v>سارة عادل</v>
      </c>
      <c r="D545" s="5">
        <f>IFERROR(__xludf.DUMMYFUNCTION("""COMPUTED_VALUE"""),2644.0)</f>
        <v>2644</v>
      </c>
      <c r="E545" s="5" t="str">
        <f>IFERROR(__xludf.DUMMYFUNCTION("""COMPUTED_VALUE"""),"EG04-EG05-EG06-EG07-EG08-EG09")</f>
        <v>EG04-EG05-EG06-EG07-EG08-EG09</v>
      </c>
      <c r="F545" s="5" t="str">
        <f>IFERROR(__xludf.DUMMYFUNCTION("""COMPUTED_VALUE"""),"sarahadel25@gmail.com")</f>
        <v>sarahadel25@gmail.com</v>
      </c>
      <c r="G545" s="5" t="str">
        <f>IFERROR(__xludf.DUMMYFUNCTION("""COMPUTED_VALUE"""),"01221284747")</f>
        <v>01221284747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tr">
        <f>IFERROR(__xludf.DUMMYFUNCTION("""COMPUTED_VALUE"""),"مريم الجوهري")</f>
        <v>مريم الجوهري</v>
      </c>
      <c r="B546" s="5">
        <f>IFERROR(__xludf.DUMMYFUNCTION("""COMPUTED_VALUE"""),4.98123203923E11)</f>
        <v>498123203923</v>
      </c>
      <c r="C546" s="5" t="str">
        <f>IFERROR(__xludf.DUMMYFUNCTION("""COMPUTED_VALUE"""),"مريم الجوهري")</f>
        <v>مريم الجوهري</v>
      </c>
      <c r="D546" s="5">
        <f>IFERROR(__xludf.DUMMYFUNCTION("""COMPUTED_VALUE"""),2055.0)</f>
        <v>2055</v>
      </c>
      <c r="E546" s="5" t="str">
        <f>IFERROR(__xludf.DUMMYFUNCTION("""COMPUTED_VALUE"""),"EG01-EG02-EG03")</f>
        <v>EG01-EG02-EG03</v>
      </c>
      <c r="F546" s="5" t="str">
        <f>IFERROR(__xludf.DUMMYFUNCTION("""COMPUTED_VALUE"""),"mariamelgohary8@gmail.com")</f>
        <v>mariamelgohary8@gmail.com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tr">
        <f>IFERROR(__xludf.DUMMYFUNCTION("""COMPUTED_VALUE"""),"محمود أحمد")</f>
        <v>محمود أحمد</v>
      </c>
      <c r="B547" s="5">
        <f>IFERROR(__xludf.DUMMYFUNCTION("""COMPUTED_VALUE"""),3.05106396548E11)</f>
        <v>305106396548</v>
      </c>
      <c r="C547" s="5" t="str">
        <f>IFERROR(__xludf.DUMMYFUNCTION("""COMPUTED_VALUE"""),"محمود أحمد")</f>
        <v>محمود أحمد</v>
      </c>
      <c r="D547" s="5">
        <f>IFERROR(__xludf.DUMMYFUNCTION("""COMPUTED_VALUE"""),2641.0)</f>
        <v>2641</v>
      </c>
      <c r="E547" s="5" t="str">
        <f>IFERROR(__xludf.DUMMYFUNCTION("""COMPUTED_VALUE"""),"EG07-EG08-EG09")</f>
        <v>EG07-EG08-EG09</v>
      </c>
      <c r="F547" s="5" t="str">
        <f>IFERROR(__xludf.DUMMYFUNCTION("""COMPUTED_VALUE"""),"gamerahmedg@gmail.com")</f>
        <v>gamerahmedg@gmail.com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tr">
        <f>IFERROR(__xludf.DUMMYFUNCTION("""COMPUTED_VALUE"""),"نانسي أحمد")</f>
        <v>نانسي أحمد</v>
      </c>
      <c r="B548" s="5">
        <f>IFERROR(__xludf.DUMMYFUNCTION("""COMPUTED_VALUE"""),4.5016982846E11)</f>
        <v>450169828460</v>
      </c>
      <c r="C548" s="5" t="str">
        <f>IFERROR(__xludf.DUMMYFUNCTION("""COMPUTED_VALUE"""),"نانسي أحمد")</f>
        <v>نانسي أحمد</v>
      </c>
      <c r="D548" s="5">
        <f>IFERROR(__xludf.DUMMYFUNCTION("""COMPUTED_VALUE"""),2639.0)</f>
        <v>2639</v>
      </c>
      <c r="E548" s="5" t="str">
        <f>IFERROR(__xludf.DUMMYFUNCTION("""COMPUTED_VALUE"""),"EG04-EG05-EG06")</f>
        <v>EG04-EG05-EG06</v>
      </c>
      <c r="F548" s="5" t="str">
        <f>IFERROR(__xludf.DUMMYFUNCTION("""COMPUTED_VALUE"""),"nancyahmed9720@gmail.com")</f>
        <v>nancyahmed9720@gmail.com</v>
      </c>
      <c r="G548" s="5" t="str">
        <f>IFERROR(__xludf.DUMMYFUNCTION("""COMPUTED_VALUE"""),"01226903380")</f>
        <v>01226903380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tr">
        <f>IFERROR(__xludf.DUMMYFUNCTION("""COMPUTED_VALUE"""),"محمود شريف")</f>
        <v>محمود شريف</v>
      </c>
      <c r="B549" s="5">
        <f>IFERROR(__xludf.DUMMYFUNCTION("""COMPUTED_VALUE"""),9.82159721983E11)</f>
        <v>982159721983</v>
      </c>
      <c r="C549" s="5" t="str">
        <f>IFERROR(__xludf.DUMMYFUNCTION("""COMPUTED_VALUE"""),"محمود شريف")</f>
        <v>محمود شريف</v>
      </c>
      <c r="D549" s="5">
        <f>IFERROR(__xludf.DUMMYFUNCTION("""COMPUTED_VALUE"""),2658.0)</f>
        <v>2658</v>
      </c>
      <c r="E549" s="5" t="str">
        <f>IFERROR(__xludf.DUMMYFUNCTION("""COMPUTED_VALUE"""),"EG07-EG08-EG09-EG10")</f>
        <v>EG07-EG08-EG09-EG10</v>
      </c>
      <c r="F549" s="5" t="str">
        <f>IFERROR(__xludf.DUMMYFUNCTION("""COMPUTED_VALUE"""),"melfar836@gmail.com")</f>
        <v>melfar836@gmail.com</v>
      </c>
      <c r="G549" s="5" t="str">
        <f>IFERROR(__xludf.DUMMYFUNCTION("""COMPUTED_VALUE"""),"+201289807074")</f>
        <v>+201289807074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tr">
        <f>IFERROR(__xludf.DUMMYFUNCTION("""COMPUTED_VALUE"""),"ميشيل عماد")</f>
        <v>ميشيل عماد</v>
      </c>
      <c r="B550" s="5">
        <f>IFERROR(__xludf.DUMMYFUNCTION("""COMPUTED_VALUE"""),5.76150576975E11)</f>
        <v>576150576975</v>
      </c>
      <c r="C550" s="5" t="str">
        <f>IFERROR(__xludf.DUMMYFUNCTION("""COMPUTED_VALUE"""),"ميشيل عماد")</f>
        <v>ميشيل عماد</v>
      </c>
      <c r="D550" s="5">
        <f>IFERROR(__xludf.DUMMYFUNCTION("""COMPUTED_VALUE"""),2615.0)</f>
        <v>2615</v>
      </c>
      <c r="E550" s="5" t="str">
        <f>IFERROR(__xludf.DUMMYFUNCTION("""COMPUTED_VALUE"""),"EG07-EG08-EG09")</f>
        <v>EG07-EG08-EG09</v>
      </c>
      <c r="F550" s="5" t="str">
        <f>IFERROR(__xludf.DUMMYFUNCTION("""COMPUTED_VALUE"""),"michel.emad17@gmail.com")</f>
        <v>michel.emad17@gmail.com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tr">
        <f>IFERROR(__xludf.DUMMYFUNCTION("""COMPUTED_VALUE"""),"أسماء حمزة")</f>
        <v>أسماء حمزة</v>
      </c>
      <c r="B551" s="5">
        <f>IFERROR(__xludf.DUMMYFUNCTION("""COMPUTED_VALUE"""),9.67160462696E11)</f>
        <v>967160462696</v>
      </c>
      <c r="C551" s="5" t="str">
        <f>IFERROR(__xludf.DUMMYFUNCTION("""COMPUTED_VALUE"""),"أسماء حمزة")</f>
        <v>أسماء حمزة</v>
      </c>
      <c r="D551" s="5">
        <f>IFERROR(__xludf.DUMMYFUNCTION("""COMPUTED_VALUE"""),2643.0)</f>
        <v>2643</v>
      </c>
      <c r="E551" s="5" t="str">
        <f>IFERROR(__xludf.DUMMYFUNCTION("""COMPUTED_VALUE"""),"EG01-EG02")</f>
        <v>EG01-EG02</v>
      </c>
      <c r="F551" s="5" t="str">
        <f>IFERROR(__xludf.DUMMYFUNCTION("""COMPUTED_VALUE"""),"somahamza27@gmail.com")</f>
        <v>somahamza27@gmail.com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tr">
        <f>IFERROR(__xludf.DUMMYFUNCTION("""COMPUTED_VALUE"""),"شاهندة عبد العزيز")</f>
        <v>شاهندة عبد العزيز</v>
      </c>
      <c r="B552" s="5">
        <f>IFERROR(__xludf.DUMMYFUNCTION("""COMPUTED_VALUE"""),1.3517896535E11)</f>
        <v>135178965350</v>
      </c>
      <c r="C552" s="5" t="str">
        <f>IFERROR(__xludf.DUMMYFUNCTION("""COMPUTED_VALUE"""),"شاهندة عبد العزيز")</f>
        <v>شاهندة عبد العزيز</v>
      </c>
      <c r="D552" s="5">
        <f>IFERROR(__xludf.DUMMYFUNCTION("""COMPUTED_VALUE"""),2642.0)</f>
        <v>2642</v>
      </c>
      <c r="E552" s="5" t="str">
        <f>IFERROR(__xludf.DUMMYFUNCTION("""COMPUTED_VALUE"""),"EG01-EG02")</f>
        <v>EG01-EG02</v>
      </c>
      <c r="F552" s="5" t="str">
        <f>IFERROR(__xludf.DUMMYFUNCTION("""COMPUTED_VALUE"""),"shahendaabdulaziz98@gmail.com")</f>
        <v>shahendaabdulaziz98@gmail.com</v>
      </c>
      <c r="G552" s="5" t="str">
        <f>IFERROR(__xludf.DUMMYFUNCTION("""COMPUTED_VALUE"""),"01004298923")</f>
        <v>01004298923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tr">
        <f>IFERROR(__xludf.DUMMYFUNCTION("""COMPUTED_VALUE"""),"نصر صالح")</f>
        <v>نصر صالح</v>
      </c>
      <c r="B553" s="5">
        <f>IFERROR(__xludf.DUMMYFUNCTION("""COMPUTED_VALUE"""),7.82154150214E11)</f>
        <v>782154150214</v>
      </c>
      <c r="C553" s="5" t="str">
        <f>IFERROR(__xludf.DUMMYFUNCTION("""COMPUTED_VALUE"""),"نصر صالح")</f>
        <v>نصر صالح</v>
      </c>
      <c r="D553" s="5">
        <f>IFERROR(__xludf.DUMMYFUNCTION("""COMPUTED_VALUE"""),2678.0)</f>
        <v>2678</v>
      </c>
      <c r="E553" s="5" t="str">
        <f>IFERROR(__xludf.DUMMYFUNCTION("""COMPUTED_VALUE"""),"EG07-EG08-EG09")</f>
        <v>EG07-EG08-EG09</v>
      </c>
      <c r="F553" s="5" t="str">
        <f>IFERROR(__xludf.DUMMYFUNCTION("""COMPUTED_VALUE"""),"eng.nasrsaleh@gmail.com")</f>
        <v>eng.nasrsaleh@gmail.com</v>
      </c>
      <c r="G553" s="5" t="str">
        <f>IFERROR(__xludf.DUMMYFUNCTION("""COMPUTED_VALUE"""),"01008960199")</f>
        <v>01008960199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tr">
        <f>IFERROR(__xludf.DUMMYFUNCTION("""COMPUTED_VALUE"""),"دنيا منصور")</f>
        <v>دنيا منصور</v>
      </c>
      <c r="B554" s="5">
        <f>IFERROR(__xludf.DUMMYFUNCTION("""COMPUTED_VALUE"""),8.59191972717E11)</f>
        <v>859191972717</v>
      </c>
      <c r="C554" s="5" t="str">
        <f>IFERROR(__xludf.DUMMYFUNCTION("""COMPUTED_VALUE"""),"دنيا منصور")</f>
        <v>دنيا منصور</v>
      </c>
      <c r="D554" s="5">
        <f>IFERROR(__xludf.DUMMYFUNCTION("""COMPUTED_VALUE"""),2675.0)</f>
        <v>2675</v>
      </c>
      <c r="E554" s="5" t="str">
        <f>IFERROR(__xludf.DUMMYFUNCTION("""COMPUTED_VALUE"""),"EG04-EG05-EG06-EG10")</f>
        <v>EG04-EG05-EG06-EG10</v>
      </c>
      <c r="F554" s="5" t="str">
        <f>IFERROR(__xludf.DUMMYFUNCTION("""COMPUTED_VALUE"""),"ddoniamansour@gmail.com")</f>
        <v>ddoniamansour@gmail.com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tr">
        <f>IFERROR(__xludf.DUMMYFUNCTION("""COMPUTED_VALUE"""),"مصطفى عتمان")</f>
        <v>مصطفى عتمان</v>
      </c>
      <c r="B555" s="5">
        <f>IFERROR(__xludf.DUMMYFUNCTION("""COMPUTED_VALUE"""),1.79182107469E11)</f>
        <v>179182107469</v>
      </c>
      <c r="C555" s="5" t="str">
        <f>IFERROR(__xludf.DUMMYFUNCTION("""COMPUTED_VALUE"""),"مصطفى عتمان")</f>
        <v>مصطفى عتمان</v>
      </c>
      <c r="D555" s="5">
        <f>IFERROR(__xludf.DUMMYFUNCTION("""COMPUTED_VALUE"""),2676.0)</f>
        <v>2676</v>
      </c>
      <c r="E555" s="5" t="str">
        <f>IFERROR(__xludf.DUMMYFUNCTION("""COMPUTED_VALUE"""),"EG04-EG05-EG06")</f>
        <v>EG04-EG05-EG06</v>
      </c>
      <c r="F555" s="5" t="str">
        <f>IFERROR(__xludf.DUMMYFUNCTION("""COMPUTED_VALUE"""),"ettmanmostafa@gmail.com")</f>
        <v>ettmanmostafa@gmail.com</v>
      </c>
      <c r="G555" s="5" t="str">
        <f>IFERROR(__xludf.DUMMYFUNCTION("""COMPUTED_VALUE"""),"01002002430")</f>
        <v>01002002430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tr">
        <f>IFERROR(__xludf.DUMMYFUNCTION("""COMPUTED_VALUE"""),"محمد عبد الراضي")</f>
        <v>محمد عبد الراضي</v>
      </c>
      <c r="B556" s="5">
        <f>IFERROR(__xludf.DUMMYFUNCTION("""COMPUTED_VALUE"""),4.59169091647E11)</f>
        <v>459169091647</v>
      </c>
      <c r="C556" s="5" t="str">
        <f>IFERROR(__xludf.DUMMYFUNCTION("""COMPUTED_VALUE"""),"محمد عبد الراضي")</f>
        <v>محمد عبد الراضي</v>
      </c>
      <c r="D556" s="5">
        <f>IFERROR(__xludf.DUMMYFUNCTION("""COMPUTED_VALUE"""),2663.0)</f>
        <v>2663</v>
      </c>
      <c r="E556" s="5" t="str">
        <f>IFERROR(__xludf.DUMMYFUNCTION("""COMPUTED_VALUE"""),"EG04-EG05-EG06")</f>
        <v>EG04-EG05-EG06</v>
      </c>
      <c r="F556" s="5" t="str">
        <f>IFERROR(__xludf.DUMMYFUNCTION("""COMPUTED_VALUE"""),"mb4940749@gmail.com")</f>
        <v>mb4940749@gmail.com</v>
      </c>
      <c r="G556" s="5" t="str">
        <f>IFERROR(__xludf.DUMMYFUNCTION("""COMPUTED_VALUE"""),"01005056280")</f>
        <v>01005056280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tr">
        <f>IFERROR(__xludf.DUMMYFUNCTION("""COMPUTED_VALUE"""),"أحمد محمد")</f>
        <v>أحمد محمد</v>
      </c>
      <c r="B557" s="5">
        <f>IFERROR(__xludf.DUMMYFUNCTION("""COMPUTED_VALUE"""),3.13175709374E11)</f>
        <v>313175709374</v>
      </c>
      <c r="C557" s="5" t="str">
        <f>IFERROR(__xludf.DUMMYFUNCTION("""COMPUTED_VALUE"""),"أحمد محمد")</f>
        <v>أحمد محمد</v>
      </c>
      <c r="D557" s="5">
        <f>IFERROR(__xludf.DUMMYFUNCTION("""COMPUTED_VALUE"""),2764.0)</f>
        <v>2764</v>
      </c>
      <c r="E557" s="5" t="str">
        <f>IFERROR(__xludf.DUMMYFUNCTION("""COMPUTED_VALUE"""),"EG07-EG08-EG09")</f>
        <v>EG07-EG08-EG09</v>
      </c>
      <c r="F557" s="5" t="str">
        <f>IFERROR(__xludf.DUMMYFUNCTION("""COMPUTED_VALUE"""),"am4100@fayoum.edu.eg")</f>
        <v>am4100@fayoum.edu.eg</v>
      </c>
      <c r="G557" s="5" t="str">
        <f>IFERROR(__xludf.DUMMYFUNCTION("""COMPUTED_VALUE"""),"01098477286")</f>
        <v>01098477286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tr">
        <f>IFERROR(__xludf.DUMMYFUNCTION("""COMPUTED_VALUE"""),"ندى صلاح")</f>
        <v>ندى صلاح</v>
      </c>
      <c r="B558" s="5">
        <f>IFERROR(__xludf.DUMMYFUNCTION("""COMPUTED_VALUE"""),4.23152568123E11)</f>
        <v>423152568123</v>
      </c>
      <c r="C558" s="5" t="str">
        <f>IFERROR(__xludf.DUMMYFUNCTION("""COMPUTED_VALUE"""),"ندى صلاح")</f>
        <v>ندى صلاح</v>
      </c>
      <c r="D558" s="5">
        <f>IFERROR(__xludf.DUMMYFUNCTION("""COMPUTED_VALUE"""),2674.0)</f>
        <v>2674</v>
      </c>
      <c r="E558" s="5" t="str">
        <f>IFERROR(__xludf.DUMMYFUNCTION("""COMPUTED_VALUE"""),"EG04-EG05-EG06")</f>
        <v>EG04-EG05-EG06</v>
      </c>
      <c r="F558" s="5" t="str">
        <f>IFERROR(__xludf.DUMMYFUNCTION("""COMPUTED_VALUE"""),"ns5603341@gmail.com")</f>
        <v>ns5603341@gmail.com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tr">
        <f>IFERROR(__xludf.DUMMYFUNCTION("""COMPUTED_VALUE"""),"نيفين السعيد")</f>
        <v>نيفين السعيد</v>
      </c>
      <c r="B559" s="5">
        <f>IFERROR(__xludf.DUMMYFUNCTION("""COMPUTED_VALUE"""),7.46149714625E11)</f>
        <v>746149714625</v>
      </c>
      <c r="C559" s="5" t="str">
        <f>IFERROR(__xludf.DUMMYFUNCTION("""COMPUTED_VALUE"""),"نيفين السعيد")</f>
        <v>نيفين السعيد</v>
      </c>
      <c r="D559" s="5">
        <f>IFERROR(__xludf.DUMMYFUNCTION("""COMPUTED_VALUE"""),2591.0)</f>
        <v>2591</v>
      </c>
      <c r="E559" s="5" t="str">
        <f>IFERROR(__xludf.DUMMYFUNCTION("""COMPUTED_VALUE"""),"EG04-EG05-EG06")</f>
        <v>EG04-EG05-EG06</v>
      </c>
      <c r="F559" s="5" t="str">
        <f>IFERROR(__xludf.DUMMYFUNCTION("""COMPUTED_VALUE"""),"nsanad90@gmail.com")</f>
        <v>nsanad90@gmail.com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tr">
        <f>IFERROR(__xludf.DUMMYFUNCTION("""COMPUTED_VALUE"""),"أماني سعد")</f>
        <v>أماني سعد</v>
      </c>
      <c r="B560" s="5">
        <f>IFERROR(__xludf.DUMMYFUNCTION("""COMPUTED_VALUE"""),8.79135754897E11)</f>
        <v>879135754897</v>
      </c>
      <c r="C560" s="5" t="str">
        <f>IFERROR(__xludf.DUMMYFUNCTION("""COMPUTED_VALUE"""),"أماني سعد")</f>
        <v>أماني سعد</v>
      </c>
      <c r="D560" s="5">
        <f>IFERROR(__xludf.DUMMYFUNCTION("""COMPUTED_VALUE"""),2619.0)</f>
        <v>2619</v>
      </c>
      <c r="E560" s="5" t="str">
        <f>IFERROR(__xludf.DUMMYFUNCTION("""COMPUTED_VALUE"""),"EG01-EG02-EG03")</f>
        <v>EG01-EG02-EG03</v>
      </c>
      <c r="F560" s="5" t="str">
        <f>IFERROR(__xludf.DUMMYFUNCTION("""COMPUTED_VALUE"""),"amanianas217@gmail.com")</f>
        <v>amanianas217@gmail.com</v>
      </c>
      <c r="G560" s="5" t="str">
        <f>IFERROR(__xludf.DUMMYFUNCTION("""COMPUTED_VALUE"""),"01001014795")</f>
        <v>01001014795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tr">
        <f>IFERROR(__xludf.DUMMYFUNCTION("""COMPUTED_VALUE"""),"هبة حمزة")</f>
        <v>هبة حمزة</v>
      </c>
      <c r="B561" s="5">
        <f>IFERROR(__xludf.DUMMYFUNCTION("""COMPUTED_VALUE"""),3.93183180213E11)</f>
        <v>393183180213</v>
      </c>
      <c r="C561" s="5" t="str">
        <f>IFERROR(__xludf.DUMMYFUNCTION("""COMPUTED_VALUE"""),"هبة حمزة")</f>
        <v>هبة حمزة</v>
      </c>
      <c r="D561" s="5">
        <f>IFERROR(__xludf.DUMMYFUNCTION("""COMPUTED_VALUE"""),2602.0)</f>
        <v>2602</v>
      </c>
      <c r="E561" s="5" t="str">
        <f>IFERROR(__xludf.DUMMYFUNCTION("""COMPUTED_VALUE"""),"EG07-EG08-EG09-EG10")</f>
        <v>EG07-EG08-EG09-EG10</v>
      </c>
      <c r="F561" s="5" t="str">
        <f>IFERROR(__xludf.DUMMYFUNCTION("""COMPUTED_VALUE"""),"hebahamza662202@gmail.com")</f>
        <v>hebahamza662202@gmail.com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tr">
        <f>IFERROR(__xludf.DUMMYFUNCTION("""COMPUTED_VALUE"""),"حسناء الجزار")</f>
        <v>حسناء الجزار</v>
      </c>
      <c r="B562" s="5">
        <f>IFERROR(__xludf.DUMMYFUNCTION("""COMPUTED_VALUE"""),5.43127859795E11)</f>
        <v>543127859795</v>
      </c>
      <c r="C562" s="5" t="str">
        <f>IFERROR(__xludf.DUMMYFUNCTION("""COMPUTED_VALUE"""),"حسناء الجزار")</f>
        <v>حسناء الجزار</v>
      </c>
      <c r="D562" s="5">
        <f>IFERROR(__xludf.DUMMYFUNCTION("""COMPUTED_VALUE"""),2601.0)</f>
        <v>2601</v>
      </c>
      <c r="E562" s="5" t="str">
        <f>IFERROR(__xludf.DUMMYFUNCTION("""COMPUTED_VALUE"""),"EG04-EG05-EG06-EG07-EG08")</f>
        <v>EG04-EG05-EG06-EG07-EG08</v>
      </c>
      <c r="F562" s="5" t="str">
        <f>IFERROR(__xludf.DUMMYFUNCTION("""COMPUTED_VALUE"""),"hasnaa.seen@gmail.com")</f>
        <v>hasnaa.seen@gmail.com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tr">
        <f>IFERROR(__xludf.DUMMYFUNCTION("""COMPUTED_VALUE"""),"سعيد منصور")</f>
        <v>سعيد منصور</v>
      </c>
      <c r="B563" s="5">
        <f>IFERROR(__xludf.DUMMYFUNCTION("""COMPUTED_VALUE"""),2.82156737906E11)</f>
        <v>282156737906</v>
      </c>
      <c r="C563" s="5" t="str">
        <f>IFERROR(__xludf.DUMMYFUNCTION("""COMPUTED_VALUE"""),"سعيد منصور")</f>
        <v>سعيد منصور</v>
      </c>
      <c r="D563" s="5">
        <f>IFERROR(__xludf.DUMMYFUNCTION("""COMPUTED_VALUE"""),2635.0)</f>
        <v>2635</v>
      </c>
      <c r="E563" s="5" t="str">
        <f>IFERROR(__xludf.DUMMYFUNCTION("""COMPUTED_VALUE"""),"EG07-EG08-EG09-EG10-EG11-EG12")</f>
        <v>EG07-EG08-EG09-EG10-EG11-EG12</v>
      </c>
      <c r="F563" s="5" t="str">
        <f>IFERROR(__xludf.DUMMYFUNCTION("""COMPUTED_VALUE"""),"saedmansut@gmail.com")</f>
        <v>saedmansut@gmail.com</v>
      </c>
      <c r="G563" s="5" t="str">
        <f>IFERROR(__xludf.DUMMYFUNCTION("""COMPUTED_VALUE"""),"01018846462")</f>
        <v>01018846462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tr">
        <f>IFERROR(__xludf.DUMMYFUNCTION("""COMPUTED_VALUE"""),"جودة عبد العزيز")</f>
        <v>جودة عبد العزيز</v>
      </c>
      <c r="B564" s="5">
        <f>IFERROR(__xludf.DUMMYFUNCTION("""COMPUTED_VALUE"""),2.48148530686E11)</f>
        <v>248148530686</v>
      </c>
      <c r="C564" s="5" t="str">
        <f>IFERROR(__xludf.DUMMYFUNCTION("""COMPUTED_VALUE"""),"جودة عبد العزيز")</f>
        <v>جودة عبد العزيز</v>
      </c>
      <c r="D564" s="5">
        <f>IFERROR(__xludf.DUMMYFUNCTION("""COMPUTED_VALUE"""),2645.0)</f>
        <v>2645</v>
      </c>
      <c r="E564" s="5" t="str">
        <f>IFERROR(__xludf.DUMMYFUNCTION("""COMPUTED_VALUE"""),"EG07-EG08-EG09")</f>
        <v>EG07-EG08-EG09</v>
      </c>
      <c r="F564" s="5" t="str">
        <f>IFERROR(__xludf.DUMMYFUNCTION("""COMPUTED_VALUE"""),"jihadgag@gmail.com")</f>
        <v>jihadgag@gmail.com</v>
      </c>
      <c r="G564" s="5">
        <f>IFERROR(__xludf.DUMMYFUNCTION("""COMPUTED_VALUE"""),1.0207193E9)</f>
        <v>1020719300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tr">
        <f>IFERROR(__xludf.DUMMYFUNCTION("""COMPUTED_VALUE"""),"ناريمان الشاعر")</f>
        <v>ناريمان الشاعر</v>
      </c>
      <c r="B565" s="5">
        <f>IFERROR(__xludf.DUMMYFUNCTION("""COMPUTED_VALUE"""),3.90140483239E11)</f>
        <v>390140483239</v>
      </c>
      <c r="C565" s="5" t="str">
        <f>IFERROR(__xludf.DUMMYFUNCTION("""COMPUTED_VALUE"""),"ناريمان الشاعر")</f>
        <v>ناريمان الشاعر</v>
      </c>
      <c r="D565" s="5">
        <f>IFERROR(__xludf.DUMMYFUNCTION("""COMPUTED_VALUE"""),2671.0)</f>
        <v>2671</v>
      </c>
      <c r="E565" s="5" t="str">
        <f>IFERROR(__xludf.DUMMYFUNCTION("""COMPUTED_VALUE"""),"EG04-EG05-EG06")</f>
        <v>EG04-EG05-EG06</v>
      </c>
      <c r="F565" s="5" t="str">
        <f>IFERROR(__xludf.DUMMYFUNCTION("""COMPUTED_VALUE"""),"narimanelshaer29@gmail.com")</f>
        <v>narimanelshaer29@gmail.com</v>
      </c>
      <c r="G565" s="5" t="str">
        <f>IFERROR(__xludf.DUMMYFUNCTION("""COMPUTED_VALUE"""),"01068481234")</f>
        <v>01068481234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tr">
        <f>IFERROR(__xludf.DUMMYFUNCTION("""COMPUTED_VALUE"""),"ياسمين إيهاب")</f>
        <v>ياسمين إيهاب</v>
      </c>
      <c r="B566" s="5">
        <f>IFERROR(__xludf.DUMMYFUNCTION("""COMPUTED_VALUE"""),2.0616464079E11)</f>
        <v>206164640790</v>
      </c>
      <c r="C566" s="5" t="str">
        <f>IFERROR(__xludf.DUMMYFUNCTION("""COMPUTED_VALUE"""),"ياسمين إيهاب")</f>
        <v>ياسمين إيهاب</v>
      </c>
      <c r="D566" s="5">
        <f>IFERROR(__xludf.DUMMYFUNCTION("""COMPUTED_VALUE"""),2623.0)</f>
        <v>2623</v>
      </c>
      <c r="E566" s="5" t="str">
        <f>IFERROR(__xludf.DUMMYFUNCTION("""COMPUTED_VALUE"""),"EG01-EG02-EG03-EG04-EG05-EG06")</f>
        <v>EG01-EG02-EG03-EG04-EG05-EG06</v>
      </c>
      <c r="F566" s="5" t="str">
        <f>IFERROR(__xludf.DUMMYFUNCTION("""COMPUTED_VALUE"""),"yasmin.ihab.abdelwahed@hotmail.com")</f>
        <v>yasmin.ihab.abdelwahed@hotmail.com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tr">
        <f>IFERROR(__xludf.DUMMYFUNCTION("""COMPUTED_VALUE"""),"سعد بحيري")</f>
        <v>سعد بحيري</v>
      </c>
      <c r="B567" s="5">
        <f>IFERROR(__xludf.DUMMYFUNCTION("""COMPUTED_VALUE"""),5.2412159726E11)</f>
        <v>524121597260</v>
      </c>
      <c r="C567" s="5" t="str">
        <f>IFERROR(__xludf.DUMMYFUNCTION("""COMPUTED_VALUE"""),"سعد بحيري")</f>
        <v>سعد بحيري</v>
      </c>
      <c r="D567" s="5">
        <f>IFERROR(__xludf.DUMMYFUNCTION("""COMPUTED_VALUE"""),2608.0)</f>
        <v>2608</v>
      </c>
      <c r="E567" s="5" t="str">
        <f>IFERROR(__xludf.DUMMYFUNCTION("""COMPUTED_VALUE"""),"EG04-EG05-EG06-EG07-EG08")</f>
        <v>EG04-EG05-EG06-EG07-EG08</v>
      </c>
      <c r="F567" s="5" t="str">
        <f>IFERROR(__xludf.DUMMYFUNCTION("""COMPUTED_VALUE"""),"saadbehery13@gmail.com")</f>
        <v>saadbehery13@gmail.com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tr">
        <f>IFERROR(__xludf.DUMMYFUNCTION("""COMPUTED_VALUE"""),"أسماء صابر")</f>
        <v>أسماء صابر</v>
      </c>
      <c r="B568" s="5">
        <f>IFERROR(__xludf.DUMMYFUNCTION("""COMPUTED_VALUE"""),6.90175608128E11)</f>
        <v>690175608128</v>
      </c>
      <c r="C568" s="5" t="str">
        <f>IFERROR(__xludf.DUMMYFUNCTION("""COMPUTED_VALUE"""),"أسماء صابر")</f>
        <v>أسماء صابر</v>
      </c>
      <c r="D568" s="5">
        <f>IFERROR(__xludf.DUMMYFUNCTION("""COMPUTED_VALUE"""),2680.0)</f>
        <v>2680</v>
      </c>
      <c r="E568" s="5" t="str">
        <f>IFERROR(__xludf.DUMMYFUNCTION("""COMPUTED_VALUE"""),"EG03-EG04-EG05-EG06")</f>
        <v>EG03-EG04-EG05-EG06</v>
      </c>
      <c r="F568" s="5" t="str">
        <f>IFERROR(__xludf.DUMMYFUNCTION("""COMPUTED_VALUE"""),"math.department.eg@gmail.com")</f>
        <v>math.department.eg@gmail.com</v>
      </c>
      <c r="G568" s="5" t="str">
        <f>IFERROR(__xludf.DUMMYFUNCTION("""COMPUTED_VALUE"""),"01016652043")</f>
        <v>01016652043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tr">
        <f>IFERROR(__xludf.DUMMYFUNCTION("""COMPUTED_VALUE"""),"ياسمين زكي")</f>
        <v>ياسمين زكي</v>
      </c>
      <c r="B569" s="5">
        <f>IFERROR(__xludf.DUMMYFUNCTION("""COMPUTED_VALUE"""),3.02164164286E11)</f>
        <v>302164164286</v>
      </c>
      <c r="C569" s="5" t="str">
        <f>IFERROR(__xludf.DUMMYFUNCTION("""COMPUTED_VALUE"""),"ياسمين زكي")</f>
        <v>ياسمين زكي</v>
      </c>
      <c r="D569" s="5">
        <f>IFERROR(__xludf.DUMMYFUNCTION("""COMPUTED_VALUE"""),2685.0)</f>
        <v>2685</v>
      </c>
      <c r="E569" s="5" t="str">
        <f>IFERROR(__xludf.DUMMYFUNCTION("""COMPUTED_VALUE"""),"EG04-EG05")</f>
        <v>EG04-EG05</v>
      </c>
      <c r="F569" s="5" t="str">
        <f>IFERROR(__xludf.DUMMYFUNCTION("""COMPUTED_VALUE"""),"yasmin.t.zaki@gmail.com")</f>
        <v>yasmin.t.zaki@gmail.com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tr">
        <f>IFERROR(__xludf.DUMMYFUNCTION("""COMPUTED_VALUE"""),"هبة كمال")</f>
        <v>هبة كمال</v>
      </c>
      <c r="B570" s="5">
        <f>IFERROR(__xludf.DUMMYFUNCTION("""COMPUTED_VALUE"""),7.67182953239E11)</f>
        <v>767182953239</v>
      </c>
      <c r="C570" s="5" t="str">
        <f>IFERROR(__xludf.DUMMYFUNCTION("""COMPUTED_VALUE"""),"هبة كمال")</f>
        <v>هبة كمال</v>
      </c>
      <c r="D570" s="5">
        <f>IFERROR(__xludf.DUMMYFUNCTION("""COMPUTED_VALUE"""),2688.0)</f>
        <v>2688</v>
      </c>
      <c r="E570" s="5" t="str">
        <f>IFERROR(__xludf.DUMMYFUNCTION("""COMPUTED_VALUE"""),"EG01-EG02-EG03-EG04-EG05-EG06")</f>
        <v>EG01-EG02-EG03-EG04-EG05-EG06</v>
      </c>
      <c r="F570" s="5" t="str">
        <f>IFERROR(__xludf.DUMMYFUNCTION("""COMPUTED_VALUE"""),"hebakamal1991@gmail.com")</f>
        <v>hebakamal1991@gmail.com</v>
      </c>
      <c r="G570" s="5" t="str">
        <f>IFERROR(__xludf.DUMMYFUNCTION("""COMPUTED_VALUE"""),"01129502289")</f>
        <v>01129502289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tr">
        <f>IFERROR(__xludf.DUMMYFUNCTION("""COMPUTED_VALUE"""),"أسماء النوبي")</f>
        <v>أسماء النوبي</v>
      </c>
      <c r="B571" s="5">
        <f>IFERROR(__xludf.DUMMYFUNCTION("""COMPUTED_VALUE"""),2.0312129415E11)</f>
        <v>203121294150</v>
      </c>
      <c r="C571" s="5" t="str">
        <f>IFERROR(__xludf.DUMMYFUNCTION("""COMPUTED_VALUE"""),"أسماء النوبي")</f>
        <v>أسماء النوبي</v>
      </c>
      <c r="D571" s="5">
        <f>IFERROR(__xludf.DUMMYFUNCTION("""COMPUTED_VALUE"""),2262.0)</f>
        <v>2262</v>
      </c>
      <c r="E571" s="5" t="str">
        <f>IFERROR(__xludf.DUMMYFUNCTION("""COMPUTED_VALUE"""),"EG03-EG04-EG05-EG06")</f>
        <v>EG03-EG04-EG05-EG06</v>
      </c>
      <c r="F571" s="5" t="str">
        <f>IFERROR(__xludf.DUMMYFUNCTION("""COMPUTED_VALUE"""),"asmaa.elnoubi@gmail.com")</f>
        <v>asmaa.elnoubi@gmail.com</v>
      </c>
      <c r="G571" s="5" t="str">
        <f>IFERROR(__xludf.DUMMYFUNCTION("""COMPUTED_VALUE"""),"01270115158")</f>
        <v>01270115158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tr">
        <f>IFERROR(__xludf.DUMMYFUNCTION("""COMPUTED_VALUE"""),"ريهام عادل")</f>
        <v>ريهام عادل</v>
      </c>
      <c r="B572" s="5">
        <f>IFERROR(__xludf.DUMMYFUNCTION("""COMPUTED_VALUE"""),3.70154903174E11)</f>
        <v>370154903174</v>
      </c>
      <c r="C572" s="5" t="str">
        <f>IFERROR(__xludf.DUMMYFUNCTION("""COMPUTED_VALUE"""),"ريهام عادل")</f>
        <v>ريهام عادل</v>
      </c>
      <c r="D572" s="5">
        <f>IFERROR(__xludf.DUMMYFUNCTION("""COMPUTED_VALUE"""),2733.0)</f>
        <v>2733</v>
      </c>
      <c r="E572" s="5" t="str">
        <f>IFERROR(__xludf.DUMMYFUNCTION("""COMPUTED_VALUE"""),"EG04-EG05-EG06-EG07")</f>
        <v>EG04-EG05-EG06-EG07</v>
      </c>
      <c r="F572" s="5" t="str">
        <f>IFERROR(__xludf.DUMMYFUNCTION("""COMPUTED_VALUE"""),"reham.3adel@hotmail.com")</f>
        <v>reham.3adel@hotmail.com</v>
      </c>
      <c r="G572" s="5" t="str">
        <f>IFERROR(__xludf.DUMMYFUNCTION("""COMPUTED_VALUE"""),"01114564985")</f>
        <v>01114564985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tr">
        <f>IFERROR(__xludf.DUMMYFUNCTION("""COMPUTED_VALUE"""),"عبد الله محمد")</f>
        <v>عبد الله محمد</v>
      </c>
      <c r="B573" s="5">
        <f>IFERROR(__xludf.DUMMYFUNCTION("""COMPUTED_VALUE"""),5.1919728672E11)</f>
        <v>519197286720</v>
      </c>
      <c r="C573" s="5" t="str">
        <f>IFERROR(__xludf.DUMMYFUNCTION("""COMPUTED_VALUE"""),"عبد الله محمد")</f>
        <v>عبد الله محمد</v>
      </c>
      <c r="D573" s="5">
        <f>IFERROR(__xludf.DUMMYFUNCTION("""COMPUTED_VALUE"""),2694.0)</f>
        <v>2694</v>
      </c>
      <c r="E573" s="5" t="str">
        <f>IFERROR(__xludf.DUMMYFUNCTION("""COMPUTED_VALUE"""),"EG07-EG08-EG09")</f>
        <v>EG07-EG08-EG09</v>
      </c>
      <c r="F573" s="5" t="str">
        <f>IFERROR(__xludf.DUMMYFUNCTION("""COMPUTED_VALUE"""),"abdallah.mahran124@gmail.com")</f>
        <v>abdallah.mahran124@gmail.com</v>
      </c>
      <c r="G573" s="5" t="str">
        <f>IFERROR(__xludf.DUMMYFUNCTION("""COMPUTED_VALUE"""),"01004189352")</f>
        <v>01004189352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tr">
        <f>IFERROR(__xludf.DUMMYFUNCTION("""COMPUTED_VALUE"""),"مارينا قدسي")</f>
        <v>مارينا قدسي</v>
      </c>
      <c r="B574" s="5">
        <f>IFERROR(__xludf.DUMMYFUNCTION("""COMPUTED_VALUE"""),8.56163762784E11)</f>
        <v>856163762784</v>
      </c>
      <c r="C574" s="5" t="str">
        <f>IFERROR(__xludf.DUMMYFUNCTION("""COMPUTED_VALUE"""),"مارينا قدسي")</f>
        <v>مارينا قدسي</v>
      </c>
      <c r="D574" s="5">
        <f>IFERROR(__xludf.DUMMYFUNCTION("""COMPUTED_VALUE"""),2710.0)</f>
        <v>2710</v>
      </c>
      <c r="E574" s="5" t="str">
        <f>IFERROR(__xludf.DUMMYFUNCTION("""COMPUTED_VALUE"""),"EG04-EG05-EG06-EG07-EG08-EG09")</f>
        <v>EG04-EG05-EG06-EG07-EG08-EG09</v>
      </c>
      <c r="F574" s="5" t="str">
        <f>IFERROR(__xludf.DUMMYFUNCTION("""COMPUTED_VALUE"""),"sci.epistimi@gmail.com")</f>
        <v>sci.epistimi@gmail.com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tr">
        <f>IFERROR(__xludf.DUMMYFUNCTION("""COMPUTED_VALUE"""),"إيمان مشالي")</f>
        <v>إيمان مشالي</v>
      </c>
      <c r="B575" s="5">
        <f>IFERROR(__xludf.DUMMYFUNCTION("""COMPUTED_VALUE"""),6.26141382068E11)</f>
        <v>626141382068</v>
      </c>
      <c r="C575" s="5" t="str">
        <f>IFERROR(__xludf.DUMMYFUNCTION("""COMPUTED_VALUE"""),"إيمان مشالي")</f>
        <v>إيمان مشالي</v>
      </c>
      <c r="D575" s="5">
        <f>IFERROR(__xludf.DUMMYFUNCTION("""COMPUTED_VALUE"""),2713.0)</f>
        <v>2713</v>
      </c>
      <c r="E575" s="5" t="str">
        <f>IFERROR(__xludf.DUMMYFUNCTION("""COMPUTED_VALUE"""),"EG01-EG02-EG03-EG04-EG05-EG06")</f>
        <v>EG01-EG02-EG03-EG04-EG05-EG06</v>
      </c>
      <c r="F575" s="5" t="str">
        <f>IFERROR(__xludf.DUMMYFUNCTION("""COMPUTED_VALUE"""),"emanmashaly999@gmail.com")</f>
        <v>emanmashaly999@gmail.com</v>
      </c>
      <c r="G575" s="5" t="str">
        <f>IFERROR(__xludf.DUMMYFUNCTION("""COMPUTED_VALUE"""),"01099178001")</f>
        <v>01099178001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tr">
        <f>IFERROR(__xludf.DUMMYFUNCTION("""COMPUTED_VALUE"""),"آلاء أشرف")</f>
        <v>آلاء أشرف</v>
      </c>
      <c r="B576" s="5">
        <f>IFERROR(__xludf.DUMMYFUNCTION("""COMPUTED_VALUE"""),8.6516379352E11)</f>
        <v>865163793520</v>
      </c>
      <c r="C576" s="5" t="str">
        <f>IFERROR(__xludf.DUMMYFUNCTION("""COMPUTED_VALUE"""),"آلاء أشرف")</f>
        <v>آلاء أشرف</v>
      </c>
      <c r="D576" s="5">
        <f>IFERROR(__xludf.DUMMYFUNCTION("""COMPUTED_VALUE"""),2703.0)</f>
        <v>2703</v>
      </c>
      <c r="E576" s="5" t="str">
        <f>IFERROR(__xludf.DUMMYFUNCTION("""COMPUTED_VALUE"""),"EG01-EG02-EG03-EG04")</f>
        <v>EG01-EG02-EG03-EG04</v>
      </c>
      <c r="F576" s="5" t="str">
        <f>IFERROR(__xludf.DUMMYFUNCTION("""COMPUTED_VALUE"""),"alaa.work91@gmail.com")</f>
        <v>alaa.work91@gmail.com</v>
      </c>
      <c r="G576" s="5">
        <f>IFERROR(__xludf.DUMMYFUNCTION("""COMPUTED_VALUE"""),1.006108593E9)</f>
        <v>1006108593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tr">
        <f>IFERROR(__xludf.DUMMYFUNCTION("""COMPUTED_VALUE"""),"منيرة مهدي")</f>
        <v>منيرة مهدي</v>
      </c>
      <c r="B577" s="5">
        <f>IFERROR(__xludf.DUMMYFUNCTION("""COMPUTED_VALUE"""),6.30141786235E11)</f>
        <v>630141786235</v>
      </c>
      <c r="C577" s="5" t="str">
        <f>IFERROR(__xludf.DUMMYFUNCTION("""COMPUTED_VALUE"""),"منيرة مهدي")</f>
        <v>منيرة مهدي</v>
      </c>
      <c r="D577" s="5">
        <f>IFERROR(__xludf.DUMMYFUNCTION("""COMPUTED_VALUE"""),2662.0)</f>
        <v>2662</v>
      </c>
      <c r="E577" s="5" t="str">
        <f>IFERROR(__xludf.DUMMYFUNCTION("""COMPUTED_VALUE"""),"EG04-EG05-EG06")</f>
        <v>EG04-EG05-EG06</v>
      </c>
      <c r="F577" s="5" t="str">
        <f>IFERROR(__xludf.DUMMYFUNCTION("""COMPUTED_VALUE"""),"mwnyalghzaly@gmail.com")</f>
        <v>mwnyalghzaly@gmail.com</v>
      </c>
      <c r="G577" s="5" t="str">
        <f>IFERROR(__xludf.DUMMYFUNCTION("""COMPUTED_VALUE"""),"01121870666")</f>
        <v>01121870666</v>
      </c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tr">
        <f>IFERROR(__xludf.DUMMYFUNCTION("""COMPUTED_VALUE"""),"جهاد أحمد")</f>
        <v>جهاد أحمد</v>
      </c>
      <c r="B578" s="5">
        <f>IFERROR(__xludf.DUMMYFUNCTION("""COMPUTED_VALUE"""),3.18197043548E11)</f>
        <v>318197043548</v>
      </c>
      <c r="C578" s="5" t="str">
        <f>IFERROR(__xludf.DUMMYFUNCTION("""COMPUTED_VALUE"""),"جهاد أحمد")</f>
        <v>جهاد أحمد</v>
      </c>
      <c r="D578" s="5">
        <f>IFERROR(__xludf.DUMMYFUNCTION("""COMPUTED_VALUE"""),2705.0)</f>
        <v>2705</v>
      </c>
      <c r="E578" s="5" t="str">
        <f>IFERROR(__xludf.DUMMYFUNCTION("""COMPUTED_VALUE"""),"EG04-EG05-EG06-EG07-EG08-EG09")</f>
        <v>EG04-EG05-EG06-EG07-EG08-EG09</v>
      </c>
      <c r="F578" s="5" t="str">
        <f>IFERROR(__xludf.DUMMYFUNCTION("""COMPUTED_VALUE"""),"gehadmousa786@gmail.com")</f>
        <v>gehadmousa786@gmail.com</v>
      </c>
      <c r="G578" s="5" t="str">
        <f>IFERROR(__xludf.DUMMYFUNCTION("""COMPUTED_VALUE"""),"01022451628")</f>
        <v>01022451628</v>
      </c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tr">
        <f>IFERROR(__xludf.DUMMYFUNCTION("""COMPUTED_VALUE"""),"نادية الهواري")</f>
        <v>نادية الهواري</v>
      </c>
      <c r="B579" s="5">
        <f>IFERROR(__xludf.DUMMYFUNCTION("""COMPUTED_VALUE"""),2.67120267316E11)</f>
        <v>267120267316</v>
      </c>
      <c r="C579" s="5" t="str">
        <f>IFERROR(__xludf.DUMMYFUNCTION("""COMPUTED_VALUE"""),"نادية الهواري")</f>
        <v>نادية الهواري</v>
      </c>
      <c r="D579" s="5">
        <f>IFERROR(__xludf.DUMMYFUNCTION("""COMPUTED_VALUE"""),2731.0)</f>
        <v>2731</v>
      </c>
      <c r="E579" s="5" t="str">
        <f>IFERROR(__xludf.DUMMYFUNCTION("""COMPUTED_VALUE"""),"EG03-EG04-EG05-EG06")</f>
        <v>EG03-EG04-EG05-EG06</v>
      </c>
      <c r="F579" s="5" t="str">
        <f>IFERROR(__xludf.DUMMYFUNCTION("""COMPUTED_VALUE"""),"nadiaabdalbast@outlook.com")</f>
        <v>nadiaabdalbast@outlook.com</v>
      </c>
      <c r="G579" s="5" t="str">
        <f>IFERROR(__xludf.DUMMYFUNCTION("""COMPUTED_VALUE"""),"01027624883")</f>
        <v>01027624883</v>
      </c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tr">
        <f>IFERROR(__xludf.DUMMYFUNCTION("""COMPUTED_VALUE"""),"نيرة محمود")</f>
        <v>نيرة محمود</v>
      </c>
      <c r="B580" s="5">
        <f>IFERROR(__xludf.DUMMYFUNCTION("""COMPUTED_VALUE"""),6.89156982321E11)</f>
        <v>689156982321</v>
      </c>
      <c r="C580" s="5" t="str">
        <f>IFERROR(__xludf.DUMMYFUNCTION("""COMPUTED_VALUE"""),"نيرة محمود")</f>
        <v>نيرة محمود</v>
      </c>
      <c r="D580" s="5">
        <f>IFERROR(__xludf.DUMMYFUNCTION("""COMPUTED_VALUE"""),2690.0)</f>
        <v>2690</v>
      </c>
      <c r="E580" s="5" t="str">
        <f>IFERROR(__xludf.DUMMYFUNCTION("""COMPUTED_VALUE"""),"EG04-EG05-EG06")</f>
        <v>EG04-EG05-EG06</v>
      </c>
      <c r="F580" s="5" t="str">
        <f>IFERROR(__xludf.DUMMYFUNCTION("""COMPUTED_VALUE"""),"nayeramahmoed@gmail.com")</f>
        <v>nayeramahmoed@gmail.com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tr">
        <f>IFERROR(__xludf.DUMMYFUNCTION("""COMPUTED_VALUE"""),"فاطمة الزهراء أشرف")</f>
        <v>فاطمة الزهراء أشرف</v>
      </c>
      <c r="B581" s="5">
        <f>IFERROR(__xludf.DUMMYFUNCTION("""COMPUTED_VALUE"""),2.60139845925E11)</f>
        <v>260139845925</v>
      </c>
      <c r="C581" s="5" t="str">
        <f>IFERROR(__xludf.DUMMYFUNCTION("""COMPUTED_VALUE"""),"فاطمة الزهراء أشرف")</f>
        <v>فاطمة الزهراء أشرف</v>
      </c>
      <c r="D581" s="5">
        <f>IFERROR(__xludf.DUMMYFUNCTION("""COMPUTED_VALUE"""),2708.0)</f>
        <v>2708</v>
      </c>
      <c r="E581" s="5" t="str">
        <f>IFERROR(__xludf.DUMMYFUNCTION("""COMPUTED_VALUE"""),"EG03-EG04-EG05-EG06")</f>
        <v>EG03-EG04-EG05-EG06</v>
      </c>
      <c r="F581" s="5" t="str">
        <f>IFERROR(__xludf.DUMMYFUNCTION("""COMPUTED_VALUE"""),"fatmaalzhraa704@gmail.com")</f>
        <v>fatmaalzhraa704@gmail.com</v>
      </c>
      <c r="G581" s="5" t="str">
        <f>IFERROR(__xludf.DUMMYFUNCTION("""COMPUTED_VALUE"""),"01011497610")</f>
        <v>01011497610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tr">
        <f>IFERROR(__xludf.DUMMYFUNCTION("""COMPUTED_VALUE"""),"لمياء السعيد")</f>
        <v>لمياء السعيد</v>
      </c>
      <c r="B582" s="5">
        <f>IFERROR(__xludf.DUMMYFUNCTION("""COMPUTED_VALUE"""),8.68143149757E11)</f>
        <v>868143149757</v>
      </c>
      <c r="C582" s="5" t="str">
        <f>IFERROR(__xludf.DUMMYFUNCTION("""COMPUTED_VALUE"""),"لمياء السعيد")</f>
        <v>لمياء السعيد</v>
      </c>
      <c r="D582" s="5">
        <f>IFERROR(__xludf.DUMMYFUNCTION("""COMPUTED_VALUE"""),2672.0)</f>
        <v>2672</v>
      </c>
      <c r="E582" s="5" t="str">
        <f>IFERROR(__xludf.DUMMYFUNCTION("""COMPUTED_VALUE"""),"EG07-EG08-EG09")</f>
        <v>EG07-EG08-EG09</v>
      </c>
      <c r="F582" s="5" t="str">
        <f>IFERROR(__xludf.DUMMYFUNCTION("""COMPUTED_VALUE"""),"mrfthsyn962@gmail.com")</f>
        <v>mrfthsyn962@gmail.com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tr">
        <f>IFERROR(__xludf.DUMMYFUNCTION("""COMPUTED_VALUE"""),"دنيا علاء الدين")</f>
        <v>دنيا علاء الدين</v>
      </c>
      <c r="B583" s="5">
        <f>IFERROR(__xludf.DUMMYFUNCTION("""COMPUTED_VALUE"""),4.93101971496E11)</f>
        <v>493101971496</v>
      </c>
      <c r="C583" s="5" t="str">
        <f>IFERROR(__xludf.DUMMYFUNCTION("""COMPUTED_VALUE"""),"دنيا علاء الدين")</f>
        <v>دنيا علاء الدين</v>
      </c>
      <c r="D583" s="5">
        <f>IFERROR(__xludf.DUMMYFUNCTION("""COMPUTED_VALUE"""),2732.0)</f>
        <v>2732</v>
      </c>
      <c r="E583" s="5" t="str">
        <f>IFERROR(__xludf.DUMMYFUNCTION("""COMPUTED_VALUE"""),"EG04-EG05-EG06")</f>
        <v>EG04-EG05-EG06</v>
      </c>
      <c r="F583" s="5" t="str">
        <f>IFERROR(__xludf.DUMMYFUNCTION("""COMPUTED_VALUE"""),"doniaalaaeldeen13@gmail.com")</f>
        <v>doniaalaaeldeen13@gmail.com</v>
      </c>
      <c r="G583" s="5" t="str">
        <f>IFERROR(__xludf.DUMMYFUNCTION("""COMPUTED_VALUE"""),"01127447490")</f>
        <v>01127447490</v>
      </c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tr">
        <f>IFERROR(__xludf.DUMMYFUNCTION("""COMPUTED_VALUE"""),"جمال سلامة")</f>
        <v>جمال سلامة</v>
      </c>
      <c r="B584" s="5">
        <f>IFERROR(__xludf.DUMMYFUNCTION("""COMPUTED_VALUE"""),1.58121437132E11)</f>
        <v>158121437132</v>
      </c>
      <c r="C584" s="5" t="str">
        <f>IFERROR(__xludf.DUMMYFUNCTION("""COMPUTED_VALUE"""),"جمال سلامة")</f>
        <v>جمال سلامة</v>
      </c>
      <c r="D584" s="5">
        <f>IFERROR(__xludf.DUMMYFUNCTION("""COMPUTED_VALUE"""),2689.0)</f>
        <v>2689</v>
      </c>
      <c r="E584" s="5" t="str">
        <f>IFERROR(__xludf.DUMMYFUNCTION("""COMPUTED_VALUE"""),"EG04-EG05-EG06-EG07-EG08-EG09")</f>
        <v>EG04-EG05-EG06-EG07-EG08-EG09</v>
      </c>
      <c r="F584" s="5" t="str">
        <f>IFERROR(__xludf.DUMMYFUNCTION("""COMPUTED_VALUE"""),"mr.gamal.salama@gmail.com")</f>
        <v>mr.gamal.salama@gmail.com</v>
      </c>
      <c r="G584" s="5" t="str">
        <f>IFERROR(__xludf.DUMMYFUNCTION("""COMPUTED_VALUE"""),"01119103599")</f>
        <v>01119103599</v>
      </c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tr">
        <f>IFERROR(__xludf.DUMMYFUNCTION("""COMPUTED_VALUE"""),"محمد عبد الباسط")</f>
        <v>محمد عبد الباسط</v>
      </c>
      <c r="B585" s="5">
        <f>IFERROR(__xludf.DUMMYFUNCTION("""COMPUTED_VALUE"""),9.13159713718E11)</f>
        <v>913159713718</v>
      </c>
      <c r="C585" s="5" t="str">
        <f>IFERROR(__xludf.DUMMYFUNCTION("""COMPUTED_VALUE"""),"محمد عبد الباسط")</f>
        <v>محمد عبد الباسط</v>
      </c>
      <c r="D585" s="5">
        <f>IFERROR(__xludf.DUMMYFUNCTION("""COMPUTED_VALUE"""),2738.0)</f>
        <v>2738</v>
      </c>
      <c r="E585" s="5" t="str">
        <f>IFERROR(__xludf.DUMMYFUNCTION("""COMPUTED_VALUE"""),"EG09-EG10-EG11")</f>
        <v>EG09-EG10-EG11</v>
      </c>
      <c r="F585" s="5" t="str">
        <f>IFERROR(__xludf.DUMMYFUNCTION("""COMPUTED_VALUE"""),"mbdalbast990@gmail.com")</f>
        <v>mbdalbast990@gmail.com</v>
      </c>
      <c r="G585" s="5" t="str">
        <f>IFERROR(__xludf.DUMMYFUNCTION("""COMPUTED_VALUE"""),"01025284144")</f>
        <v>01025284144</v>
      </c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tr">
        <f>IFERROR(__xludf.DUMMYFUNCTION("""COMPUTED_VALUE"""),"عمرو موافي")</f>
        <v>عمرو موافي</v>
      </c>
      <c r="B586" s="5">
        <f>IFERROR(__xludf.DUMMYFUNCTION("""COMPUTED_VALUE"""),1.02186959703E11)</f>
        <v>102186959703</v>
      </c>
      <c r="C586" s="5" t="str">
        <f>IFERROR(__xludf.DUMMYFUNCTION("""COMPUTED_VALUE"""),"عمرو موافي")</f>
        <v>عمرو موافي</v>
      </c>
      <c r="D586" s="5">
        <f>IFERROR(__xludf.DUMMYFUNCTION("""COMPUTED_VALUE"""),2684.0)</f>
        <v>2684</v>
      </c>
      <c r="E586" s="5" t="str">
        <f>IFERROR(__xludf.DUMMYFUNCTION("""COMPUTED_VALUE"""),"EG04-EG05-EG06-7-8")</f>
        <v>EG04-EG05-EG06-7-8</v>
      </c>
      <c r="F586" s="5" t="str">
        <f>IFERROR(__xludf.DUMMYFUNCTION("""COMPUTED_VALUE"""),"amrmowafy2025@gmail.com")</f>
        <v>amrmowafy2025@gmail.com</v>
      </c>
      <c r="G586" s="5" t="str">
        <f>IFERROR(__xludf.DUMMYFUNCTION("""COMPUTED_VALUE"""),"01004917420")</f>
        <v>01004917420</v>
      </c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tr">
        <f>IFERROR(__xludf.DUMMYFUNCTION("""COMPUTED_VALUE"""),"محمد زكي")</f>
        <v>محمد زكي</v>
      </c>
      <c r="B587" s="5">
        <f>IFERROR(__xludf.DUMMYFUNCTION("""COMPUTED_VALUE"""),6.96138691285E11)</f>
        <v>696138691285</v>
      </c>
      <c r="C587" s="5" t="str">
        <f>IFERROR(__xludf.DUMMYFUNCTION("""COMPUTED_VALUE"""),"محمد زكي")</f>
        <v>محمد زكي</v>
      </c>
      <c r="D587" s="5">
        <f>IFERROR(__xludf.DUMMYFUNCTION("""COMPUTED_VALUE"""),2258.0)</f>
        <v>2258</v>
      </c>
      <c r="E587" s="5" t="str">
        <f>IFERROR(__xludf.DUMMYFUNCTION("""COMPUTED_VALUE"""),"EG04-EG05-EG06")</f>
        <v>EG04-EG05-EG06</v>
      </c>
      <c r="F587" s="5" t="str">
        <f>IFERROR(__xludf.DUMMYFUNCTION("""COMPUTED_VALUE"""),"egymath2020@gmail.com")</f>
        <v>egymath2020@gmail.com</v>
      </c>
      <c r="G587" s="5" t="str">
        <f>IFERROR(__xludf.DUMMYFUNCTION("""COMPUTED_VALUE"""),"01550007664")</f>
        <v>01550007664</v>
      </c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tr">
        <f>IFERROR(__xludf.DUMMYFUNCTION("""COMPUTED_VALUE"""),"جيهان سمير")</f>
        <v>جيهان سمير</v>
      </c>
      <c r="B588" s="5">
        <f>IFERROR(__xludf.DUMMYFUNCTION("""COMPUTED_VALUE"""),9.30131871381E11)</f>
        <v>930131871381</v>
      </c>
      <c r="C588" s="5" t="str">
        <f>IFERROR(__xludf.DUMMYFUNCTION("""COMPUTED_VALUE"""),"جيهان سمير")</f>
        <v>جيهان سمير</v>
      </c>
      <c r="D588" s="5">
        <f>IFERROR(__xludf.DUMMYFUNCTION("""COMPUTED_VALUE"""),2715.0)</f>
        <v>2715</v>
      </c>
      <c r="E588" s="5" t="str">
        <f>IFERROR(__xludf.DUMMYFUNCTION("""COMPUTED_VALUE"""),"EG01-EG02-EG03-EG04-5")</f>
        <v>EG01-EG02-EG03-EG04-5</v>
      </c>
      <c r="F588" s="5" t="str">
        <f>IFERROR(__xludf.DUMMYFUNCTION("""COMPUTED_VALUE"""),"mrsgehan94@gmail.com")</f>
        <v>mrsgehan94@gmail.com</v>
      </c>
      <c r="G588" s="5">
        <f>IFERROR(__xludf.DUMMYFUNCTION("""COMPUTED_VALUE"""),1.013586544E9)</f>
        <v>1013586544</v>
      </c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tr">
        <f>IFERROR(__xludf.DUMMYFUNCTION("""COMPUTED_VALUE"""),"ندى صيام")</f>
        <v>ندى صيام</v>
      </c>
      <c r="B589" s="5">
        <f>IFERROR(__xludf.DUMMYFUNCTION("""COMPUTED_VALUE"""),4.35167307015E11)</f>
        <v>435167307015</v>
      </c>
      <c r="C589" s="5" t="str">
        <f>IFERROR(__xludf.DUMMYFUNCTION("""COMPUTED_VALUE"""),"ندى صيام")</f>
        <v>ندى صيام</v>
      </c>
      <c r="D589" s="5">
        <f>IFERROR(__xludf.DUMMYFUNCTION("""COMPUTED_VALUE"""),2723.0)</f>
        <v>2723</v>
      </c>
      <c r="E589" s="5" t="str">
        <f>IFERROR(__xludf.DUMMYFUNCTION("""COMPUTED_VALUE"""),"EG04-EG05-EG06")</f>
        <v>EG04-EG05-EG06</v>
      </c>
      <c r="F589" s="5" t="str">
        <f>IFERROR(__xludf.DUMMYFUNCTION("""COMPUTED_VALUE"""),"nadasiam055@gmail.com")</f>
        <v>nadasiam055@gmail.com</v>
      </c>
      <c r="G589" s="5" t="str">
        <f>IFERROR(__xludf.DUMMYFUNCTION("""COMPUTED_VALUE"""),"01025277618")</f>
        <v>01025277618</v>
      </c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tr">
        <f>IFERROR(__xludf.DUMMYFUNCTION("""COMPUTED_VALUE"""),"عبد الله الكحلاوي")</f>
        <v>عبد الله الكحلاوي</v>
      </c>
      <c r="B590" s="5">
        <f>IFERROR(__xludf.DUMMYFUNCTION("""COMPUTED_VALUE"""),2.6012787251E11)</f>
        <v>260127872510</v>
      </c>
      <c r="C590" s="5" t="str">
        <f>IFERROR(__xludf.DUMMYFUNCTION("""COMPUTED_VALUE"""),"عبد الله الكحلاوي")</f>
        <v>عبد الله الكحلاوي</v>
      </c>
      <c r="D590" s="5">
        <f>IFERROR(__xludf.DUMMYFUNCTION("""COMPUTED_VALUE"""),2727.0)</f>
        <v>2727</v>
      </c>
      <c r="E590" s="5" t="str">
        <f>IFERROR(__xludf.DUMMYFUNCTION("""COMPUTED_VALUE"""),"EG07-EG08-EG09")</f>
        <v>EG07-EG08-EG09</v>
      </c>
      <c r="F590" s="5" t="str">
        <f>IFERROR(__xludf.DUMMYFUNCTION("""COMPUTED_VALUE"""),"abdullahelkahlawy@gmail.com")</f>
        <v>abdullahelkahlawy@gmail.com</v>
      </c>
      <c r="G590" s="5" t="str">
        <f>IFERROR(__xludf.DUMMYFUNCTION("""COMPUTED_VALUE"""),"01227491678")</f>
        <v>01227491678</v>
      </c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tr">
        <f>IFERROR(__xludf.DUMMYFUNCTION("""COMPUTED_VALUE"""),"نجوى نوير")</f>
        <v>نجوى نوير</v>
      </c>
      <c r="B591" s="5">
        <f>IFERROR(__xludf.DUMMYFUNCTION("""COMPUTED_VALUE"""),2.1917804163E11)</f>
        <v>219178041630</v>
      </c>
      <c r="C591" s="5" t="str">
        <f>IFERROR(__xludf.DUMMYFUNCTION("""COMPUTED_VALUE"""),"نجوى نوير")</f>
        <v>نجوى نوير</v>
      </c>
      <c r="D591" s="5">
        <f>IFERROR(__xludf.DUMMYFUNCTION("""COMPUTED_VALUE"""),2686.0)</f>
        <v>2686</v>
      </c>
      <c r="E591" s="5" t="str">
        <f>IFERROR(__xludf.DUMMYFUNCTION("""COMPUTED_VALUE"""),"EG04-EG05-EG06 ")</f>
        <v>EG04-EG05-EG06 </v>
      </c>
      <c r="F591" s="5" t="str">
        <f>IFERROR(__xludf.DUMMYFUNCTION("""COMPUTED_VALUE"""),"nagwaneweir@gmail.com")</f>
        <v>nagwaneweir@gmail.com</v>
      </c>
      <c r="G591" s="5" t="str">
        <f>IFERROR(__xludf.DUMMYFUNCTION("""COMPUTED_VALUE"""),"01000321191")</f>
        <v>01000321191</v>
      </c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tr">
        <f>IFERROR(__xludf.DUMMYFUNCTION("""COMPUTED_VALUE"""),"إسراء حسن")</f>
        <v>إسراء حسن</v>
      </c>
      <c r="B592" s="5">
        <f>IFERROR(__xludf.DUMMYFUNCTION("""COMPUTED_VALUE"""),8.98189620783E11)</f>
        <v>898189620783</v>
      </c>
      <c r="C592" s="5" t="str">
        <f>IFERROR(__xludf.DUMMYFUNCTION("""COMPUTED_VALUE"""),"إسراء حسن")</f>
        <v>إسراء حسن</v>
      </c>
      <c r="D592" s="5">
        <f>IFERROR(__xludf.DUMMYFUNCTION("""COMPUTED_VALUE"""),2711.0)</f>
        <v>2711</v>
      </c>
      <c r="E592" s="5" t="str">
        <f>IFERROR(__xludf.DUMMYFUNCTION("""COMPUTED_VALUE"""),"G10")</f>
        <v>G10</v>
      </c>
      <c r="F592" s="5" t="str">
        <f>IFERROR(__xludf.DUMMYFUNCTION("""COMPUTED_VALUE"""),"israahassansh97@gmail.com")</f>
        <v>israahassansh97@gmail.com</v>
      </c>
      <c r="G592" s="5" t="str">
        <f>IFERROR(__xludf.DUMMYFUNCTION("""COMPUTED_VALUE"""),"01228144187")</f>
        <v>01228144187</v>
      </c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tr">
        <f>IFERROR(__xludf.DUMMYFUNCTION("""COMPUTED_VALUE"""),"معاذ خالد")</f>
        <v>معاذ خالد</v>
      </c>
      <c r="B593" s="5">
        <f>IFERROR(__xludf.DUMMYFUNCTION("""COMPUTED_VALUE"""),2.48108614245E11)</f>
        <v>248108614245</v>
      </c>
      <c r="C593" s="5" t="str">
        <f>IFERROR(__xludf.DUMMYFUNCTION("""COMPUTED_VALUE"""),"معاذ خالد")</f>
        <v>معاذ خالد</v>
      </c>
      <c r="D593" s="5">
        <f>IFERROR(__xludf.DUMMYFUNCTION("""COMPUTED_VALUE"""),2714.0)</f>
        <v>2714</v>
      </c>
      <c r="E593" s="5" t="str">
        <f>IFERROR(__xludf.DUMMYFUNCTION("""COMPUTED_VALUE"""),"EG03-EG04-EG05-EG06-EG07-EG08-EG09")</f>
        <v>EG03-EG04-EG05-EG06-EG07-EG08-EG09</v>
      </c>
      <c r="F593" s="5" t="str">
        <f>IFERROR(__xludf.DUMMYFUNCTION("""COMPUTED_VALUE"""),"moazkhalid37@gmail.com")</f>
        <v>moazkhalid37@gmail.com</v>
      </c>
      <c r="G593" s="5" t="str">
        <f>IFERROR(__xludf.DUMMYFUNCTION("""COMPUTED_VALUE"""),"01030350227")</f>
        <v>01030350227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tr">
        <f>IFERROR(__xludf.DUMMYFUNCTION("""COMPUTED_VALUE"""),"هناء الأمير")</f>
        <v>هناء الأمير</v>
      </c>
      <c r="B594" s="5">
        <f>IFERROR(__xludf.DUMMYFUNCTION("""COMPUTED_VALUE"""),7.0612192014E11)</f>
        <v>706121920140</v>
      </c>
      <c r="C594" s="5" t="str">
        <f>IFERROR(__xludf.DUMMYFUNCTION("""COMPUTED_VALUE"""),"هناء الأمير")</f>
        <v>هناء الأمير</v>
      </c>
      <c r="D594" s="5">
        <f>IFERROR(__xludf.DUMMYFUNCTION("""COMPUTED_VALUE"""),2724.0)</f>
        <v>2724</v>
      </c>
      <c r="E594" s="5" t="str">
        <f>IFERROR(__xludf.DUMMYFUNCTION("""COMPUTED_VALUE"""),"EG04-EG05-EG06-EG07")</f>
        <v>EG04-EG05-EG06-EG07</v>
      </c>
      <c r="F594" s="5" t="str">
        <f>IFERROR(__xludf.DUMMYFUNCTION("""COMPUTED_VALUE"""),"hanaaelamir7@gmail.com")</f>
        <v>hanaaelamir7@gmail.com</v>
      </c>
      <c r="G594" s="5" t="str">
        <f>IFERROR(__xludf.DUMMYFUNCTION("""COMPUTED_VALUE"""),"01003088300")</f>
        <v>01003088300</v>
      </c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tr">
        <f>IFERROR(__xludf.DUMMYFUNCTION("""COMPUTED_VALUE"""),"أحمد نسيم")</f>
        <v>أحمد نسيم</v>
      </c>
      <c r="B595" s="5">
        <f>IFERROR(__xludf.DUMMYFUNCTION("""COMPUTED_VALUE"""),9.16186078296E11)</f>
        <v>916186078296</v>
      </c>
      <c r="C595" s="5" t="str">
        <f>IFERROR(__xludf.DUMMYFUNCTION("""COMPUTED_VALUE"""),"أحمد نسيم")</f>
        <v>أحمد نسيم</v>
      </c>
      <c r="D595" s="5">
        <f>IFERROR(__xludf.DUMMYFUNCTION("""COMPUTED_VALUE"""),2709.0)</f>
        <v>2709</v>
      </c>
      <c r="E595" s="5" t="str">
        <f>IFERROR(__xludf.DUMMYFUNCTION("""COMPUTED_VALUE"""),"EG04-EG05-EG06")</f>
        <v>EG04-EG05-EG06</v>
      </c>
      <c r="F595" s="5" t="str">
        <f>IFERROR(__xludf.DUMMYFUNCTION("""COMPUTED_VALUE"""),"nesahmed2@gmail.com")</f>
        <v>nesahmed2@gmail.com</v>
      </c>
      <c r="G595" s="5" t="str">
        <f>IFERROR(__xludf.DUMMYFUNCTION("""COMPUTED_VALUE"""),"01068231011")</f>
        <v>01068231011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tr">
        <f>IFERROR(__xludf.DUMMYFUNCTION("""COMPUTED_VALUE"""),"سارة سعيد")</f>
        <v>سارة سعيد</v>
      </c>
      <c r="B596" s="5">
        <f>IFERROR(__xludf.DUMMYFUNCTION("""COMPUTED_VALUE"""),9.23168406232E11)</f>
        <v>923168406232</v>
      </c>
      <c r="C596" s="5" t="str">
        <f>IFERROR(__xludf.DUMMYFUNCTION("""COMPUTED_VALUE"""),"سارة سعيد")</f>
        <v>سارة سعيد</v>
      </c>
      <c r="D596" s="5">
        <f>IFERROR(__xludf.DUMMYFUNCTION("""COMPUTED_VALUE"""),2735.0)</f>
        <v>2735</v>
      </c>
      <c r="E596" s="5" t="str">
        <f>IFERROR(__xludf.DUMMYFUNCTION("""COMPUTED_VALUE"""),"EG01-EG02-EG03-EG04-EG05-EG06")</f>
        <v>EG01-EG02-EG03-EG04-EG05-EG06</v>
      </c>
      <c r="F596" s="5" t="str">
        <f>IFERROR(__xludf.DUMMYFUNCTION("""COMPUTED_VALUE"""),"sosajojo29@gmail.com")</f>
        <v>sosajojo29@gmail.com</v>
      </c>
      <c r="G596" s="5" t="str">
        <f>IFERROR(__xludf.DUMMYFUNCTION("""COMPUTED_VALUE"""),"01211339318")</f>
        <v>01211339318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tr">
        <f>IFERROR(__xludf.DUMMYFUNCTION("""COMPUTED_VALUE"""),"نورهان طارق")</f>
        <v>نورهان طارق</v>
      </c>
      <c r="B597" s="5">
        <f>IFERROR(__xludf.DUMMYFUNCTION("""COMPUTED_VALUE"""),9.38102694209E11)</f>
        <v>938102694209</v>
      </c>
      <c r="C597" s="5" t="str">
        <f>IFERROR(__xludf.DUMMYFUNCTION("""COMPUTED_VALUE"""),"نورهان طارق")</f>
        <v>نورهان طارق</v>
      </c>
      <c r="D597" s="5">
        <f>IFERROR(__xludf.DUMMYFUNCTION("""COMPUTED_VALUE"""),2728.0)</f>
        <v>2728</v>
      </c>
      <c r="E597" s="5" t="str">
        <f>IFERROR(__xludf.DUMMYFUNCTION("""COMPUTED_VALUE"""),"EG02-EG03-EG04-EG05-EG06")</f>
        <v>EG02-EG03-EG04-EG05-EG06</v>
      </c>
      <c r="F597" s="5" t="str">
        <f>IFERROR(__xludf.DUMMYFUNCTION("""COMPUTED_VALUE"""),"nourhan866@yahoo.com")</f>
        <v>nourhan866@yahoo.com</v>
      </c>
      <c r="G597" s="5" t="str">
        <f>IFERROR(__xludf.DUMMYFUNCTION("""COMPUTED_VALUE"""),"01208185748")</f>
        <v>01208185748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tr">
        <f>IFERROR(__xludf.DUMMYFUNCTION("""COMPUTED_VALUE"""),"بيتر جورج")</f>
        <v>بيتر جورج</v>
      </c>
      <c r="B598" s="5">
        <f>IFERROR(__xludf.DUMMYFUNCTION("""COMPUTED_VALUE"""),6.43120708265E11)</f>
        <v>643120708265</v>
      </c>
      <c r="C598" s="5" t="str">
        <f>IFERROR(__xludf.DUMMYFUNCTION("""COMPUTED_VALUE"""),"بيتر جورج")</f>
        <v>بيتر جورج</v>
      </c>
      <c r="D598" s="5">
        <f>IFERROR(__xludf.DUMMYFUNCTION("""COMPUTED_VALUE"""),2698.0)</f>
        <v>2698</v>
      </c>
      <c r="E598" s="5" t="str">
        <f>IFERROR(__xludf.DUMMYFUNCTION("""COMPUTED_VALUE"""),"EG04-EG05-EG06-EG07-EG08-EG09")</f>
        <v>EG04-EG05-EG06-EG07-EG08-EG09</v>
      </c>
      <c r="F598" s="5" t="str">
        <f>IFERROR(__xludf.DUMMYFUNCTION("""COMPUTED_VALUE"""),"peter.hanna.said@gmail.com")</f>
        <v>peter.hanna.said@gmail.com</v>
      </c>
      <c r="G598" s="5" t="str">
        <f>IFERROR(__xludf.DUMMYFUNCTION("""COMPUTED_VALUE"""),"01023587845")</f>
        <v>01023587845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tr">
        <f>IFERROR(__xludf.DUMMYFUNCTION("""COMPUTED_VALUE"""),"مجدولين سمير")</f>
        <v>مجدولين سمير</v>
      </c>
      <c r="B599" s="5">
        <f>IFERROR(__xludf.DUMMYFUNCTION("""COMPUTED_VALUE"""),6.96195941685E11)</f>
        <v>696195941685</v>
      </c>
      <c r="C599" s="5" t="str">
        <f>IFERROR(__xludf.DUMMYFUNCTION("""COMPUTED_VALUE"""),"مجدولين سمير")</f>
        <v>مجدولين سمير</v>
      </c>
      <c r="D599" s="5">
        <f>IFERROR(__xludf.DUMMYFUNCTION("""COMPUTED_VALUE"""),2712.0)</f>
        <v>2712</v>
      </c>
      <c r="E599" s="5" t="str">
        <f>IFERROR(__xludf.DUMMYFUNCTION("""COMPUTED_VALUE"""),"EG04-EG05-EG06")</f>
        <v>EG04-EG05-EG06</v>
      </c>
      <c r="F599" s="5" t="str">
        <f>IFERROR(__xludf.DUMMYFUNCTION("""COMPUTED_VALUE"""),"magdolinesamir@gmail.com")</f>
        <v>magdolinesamir@gmail.com</v>
      </c>
      <c r="G599" s="5" t="str">
        <f>IFERROR(__xludf.DUMMYFUNCTION("""COMPUTED_VALUE"""),"01203034643")</f>
        <v>01203034643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tr">
        <f>IFERROR(__xludf.DUMMYFUNCTION("""COMPUTED_VALUE"""),"هالة عبد الحليم")</f>
        <v>هالة عبد الحليم</v>
      </c>
      <c r="B600" s="5">
        <f>IFERROR(__xludf.DUMMYFUNCTION("""COMPUTED_VALUE"""),1.58129191683E11)</f>
        <v>158129191683</v>
      </c>
      <c r="C600" s="5" t="str">
        <f>IFERROR(__xludf.DUMMYFUNCTION("""COMPUTED_VALUE"""),"هالة عبد الحليم")</f>
        <v>هالة عبد الحليم</v>
      </c>
      <c r="D600" s="5">
        <f>IFERROR(__xludf.DUMMYFUNCTION("""COMPUTED_VALUE"""),2696.0)</f>
        <v>2696</v>
      </c>
      <c r="E600" s="5" t="str">
        <f>IFERROR(__xludf.DUMMYFUNCTION("""COMPUTED_VALUE"""),"EG07-EG08-EG09")</f>
        <v>EG07-EG08-EG09</v>
      </c>
      <c r="F600" s="5" t="str">
        <f>IFERROR(__xludf.DUMMYFUNCTION("""COMPUTED_VALUE"""),"anazoma201088@gmail.com")</f>
        <v>anazoma201088@gmail.com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tr">
        <f>IFERROR(__xludf.DUMMYFUNCTION("""COMPUTED_VALUE"""),"هاجر السيد")</f>
        <v>هاجر السيد</v>
      </c>
      <c r="B601" s="5">
        <f>IFERROR(__xludf.DUMMYFUNCTION("""COMPUTED_VALUE"""),5.03179175428E11)</f>
        <v>503179175428</v>
      </c>
      <c r="C601" s="5" t="str">
        <f>IFERROR(__xludf.DUMMYFUNCTION("""COMPUTED_VALUE"""),"هاجر السيد")</f>
        <v>هاجر السيد</v>
      </c>
      <c r="D601" s="5">
        <f>IFERROR(__xludf.DUMMYFUNCTION("""COMPUTED_VALUE"""),2726.0)</f>
        <v>2726</v>
      </c>
      <c r="E601" s="5" t="str">
        <f>IFERROR(__xludf.DUMMYFUNCTION("""COMPUTED_VALUE"""),"EG10-EG11-EG12")</f>
        <v>EG10-EG11-EG12</v>
      </c>
      <c r="F601" s="5" t="str">
        <f>IFERROR(__xludf.DUMMYFUNCTION("""COMPUTED_VALUE"""),"hajoorhatem10@gmail.com")</f>
        <v>hajoorhatem10@gmail.com</v>
      </c>
      <c r="G601" s="5" t="str">
        <f>IFERROR(__xludf.DUMMYFUNCTION("""COMPUTED_VALUE"""),"01126234932")</f>
        <v>01126234932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tr">
        <f>IFERROR(__xludf.DUMMYFUNCTION("""COMPUTED_VALUE"""),"أمل عمارة")</f>
        <v>أمل عمارة</v>
      </c>
      <c r="B602" s="5">
        <f>IFERROR(__xludf.DUMMYFUNCTION("""COMPUTED_VALUE"""),3.20151393513E11)</f>
        <v>320151393513</v>
      </c>
      <c r="C602" s="5" t="str">
        <f>IFERROR(__xludf.DUMMYFUNCTION("""COMPUTED_VALUE"""),"أمل عمارة")</f>
        <v>أمل عمارة</v>
      </c>
      <c r="D602" s="5">
        <f>IFERROR(__xludf.DUMMYFUNCTION("""COMPUTED_VALUE"""),2706.0)</f>
        <v>2706</v>
      </c>
      <c r="E602" s="5" t="str">
        <f>IFERROR(__xludf.DUMMYFUNCTION("""COMPUTED_VALUE"""),"EG01-EG02-EG03-EG04-EG05-EG06")</f>
        <v>EG01-EG02-EG03-EG04-EG05-EG06</v>
      </c>
      <c r="F602" s="5" t="str">
        <f>IFERROR(__xludf.DUMMYFUNCTION("""COMPUTED_VALUE"""),"amalomara78@gmail.com")</f>
        <v>amalomara78@gmail.com</v>
      </c>
      <c r="G602" s="5" t="str">
        <f>IFERROR(__xludf.DUMMYFUNCTION("""COMPUTED_VALUE"""),"01278856104")</f>
        <v>01278856104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tr">
        <f>IFERROR(__xludf.DUMMYFUNCTION("""COMPUTED_VALUE"""),"ندى عبد الناصر")</f>
        <v>ندى عبد الناصر</v>
      </c>
      <c r="B603" s="5">
        <f>IFERROR(__xludf.DUMMYFUNCTION("""COMPUTED_VALUE"""),8.7918974853E11)</f>
        <v>879189748530</v>
      </c>
      <c r="C603" s="5" t="str">
        <f>IFERROR(__xludf.DUMMYFUNCTION("""COMPUTED_VALUE"""),"ندى عبد الناصر")</f>
        <v>ندى عبد الناصر</v>
      </c>
      <c r="D603" s="5">
        <f>IFERROR(__xludf.DUMMYFUNCTION("""COMPUTED_VALUE"""),2657.0)</f>
        <v>2657</v>
      </c>
      <c r="E603" s="5" t="str">
        <f>IFERROR(__xludf.DUMMYFUNCTION("""COMPUTED_VALUE"""),"EG04-EG05-EG06")</f>
        <v>EG04-EG05-EG06</v>
      </c>
      <c r="F603" s="5" t="str">
        <f>IFERROR(__xludf.DUMMYFUNCTION("""COMPUTED_VALUE"""),"ndyaldrgham@gmail.com")</f>
        <v>ndyaldrgham@gmail.com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tr">
        <f>IFERROR(__xludf.DUMMYFUNCTION("""COMPUTED_VALUE"""),"سهير ممدوح")</f>
        <v>سهير ممدوح</v>
      </c>
      <c r="B604" s="5">
        <f>IFERROR(__xludf.DUMMYFUNCTION("""COMPUTED_VALUE"""),6.09168138349E11)</f>
        <v>609168138349</v>
      </c>
      <c r="C604" s="5" t="str">
        <f>IFERROR(__xludf.DUMMYFUNCTION("""COMPUTED_VALUE"""),"سهير ممدوح")</f>
        <v>سهير ممدوح</v>
      </c>
      <c r="D604" s="5">
        <f>IFERROR(__xludf.DUMMYFUNCTION("""COMPUTED_VALUE"""),2630.0)</f>
        <v>2630</v>
      </c>
      <c r="E604" s="5" t="str">
        <f>IFERROR(__xludf.DUMMYFUNCTION("""COMPUTED_VALUE"""),"EG07-EG08-EG09")</f>
        <v>EG07-EG08-EG09</v>
      </c>
      <c r="F604" s="5" t="str">
        <f>IFERROR(__xludf.DUMMYFUNCTION("""COMPUTED_VALUE"""),"soheirmamdouh4190@gmail.com")</f>
        <v>soheirmamdouh4190@gmail.com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tr">
        <f>IFERROR(__xludf.DUMMYFUNCTION("""COMPUTED_VALUE"""),"إياد سيد")</f>
        <v>إياد سيد</v>
      </c>
      <c r="B605" s="5">
        <f>IFERROR(__xludf.DUMMYFUNCTION("""COMPUTED_VALUE"""),4.24185416756E11)</f>
        <v>424185416756</v>
      </c>
      <c r="C605" s="5" t="str">
        <f>IFERROR(__xludf.DUMMYFUNCTION("""COMPUTED_VALUE"""),"إياد سيد")</f>
        <v>إياد سيد</v>
      </c>
      <c r="D605" s="5">
        <f>IFERROR(__xludf.DUMMYFUNCTION("""COMPUTED_VALUE"""),2693.0)</f>
        <v>2693</v>
      </c>
      <c r="E605" s="5" t="str">
        <f>IFERROR(__xludf.DUMMYFUNCTION("""COMPUTED_VALUE"""),"EG04-EG05-EG06")</f>
        <v>EG04-EG05-EG06</v>
      </c>
      <c r="F605" s="5" t="str">
        <f>IFERROR(__xludf.DUMMYFUNCTION("""COMPUTED_VALUE"""),"eyadsayed2016@gmail.com")</f>
        <v>eyadsayed2016@gmail.com</v>
      </c>
      <c r="G605" s="5" t="str">
        <f>IFERROR(__xludf.DUMMYFUNCTION("""COMPUTED_VALUE"""),"01225926326")</f>
        <v>01225926326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tr">
        <f>IFERROR(__xludf.DUMMYFUNCTION("""COMPUTED_VALUE"""),"سمر السيد")</f>
        <v>سمر السيد</v>
      </c>
      <c r="B606" s="5">
        <f>IFERROR(__xludf.DUMMYFUNCTION("""COMPUTED_VALUE"""),9.53168381683E11)</f>
        <v>953168381683</v>
      </c>
      <c r="C606" s="5" t="str">
        <f>IFERROR(__xludf.DUMMYFUNCTION("""COMPUTED_VALUE"""),"سمر السيد")</f>
        <v>سمر السيد</v>
      </c>
      <c r="D606" s="5">
        <f>IFERROR(__xludf.DUMMYFUNCTION("""COMPUTED_VALUE"""),2667.0)</f>
        <v>2667</v>
      </c>
      <c r="E606" s="5" t="str">
        <f>IFERROR(__xludf.DUMMYFUNCTION("""COMPUTED_VALUE"""),"EG04-EG05-EG06")</f>
        <v>EG04-EG05-EG06</v>
      </c>
      <c r="F606" s="5" t="str">
        <f>IFERROR(__xludf.DUMMYFUNCTION("""COMPUTED_VALUE"""),"samarhtt88@gmail.com")</f>
        <v>samarhtt88@gmail.com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tr">
        <f>IFERROR(__xludf.DUMMYFUNCTION("""COMPUTED_VALUE"""),"عبد العال محمد")</f>
        <v>عبد العال محمد</v>
      </c>
      <c r="B607" s="5">
        <f>IFERROR(__xludf.DUMMYFUNCTION("""COMPUTED_VALUE"""),4.30136109307E11)</f>
        <v>430136109307</v>
      </c>
      <c r="C607" s="5" t="str">
        <f>IFERROR(__xludf.DUMMYFUNCTION("""COMPUTED_VALUE"""),"عبد العال محمد")</f>
        <v>عبد العال محمد</v>
      </c>
      <c r="D607" s="5">
        <f>IFERROR(__xludf.DUMMYFUNCTION("""COMPUTED_VALUE"""),2664.0)</f>
        <v>2664</v>
      </c>
      <c r="E607" s="5" t="str">
        <f>IFERROR(__xludf.DUMMYFUNCTION("""COMPUTED_VALUE"""),"EG07-EG08-EG09 ")</f>
        <v>EG07-EG08-EG09 </v>
      </c>
      <c r="F607" s="5" t="str">
        <f>IFERROR(__xludf.DUMMYFUNCTION("""COMPUTED_VALUE"""),"abdelaalhalawa@gmail.com")</f>
        <v>abdelaalhalawa@gmail.com</v>
      </c>
      <c r="G607" s="5" t="str">
        <f>IFERROR(__xludf.DUMMYFUNCTION("""COMPUTED_VALUE"""),"01227050389")</f>
        <v>01227050389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tr">
        <f>IFERROR(__xludf.DUMMYFUNCTION("""COMPUTED_VALUE"""),"نهاد صلاح")</f>
        <v>نهاد صلاح</v>
      </c>
      <c r="B608" s="5">
        <f>IFERROR(__xludf.DUMMYFUNCTION("""COMPUTED_VALUE"""),2.79170372636E11)</f>
        <v>279170372636</v>
      </c>
      <c r="C608" s="5" t="str">
        <f>IFERROR(__xludf.DUMMYFUNCTION("""COMPUTED_VALUE"""),"نهاد صلاح")</f>
        <v>نهاد صلاح</v>
      </c>
      <c r="D608" s="5">
        <f>IFERROR(__xludf.DUMMYFUNCTION("""COMPUTED_VALUE"""),2677.0)</f>
        <v>2677</v>
      </c>
      <c r="E608" s="5" t="str">
        <f>IFERROR(__xludf.DUMMYFUNCTION("""COMPUTED_VALUE"""),"EG03-EG04-EG05-EG06-EG07")</f>
        <v>EG03-EG04-EG05-EG06-EG07</v>
      </c>
      <c r="F608" s="5" t="str">
        <f>IFERROR(__xludf.DUMMYFUNCTION("""COMPUTED_VALUE"""),"nehadsalahalsakka@gmail.com")</f>
        <v>nehadsalahalsakka@gmail.com</v>
      </c>
      <c r="G608" s="5" t="str">
        <f>IFERROR(__xludf.DUMMYFUNCTION("""COMPUTED_VALUE"""),"01067349853")</f>
        <v>01067349853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tr">
        <f>IFERROR(__xludf.DUMMYFUNCTION("""COMPUTED_VALUE"""),"زينب سمير")</f>
        <v>زينب سمير</v>
      </c>
      <c r="B609" s="5">
        <f>IFERROR(__xludf.DUMMYFUNCTION("""COMPUTED_VALUE"""),7.62178172726E11)</f>
        <v>762178172726</v>
      </c>
      <c r="C609" s="5" t="str">
        <f>IFERROR(__xludf.DUMMYFUNCTION("""COMPUTED_VALUE"""),"زينب سمير")</f>
        <v>زينب سمير</v>
      </c>
      <c r="D609" s="5">
        <f>IFERROR(__xludf.DUMMYFUNCTION("""COMPUTED_VALUE"""),2720.0)</f>
        <v>2720</v>
      </c>
      <c r="E609" s="5" t="str">
        <f>IFERROR(__xludf.DUMMYFUNCTION("""COMPUTED_VALUE"""),"EG01-EG02-EG03-EG04-EG05-EG06")</f>
        <v>EG01-EG02-EG03-EG04-EG05-EG06</v>
      </c>
      <c r="F609" s="5" t="str">
        <f>IFERROR(__xludf.DUMMYFUNCTION("""COMPUTED_VALUE"""),"zeinabsamirsamir@gmail.com")</f>
        <v>zeinabsamirsamir@gmail.com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tr">
        <f>IFERROR(__xludf.DUMMYFUNCTION("""COMPUTED_VALUE"""),"ريهام هريدي")</f>
        <v>ريهام هريدي</v>
      </c>
      <c r="B610" s="5">
        <f>IFERROR(__xludf.DUMMYFUNCTION("""COMPUTED_VALUE"""),2.08148393089E11)</f>
        <v>208148393089</v>
      </c>
      <c r="C610" s="5" t="str">
        <f>IFERROR(__xludf.DUMMYFUNCTION("""COMPUTED_VALUE"""),"ريهام هريدي")</f>
        <v>ريهام هريدي</v>
      </c>
      <c r="D610" s="5">
        <f>IFERROR(__xludf.DUMMYFUNCTION("""COMPUTED_VALUE"""),2695.0)</f>
        <v>2695</v>
      </c>
      <c r="E610" s="5" t="str">
        <f>IFERROR(__xludf.DUMMYFUNCTION("""COMPUTED_VALUE"""),"EG01-EG02")</f>
        <v>EG01-EG02</v>
      </c>
      <c r="F610" s="5" t="str">
        <f>IFERROR(__xludf.DUMMYFUNCTION("""COMPUTED_VALUE"""),"reham.haridy17@gmail.com")</f>
        <v>reham.haridy17@gmail.com</v>
      </c>
      <c r="G610" s="5" t="str">
        <f>IFERROR(__xludf.DUMMYFUNCTION("""COMPUTED_VALUE"""),"01126620688")</f>
        <v>01126620688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tr">
        <f>IFERROR(__xludf.DUMMYFUNCTION("""COMPUTED_VALUE"""),"بسمة فؤاد")</f>
        <v>بسمة فؤاد</v>
      </c>
      <c r="B611" s="5">
        <f>IFERROR(__xludf.DUMMYFUNCTION("""COMPUTED_VALUE"""),5.48159074528E11)</f>
        <v>548159074528</v>
      </c>
      <c r="C611" s="5" t="str">
        <f>IFERROR(__xludf.DUMMYFUNCTION("""COMPUTED_VALUE"""),"بسمة فؤاد")</f>
        <v>بسمة فؤاد</v>
      </c>
      <c r="D611" s="5">
        <f>IFERROR(__xludf.DUMMYFUNCTION("""COMPUTED_VALUE"""),2725.0)</f>
        <v>2725</v>
      </c>
      <c r="E611" s="5" t="str">
        <f>IFERROR(__xludf.DUMMYFUNCTION("""COMPUTED_VALUE"""),"EG04-EG05-EG06-7")</f>
        <v>EG04-EG05-EG06-7</v>
      </c>
      <c r="F611" s="5" t="str">
        <f>IFERROR(__xludf.DUMMYFUNCTION("""COMPUTED_VALUE"""),"basma.fouad@yahoo.com")</f>
        <v>basma.fouad@yahoo.com</v>
      </c>
      <c r="G611" s="5" t="str">
        <f>IFERROR(__xludf.DUMMYFUNCTION("""COMPUTED_VALUE"""),"01099743661")</f>
        <v>01099743661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tr">
        <f>IFERROR(__xludf.DUMMYFUNCTION("""COMPUTED_VALUE"""),"ندى وليد")</f>
        <v>ندى وليد</v>
      </c>
      <c r="B612" s="5">
        <f>IFERROR(__xludf.DUMMYFUNCTION("""COMPUTED_VALUE"""),6.78163084015E11)</f>
        <v>678163084015</v>
      </c>
      <c r="C612" s="5" t="str">
        <f>IFERROR(__xludf.DUMMYFUNCTION("""COMPUTED_VALUE"""),"ندى وليد")</f>
        <v>ندى وليد</v>
      </c>
      <c r="D612" s="5">
        <f>IFERROR(__xludf.DUMMYFUNCTION("""COMPUTED_VALUE"""),2719.0)</f>
        <v>2719</v>
      </c>
      <c r="E612" s="5" t="str">
        <f>IFERROR(__xludf.DUMMYFUNCTION("""COMPUTED_VALUE"""),"EG04-EG05-EG06")</f>
        <v>EG04-EG05-EG06</v>
      </c>
      <c r="F612" s="5" t="str">
        <f>IFERROR(__xludf.DUMMYFUNCTION("""COMPUTED_VALUE"""),"nadawaleed1155@gmail.com")</f>
        <v>nadawaleed1155@gmail.com</v>
      </c>
      <c r="G612" s="5" t="str">
        <f>IFERROR(__xludf.DUMMYFUNCTION("""COMPUTED_VALUE"""),"01024516454")</f>
        <v>01024516454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tr">
        <f>IFERROR(__xludf.DUMMYFUNCTION("""COMPUTED_VALUE"""),"مجدي إبراهيم")</f>
        <v>مجدي إبراهيم</v>
      </c>
      <c r="B613" s="5">
        <f>IFERROR(__xludf.DUMMYFUNCTION("""COMPUTED_VALUE"""),2.89184740127E11)</f>
        <v>289184740127</v>
      </c>
      <c r="C613" s="5" t="str">
        <f>IFERROR(__xludf.DUMMYFUNCTION("""COMPUTED_VALUE"""),"مجدي إبراهيم")</f>
        <v>مجدي إبراهيم</v>
      </c>
      <c r="D613" s="5">
        <f>IFERROR(__xludf.DUMMYFUNCTION("""COMPUTED_VALUE"""),2729.0)</f>
        <v>2729</v>
      </c>
      <c r="E613" s="5" t="str">
        <f>IFERROR(__xludf.DUMMYFUNCTION("""COMPUTED_VALUE"""),"EG03-EG04-EG05-EG06")</f>
        <v>EG03-EG04-EG05-EG06</v>
      </c>
      <c r="F613" s="5" t="str">
        <f>IFERROR(__xludf.DUMMYFUNCTION("""COMPUTED_VALUE"""),"2025jd04@gmail.com")</f>
        <v>2025jd04@gmail.com</v>
      </c>
      <c r="G613" s="5" t="str">
        <f>IFERROR(__xludf.DUMMYFUNCTION("""COMPUTED_VALUE"""),"01288701449")</f>
        <v>01288701449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tr">
        <f>IFERROR(__xludf.DUMMYFUNCTION("""COMPUTED_VALUE"""),"حبيبة عادل")</f>
        <v>حبيبة عادل</v>
      </c>
      <c r="B614" s="5">
        <f>IFERROR(__xludf.DUMMYFUNCTION("""COMPUTED_VALUE"""),2.09172013854E11)</f>
        <v>209172013854</v>
      </c>
      <c r="C614" s="5" t="str">
        <f>IFERROR(__xludf.DUMMYFUNCTION("""COMPUTED_VALUE"""),"حبيبة عادل")</f>
        <v>حبيبة عادل</v>
      </c>
      <c r="D614" s="5">
        <f>IFERROR(__xludf.DUMMYFUNCTION("""COMPUTED_VALUE"""),2742.0)</f>
        <v>2742</v>
      </c>
      <c r="E614" s="5" t="str">
        <f>IFERROR(__xludf.DUMMYFUNCTION("""COMPUTED_VALUE"""),"EG03-EG04-EG05")</f>
        <v>EG03-EG04-EG05</v>
      </c>
      <c r="F614" s="5" t="str">
        <f>IFERROR(__xludf.DUMMYFUNCTION("""COMPUTED_VALUE"""),"habibaadel1922@gmail.com")</f>
        <v>habibaadel1922@gmail.com</v>
      </c>
      <c r="G614" s="5" t="str">
        <f>IFERROR(__xludf.DUMMYFUNCTION("""COMPUTED_VALUE"""),"01201027560")</f>
        <v>01201027560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tr">
        <f>IFERROR(__xludf.DUMMYFUNCTION("""COMPUTED_VALUE"""),"إيمان خليل")</f>
        <v>إيمان خليل</v>
      </c>
      <c r="B615" s="5">
        <f>IFERROR(__xludf.DUMMYFUNCTION("""COMPUTED_VALUE"""),7.62193489569E11)</f>
        <v>762193489569</v>
      </c>
      <c r="C615" s="5" t="str">
        <f>IFERROR(__xludf.DUMMYFUNCTION("""COMPUTED_VALUE"""),"إيمان خليل")</f>
        <v>إيمان خليل</v>
      </c>
      <c r="D615" s="5">
        <f>IFERROR(__xludf.DUMMYFUNCTION("""COMPUTED_VALUE"""),2740.0)</f>
        <v>2740</v>
      </c>
      <c r="E615" s="5" t="str">
        <f>IFERROR(__xludf.DUMMYFUNCTION("""COMPUTED_VALUE"""),"EG04-EG05-EG06")</f>
        <v>EG04-EG05-EG06</v>
      </c>
      <c r="F615" s="5" t="str">
        <f>IFERROR(__xludf.DUMMYFUNCTION("""COMPUTED_VALUE"""),"emankhalil9688896@gmail.com")</f>
        <v>emankhalil9688896@gmail.com</v>
      </c>
      <c r="G615" s="5" t="str">
        <f>IFERROR(__xludf.DUMMYFUNCTION("""COMPUTED_VALUE"""),"01211232390")</f>
        <v>01211232390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tr">
        <f>IFERROR(__xludf.DUMMYFUNCTION("""COMPUTED_VALUE"""),"محمد صالح")</f>
        <v>محمد صالح</v>
      </c>
      <c r="B616" s="5">
        <f>IFERROR(__xludf.DUMMYFUNCTION("""COMPUTED_VALUE"""),8.08120316039E11)</f>
        <v>808120316039</v>
      </c>
      <c r="C616" s="5" t="str">
        <f>IFERROR(__xludf.DUMMYFUNCTION("""COMPUTED_VALUE"""),"محمد صالح")</f>
        <v>محمد صالح</v>
      </c>
      <c r="D616" s="5">
        <f>IFERROR(__xludf.DUMMYFUNCTION("""COMPUTED_VALUE"""),2739.0)</f>
        <v>2739</v>
      </c>
      <c r="E616" s="5" t="str">
        <f>IFERROR(__xludf.DUMMYFUNCTION("""COMPUTED_VALUE"""),"EG04-EG05-EG06-EG07-EG08-EG09")</f>
        <v>EG04-EG05-EG06-EG07-EG08-EG09</v>
      </c>
      <c r="F616" s="5" t="str">
        <f>IFERROR(__xludf.DUMMYFUNCTION("""COMPUTED_VALUE"""),"doa.ly0852@gmail.com")</f>
        <v>doa.ly0852@gmail.com</v>
      </c>
      <c r="G616" s="5" t="str">
        <f>IFERROR(__xludf.DUMMYFUNCTION("""COMPUTED_VALUE"""),"0021066128934/0021556107320")</f>
        <v>0021066128934/0021556107320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tr">
        <f>IFERROR(__xludf.DUMMYFUNCTION("""COMPUTED_VALUE"""),"عمرو محمود")</f>
        <v>عمرو محمود</v>
      </c>
      <c r="B617" s="5">
        <f>IFERROR(__xludf.DUMMYFUNCTION("""COMPUTED_VALUE"""),4.34182527396E11)</f>
        <v>434182527396</v>
      </c>
      <c r="C617" s="5" t="str">
        <f>IFERROR(__xludf.DUMMYFUNCTION("""COMPUTED_VALUE"""),"عمرو محمود")</f>
        <v>عمرو محمود</v>
      </c>
      <c r="D617" s="5">
        <f>IFERROR(__xludf.DUMMYFUNCTION("""COMPUTED_VALUE"""),2750.0)</f>
        <v>2750</v>
      </c>
      <c r="E617" s="5" t="str">
        <f>IFERROR(__xludf.DUMMYFUNCTION("""COMPUTED_VALUE"""),"EG03-EG04-EG05-EG06")</f>
        <v>EG03-EG04-EG05-EG06</v>
      </c>
      <c r="F617" s="5" t="str">
        <f>IFERROR(__xludf.DUMMYFUNCTION("""COMPUTED_VALUE"""),"mrw263050@gmail.com")</f>
        <v>mrw263050@gmail.com</v>
      </c>
      <c r="G617" s="5" t="str">
        <f>IFERROR(__xludf.DUMMYFUNCTION("""COMPUTED_VALUE"""),"01032048605")</f>
        <v>01032048605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tr">
        <f>IFERROR(__xludf.DUMMYFUNCTION("""COMPUTED_VALUE"""),"عاصم عبد الهادي")</f>
        <v>عاصم عبد الهادي</v>
      </c>
      <c r="B618" s="5">
        <f>IFERROR(__xludf.DUMMYFUNCTION("""COMPUTED_VALUE"""),5.73158956591E11)</f>
        <v>573158956591</v>
      </c>
      <c r="C618" s="5" t="str">
        <f>IFERROR(__xludf.DUMMYFUNCTION("""COMPUTED_VALUE"""),"عاصم عبد الهادي")</f>
        <v>عاصم عبد الهادي</v>
      </c>
      <c r="D618" s="5">
        <f>IFERROR(__xludf.DUMMYFUNCTION("""COMPUTED_VALUE"""),2743.0)</f>
        <v>2743</v>
      </c>
      <c r="E618" s="5" t="str">
        <f>IFERROR(__xludf.DUMMYFUNCTION("""COMPUTED_VALUE"""),"EG07-EG08-EG09")</f>
        <v>EG07-EG08-EG09</v>
      </c>
      <c r="F618" s="5" t="str">
        <f>IFERROR(__xludf.DUMMYFUNCTION("""COMPUTED_VALUE"""),"dr.asemalaraby@gmail.com")</f>
        <v>dr.asemalaraby@gmail.com</v>
      </c>
      <c r="G618" s="5" t="str">
        <f>IFERROR(__xludf.DUMMYFUNCTION("""COMPUTED_VALUE"""),"01551479788")</f>
        <v>01551479788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tr">
        <f>IFERROR(__xludf.DUMMYFUNCTION("""COMPUTED_VALUE"""),"أسماء هاشم")</f>
        <v>أسماء هاشم</v>
      </c>
      <c r="B619" s="5">
        <f>IFERROR(__xludf.DUMMYFUNCTION("""COMPUTED_VALUE"""),1.05143030564E11)</f>
        <v>105143030564</v>
      </c>
      <c r="C619" s="5" t="str">
        <f>IFERROR(__xludf.DUMMYFUNCTION("""COMPUTED_VALUE"""),"أسماء هاشم")</f>
        <v>أسماء هاشم</v>
      </c>
      <c r="D619" s="5">
        <f>IFERROR(__xludf.DUMMYFUNCTION("""COMPUTED_VALUE"""),2753.0)</f>
        <v>2753</v>
      </c>
      <c r="E619" s="5" t="str">
        <f>IFERROR(__xludf.DUMMYFUNCTION("""COMPUTED_VALUE"""),"EG01-EG02-EG03-EG04-EG05-EG06")</f>
        <v>EG01-EG02-EG03-EG04-EG05-EG06</v>
      </c>
      <c r="F619" s="5" t="str">
        <f>IFERROR(__xludf.DUMMYFUNCTION("""COMPUTED_VALUE"""),"asmaa.hashim88@gmail.com")</f>
        <v>asmaa.hashim88@gmail.com</v>
      </c>
      <c r="G619" s="5" t="str">
        <f>IFERROR(__xludf.DUMMYFUNCTION("""COMPUTED_VALUE"""),"01098052277")</f>
        <v>01098052277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tr">
        <f>IFERROR(__xludf.DUMMYFUNCTION("""COMPUTED_VALUE"""),"آية علاء")</f>
        <v>آية علاء</v>
      </c>
      <c r="B620" s="5">
        <f>IFERROR(__xludf.DUMMYFUNCTION("""COMPUTED_VALUE"""),4.87176043708E11)</f>
        <v>487176043708</v>
      </c>
      <c r="C620" s="5" t="str">
        <f>IFERROR(__xludf.DUMMYFUNCTION("""COMPUTED_VALUE"""),"آية علاء")</f>
        <v>آية علاء</v>
      </c>
      <c r="D620" s="5">
        <f>IFERROR(__xludf.DUMMYFUNCTION("""COMPUTED_VALUE"""),2744.0)</f>
        <v>2744</v>
      </c>
      <c r="E620" s="5" t="str">
        <f>IFERROR(__xludf.DUMMYFUNCTION("""COMPUTED_VALUE"""),"EG04-EG05-EG06")</f>
        <v>EG04-EG05-EG06</v>
      </c>
      <c r="F620" s="5" t="str">
        <f>IFERROR(__xludf.DUMMYFUNCTION("""COMPUTED_VALUE"""),"aya.alaa85@yahoo.com")</f>
        <v>aya.alaa85@yahoo.com</v>
      </c>
      <c r="G620" s="5" t="str">
        <f>IFERROR(__xludf.DUMMYFUNCTION("""COMPUTED_VALUE"""),"01159348705")</f>
        <v>01159348705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tr">
        <f>IFERROR(__xludf.DUMMYFUNCTION("""COMPUTED_VALUE"""),"سالي سيد")</f>
        <v>سالي سيد</v>
      </c>
      <c r="B621" s="5">
        <f>IFERROR(__xludf.DUMMYFUNCTION("""COMPUTED_VALUE"""),9.53162327564E11)</f>
        <v>953162327564</v>
      </c>
      <c r="C621" s="5" t="str">
        <f>IFERROR(__xludf.DUMMYFUNCTION("""COMPUTED_VALUE"""),"سالي سيد")</f>
        <v>سالي سيد</v>
      </c>
      <c r="D621" s="5">
        <f>IFERROR(__xludf.DUMMYFUNCTION("""COMPUTED_VALUE"""),2741.0)</f>
        <v>2741</v>
      </c>
      <c r="E621" s="5" t="str">
        <f>IFERROR(__xludf.DUMMYFUNCTION("""COMPUTED_VALUE"""),"EG04-EG05-EG06")</f>
        <v>EG04-EG05-EG06</v>
      </c>
      <c r="F621" s="5" t="str">
        <f>IFERROR(__xludf.DUMMYFUNCTION("""COMPUTED_VALUE"""),"sally.sayed@yahoo.com")</f>
        <v>sally.sayed@yahoo.com</v>
      </c>
      <c r="G621" s="5" t="str">
        <f>IFERROR(__xludf.DUMMYFUNCTION("""COMPUTED_VALUE"""),"01226537936")</f>
        <v>01226537936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tr">
        <f>IFERROR(__xludf.DUMMYFUNCTION("""COMPUTED_VALUE"""),"عمار أسامة")</f>
        <v>عمار أسامة</v>
      </c>
      <c r="B622" s="5">
        <f>IFERROR(__xludf.DUMMYFUNCTION("""COMPUTED_VALUE"""),7.45160949182E11)</f>
        <v>745160949182</v>
      </c>
      <c r="C622" s="5" t="str">
        <f>IFERROR(__xludf.DUMMYFUNCTION("""COMPUTED_VALUE"""),"عمار أسامة")</f>
        <v>عمار أسامة</v>
      </c>
      <c r="D622" s="5">
        <f>IFERROR(__xludf.DUMMYFUNCTION("""COMPUTED_VALUE"""),2666.0)</f>
        <v>2666</v>
      </c>
      <c r="E622" s="5" t="str">
        <f>IFERROR(__xludf.DUMMYFUNCTION("""COMPUTED_VALUE"""),"EG07-EG08-EG09")</f>
        <v>EG07-EG08-EG09</v>
      </c>
      <c r="F622" s="5" t="str">
        <f>IFERROR(__xludf.DUMMYFUNCTION("""COMPUTED_VALUE"""),"ammar.osama0127@gmail.com")</f>
        <v>ammar.osama0127@gmail.com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tr">
        <f>IFERROR(__xludf.DUMMYFUNCTION("""COMPUTED_VALUE"""),"منى الشاعر")</f>
        <v>منى الشاعر</v>
      </c>
      <c r="B623" s="5">
        <f>IFERROR(__xludf.DUMMYFUNCTION("""COMPUTED_VALUE"""),7.59196045212E11)</f>
        <v>759196045212</v>
      </c>
      <c r="C623" s="5" t="str">
        <f>IFERROR(__xludf.DUMMYFUNCTION("""COMPUTED_VALUE"""),"منى الشاعر")</f>
        <v>منى الشاعر</v>
      </c>
      <c r="D623" s="5">
        <f>IFERROR(__xludf.DUMMYFUNCTION("""COMPUTED_VALUE"""),2751.0)</f>
        <v>2751</v>
      </c>
      <c r="E623" s="5" t="str">
        <f>IFERROR(__xludf.DUMMYFUNCTION("""COMPUTED_VALUE"""),"EG04-EG05-EG06")</f>
        <v>EG04-EG05-EG06</v>
      </c>
      <c r="F623" s="5" t="str">
        <f>IFERROR(__xludf.DUMMYFUNCTION("""COMPUTED_VALUE"""),"monakoka010@gmail.com")</f>
        <v>monakoka010@gmail.com</v>
      </c>
      <c r="G623" s="5" t="str">
        <f>IFERROR(__xludf.DUMMYFUNCTION("""COMPUTED_VALUE"""),"01141513173")</f>
        <v>01141513173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tr">
        <f>IFERROR(__xludf.DUMMYFUNCTION("""COMPUTED_VALUE"""),"سمير فرج")</f>
        <v>سمير فرج</v>
      </c>
      <c r="B624" s="5">
        <f>IFERROR(__xludf.DUMMYFUNCTION("""COMPUTED_VALUE"""),6.80125089292E11)</f>
        <v>680125089292</v>
      </c>
      <c r="C624" s="5" t="str">
        <f>IFERROR(__xludf.DUMMYFUNCTION("""COMPUTED_VALUE"""),"سمير فرج")</f>
        <v>سمير فرج</v>
      </c>
      <c r="D624" s="5">
        <f>IFERROR(__xludf.DUMMYFUNCTION("""COMPUTED_VALUE"""),2597.0)</f>
        <v>2597</v>
      </c>
      <c r="E624" s="5" t="str">
        <f>IFERROR(__xludf.DUMMYFUNCTION("""COMPUTED_VALUE"""),"EG04-EG05-EG06-EG07-EG08-EG09")</f>
        <v>EG04-EG05-EG06-EG07-EG08-EG09</v>
      </c>
      <c r="F624" s="5" t="str">
        <f>IFERROR(__xludf.DUMMYFUNCTION("""COMPUTED_VALUE"""),"mr.samiribrahim@yahoo.com")</f>
        <v>mr.samiribrahim@yahoo.com</v>
      </c>
      <c r="G624" s="5" t="str">
        <f>IFERROR(__xludf.DUMMYFUNCTION("""COMPUTED_VALUE"""),"01200100441")</f>
        <v>01200100441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tr">
        <f>IFERROR(__xludf.DUMMYFUNCTION("""COMPUTED_VALUE"""),"ندى علي")</f>
        <v>ندى علي</v>
      </c>
      <c r="B625" s="5">
        <f>IFERROR(__xludf.DUMMYFUNCTION("""COMPUTED_VALUE"""),4.06159296081E11)</f>
        <v>406159296081</v>
      </c>
      <c r="C625" s="5" t="str">
        <f>IFERROR(__xludf.DUMMYFUNCTION("""COMPUTED_VALUE"""),"ندى علي")</f>
        <v>ندى علي</v>
      </c>
      <c r="D625" s="5">
        <f>IFERROR(__xludf.DUMMYFUNCTION("""COMPUTED_VALUE"""),2730.0)</f>
        <v>2730</v>
      </c>
      <c r="E625" s="5" t="str">
        <f>IFERROR(__xludf.DUMMYFUNCTION("""COMPUTED_VALUE"""),"EG01-EG02-EG03-EG04")</f>
        <v>EG01-EG02-EG03-EG04</v>
      </c>
      <c r="F625" s="5" t="str">
        <f>IFERROR(__xludf.DUMMYFUNCTION("""COMPUTED_VALUE"""),"nadaaly58@gmail.com")</f>
        <v>nadaaly58@gmail.com</v>
      </c>
      <c r="G625" s="5" t="str">
        <f>IFERROR(__xludf.DUMMYFUNCTION("""COMPUTED_VALUE"""),"01275735695")</f>
        <v>01275735695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tr">
        <f>IFERROR(__xludf.DUMMYFUNCTION("""COMPUTED_VALUE"""),"هبة جمال")</f>
        <v>هبة جمال</v>
      </c>
      <c r="B626" s="5">
        <f>IFERROR(__xludf.DUMMYFUNCTION("""COMPUTED_VALUE"""),1.47134575647E11)</f>
        <v>147134575647</v>
      </c>
      <c r="C626" s="5" t="str">
        <f>IFERROR(__xludf.DUMMYFUNCTION("""COMPUTED_VALUE"""),"هبة جمال")</f>
        <v>هبة جمال</v>
      </c>
      <c r="D626" s="5">
        <f>IFERROR(__xludf.DUMMYFUNCTION("""COMPUTED_VALUE"""),2611.0)</f>
        <v>2611</v>
      </c>
      <c r="E626" s="5" t="str">
        <f>IFERROR(__xludf.DUMMYFUNCTION("""COMPUTED_VALUE"""),"EG07-EG08-EG09")</f>
        <v>EG07-EG08-EG09</v>
      </c>
      <c r="F626" s="5" t="str">
        <f>IFERROR(__xludf.DUMMYFUNCTION("""COMPUTED_VALUE"""),"hebagamal121@gmail.com")</f>
        <v>hebagamal121@gmail.com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tr">
        <f>IFERROR(__xludf.DUMMYFUNCTION("""COMPUTED_VALUE"""),"سوزان عبد الفتاح")</f>
        <v>سوزان عبد الفتاح</v>
      </c>
      <c r="B627" s="5">
        <f>IFERROR(__xludf.DUMMYFUNCTION("""COMPUTED_VALUE"""),6.15125769823E11)</f>
        <v>615125769823</v>
      </c>
      <c r="C627" s="5" t="str">
        <f>IFERROR(__xludf.DUMMYFUNCTION("""COMPUTED_VALUE"""),"سوزان عبد الفتاح")</f>
        <v>سوزان عبد الفتاح</v>
      </c>
      <c r="D627" s="5">
        <f>IFERROR(__xludf.DUMMYFUNCTION("""COMPUTED_VALUE"""),2660.0)</f>
        <v>2660</v>
      </c>
      <c r="E627" s="5" t="str">
        <f>IFERROR(__xludf.DUMMYFUNCTION("""COMPUTED_VALUE"""),"EG07-EG08-EG09-EG10-EG11-EG12")</f>
        <v>EG07-EG08-EG09-EG10-EG11-EG12</v>
      </c>
      <c r="F627" s="5" t="str">
        <f>IFERROR(__xludf.DUMMYFUNCTION("""COMPUTED_VALUE"""),"suzanabdelfattah997@gmail.com")</f>
        <v>suzanabdelfattah997@gmail.com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tr">
        <f>IFERROR(__xludf.DUMMYFUNCTION("""COMPUTED_VALUE"""),"أميرة يونس")</f>
        <v>أميرة يونس</v>
      </c>
      <c r="B628" s="5">
        <f>IFERROR(__xludf.DUMMYFUNCTION("""COMPUTED_VALUE"""),5.02143048426E11)</f>
        <v>502143048426</v>
      </c>
      <c r="C628" s="5" t="str">
        <f>IFERROR(__xludf.DUMMYFUNCTION("""COMPUTED_VALUE"""),"أميرة يونس")</f>
        <v>أميرة يونس</v>
      </c>
      <c r="D628" s="5">
        <f>IFERROR(__xludf.DUMMYFUNCTION("""COMPUTED_VALUE"""),2700.0)</f>
        <v>2700</v>
      </c>
      <c r="E628" s="5" t="str">
        <f>IFERROR(__xludf.DUMMYFUNCTION("""COMPUTED_VALUE"""),"EG07-EG08-EG09-EG10-EG11-EG12")</f>
        <v>EG07-EG08-EG09-EG10-EG11-EG12</v>
      </c>
      <c r="F628" s="5" t="str">
        <f>IFERROR(__xludf.DUMMYFUNCTION("""COMPUTED_VALUE"""),"amirayounes800@gmail.com")</f>
        <v>amirayounes800@gmail.com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tr">
        <f>IFERROR(__xludf.DUMMYFUNCTION("""COMPUTED_VALUE"""),"أشرف صبري")</f>
        <v>أشرف صبري</v>
      </c>
      <c r="B629" s="5">
        <f>IFERROR(__xludf.DUMMYFUNCTION("""COMPUTED_VALUE"""),9.45158431678E11)</f>
        <v>945158431678</v>
      </c>
      <c r="C629" s="5" t="str">
        <f>IFERROR(__xludf.DUMMYFUNCTION("""COMPUTED_VALUE"""),"أشرف صبري")</f>
        <v>أشرف صبري</v>
      </c>
      <c r="D629" s="5">
        <f>IFERROR(__xludf.DUMMYFUNCTION("""COMPUTED_VALUE"""),2683.0)</f>
        <v>2683</v>
      </c>
      <c r="E629" s="5" t="str">
        <f>IFERROR(__xludf.DUMMYFUNCTION("""COMPUTED_VALUE"""),"EG04-EG05-EG06-EG07-EG08-EG09")</f>
        <v>EG04-EG05-EG06-EG07-EG08-EG09</v>
      </c>
      <c r="F629" s="5" t="str">
        <f>IFERROR(__xludf.DUMMYFUNCTION("""COMPUTED_VALUE"""),"ashrafsabry310@gmail.com")</f>
        <v>ashrafsabry310@gmail.com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tr">
        <f>IFERROR(__xludf.DUMMYFUNCTION("""COMPUTED_VALUE"""),"آية فهمي")</f>
        <v>آية فهمي</v>
      </c>
      <c r="B630" s="5">
        <f>IFERROR(__xludf.DUMMYFUNCTION("""COMPUTED_VALUE"""),7.06169030428E11)</f>
        <v>706169030428</v>
      </c>
      <c r="C630" s="5" t="str">
        <f>IFERROR(__xludf.DUMMYFUNCTION("""COMPUTED_VALUE"""),"آية فهمي")</f>
        <v>آية فهمي</v>
      </c>
      <c r="D630" s="5">
        <f>IFERROR(__xludf.DUMMYFUNCTION("""COMPUTED_VALUE"""),2610.0)</f>
        <v>2610</v>
      </c>
      <c r="E630" s="5" t="str">
        <f>IFERROR(__xludf.DUMMYFUNCTION("""COMPUTED_VALUE"""),"EG01-EG02-EG03-EG04-EG05-EG06")</f>
        <v>EG01-EG02-EG03-EG04-EG05-EG06</v>
      </c>
      <c r="F630" s="5" t="str">
        <f>IFERROR(__xludf.DUMMYFUNCTION("""COMPUTED_VALUE"""),"modeayamode@gmail.com")</f>
        <v>modeayamode@gmail.com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tr">
        <f>IFERROR(__xludf.DUMMYFUNCTION("""COMPUTED_VALUE"""),"أحمد عرفة")</f>
        <v>أحمد عرفة</v>
      </c>
      <c r="B631" s="5">
        <f>IFERROR(__xludf.DUMMYFUNCTION("""COMPUTED_VALUE"""),2.04176435205E11)</f>
        <v>204176435205</v>
      </c>
      <c r="C631" s="5" t="str">
        <f>IFERROR(__xludf.DUMMYFUNCTION("""COMPUTED_VALUE"""),"أحمد عرفة")</f>
        <v>أحمد عرفة</v>
      </c>
      <c r="D631" s="5">
        <f>IFERROR(__xludf.DUMMYFUNCTION("""COMPUTED_VALUE"""),2651.0)</f>
        <v>2651</v>
      </c>
      <c r="E631" s="5" t="str">
        <f>IFERROR(__xludf.DUMMYFUNCTION("""COMPUTED_VALUE"""),"EG09-EG10-EG11-EG12")</f>
        <v>EG09-EG10-EG11-EG12</v>
      </c>
      <c r="F631" s="5" t="str">
        <f>IFERROR(__xludf.DUMMYFUNCTION("""COMPUTED_VALUE"""),"ahmedarafa294@gmail.com")</f>
        <v>ahmedarafa294@gmail.com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tr">
        <f>IFERROR(__xludf.DUMMYFUNCTION("""COMPUTED_VALUE"""),"حاكم محمد")</f>
        <v>حاكم محمد</v>
      </c>
      <c r="B632" s="5">
        <f>IFERROR(__xludf.DUMMYFUNCTION("""COMPUTED_VALUE"""),2.35192420945E11)</f>
        <v>235192420945</v>
      </c>
      <c r="C632" s="5" t="str">
        <f>IFERROR(__xludf.DUMMYFUNCTION("""COMPUTED_VALUE"""),"حاكم محمد")</f>
        <v>حاكم محمد</v>
      </c>
      <c r="D632" s="5">
        <f>IFERROR(__xludf.DUMMYFUNCTION("""COMPUTED_VALUE"""),2606.0)</f>
        <v>2606</v>
      </c>
      <c r="E632" s="5" t="str">
        <f>IFERROR(__xludf.DUMMYFUNCTION("""COMPUTED_VALUE"""),"EG07-EG08-EG09-EG10-EG11-EG12")</f>
        <v>EG07-EG08-EG09-EG10-EG11-EG12</v>
      </c>
      <c r="F632" s="5" t="str">
        <f>IFERROR(__xludf.DUMMYFUNCTION("""COMPUTED_VALUE"""),"hakem2006@gmail.com")</f>
        <v>hakem2006@gmail.com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tr">
        <f>IFERROR(__xludf.DUMMYFUNCTION("""COMPUTED_VALUE"""),"نهى إبراهيم")</f>
        <v>نهى إبراهيم</v>
      </c>
      <c r="B633" s="5">
        <f>IFERROR(__xludf.DUMMYFUNCTION("""COMPUTED_VALUE"""),7.13154590107E11)</f>
        <v>713154590107</v>
      </c>
      <c r="C633" s="5" t="str">
        <f>IFERROR(__xludf.DUMMYFUNCTION("""COMPUTED_VALUE"""),"نهى إبراهيم")</f>
        <v>نهى إبراهيم</v>
      </c>
      <c r="D633" s="5">
        <f>IFERROR(__xludf.DUMMYFUNCTION("""COMPUTED_VALUE"""),2691.0)</f>
        <v>2691</v>
      </c>
      <c r="E633" s="5" t="str">
        <f>IFERROR(__xludf.DUMMYFUNCTION("""COMPUTED_VALUE"""),"EG04-EG05-EG06")</f>
        <v>EG04-EG05-EG06</v>
      </c>
      <c r="F633" s="5" t="str">
        <f>IFERROR(__xludf.DUMMYFUNCTION("""COMPUTED_VALUE"""),"nohaibrahim1310@gmail.com")</f>
        <v>nohaibrahim1310@gmail.com</v>
      </c>
      <c r="G633" s="5">
        <f>IFERROR(__xludf.DUMMYFUNCTION("""COMPUTED_VALUE"""),1.01352225E9)</f>
        <v>1013522250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tr">
        <f>IFERROR(__xludf.DUMMYFUNCTION("""COMPUTED_VALUE"""),"دعاء مصطفى")</f>
        <v>دعاء مصطفى</v>
      </c>
      <c r="B634" s="5">
        <f>IFERROR(__xludf.DUMMYFUNCTION("""COMPUTED_VALUE"""),6.34163474745E11)</f>
        <v>634163474745</v>
      </c>
      <c r="C634" s="5" t="str">
        <f>IFERROR(__xludf.DUMMYFUNCTION("""COMPUTED_VALUE"""),"دعاء مصطفى")</f>
        <v>دعاء مصطفى</v>
      </c>
      <c r="D634" s="5">
        <f>IFERROR(__xludf.DUMMYFUNCTION("""COMPUTED_VALUE"""),2722.0)</f>
        <v>2722</v>
      </c>
      <c r="E634" s="5" t="str">
        <f>IFERROR(__xludf.DUMMYFUNCTION("""COMPUTED_VALUE"""),"EG01-EG02-EG03-EG04-EG05-EG06")</f>
        <v>EG01-EG02-EG03-EG04-EG05-EG06</v>
      </c>
      <c r="F634" s="5" t="str">
        <f>IFERROR(__xludf.DUMMYFUNCTION("""COMPUTED_VALUE"""),"doaamostafaalis@gmail.com")</f>
        <v>doaamostafaalis@gmail.com</v>
      </c>
      <c r="G634" s="5" t="str">
        <f>IFERROR(__xludf.DUMMYFUNCTION("""COMPUTED_VALUE"""),"01012291825")</f>
        <v>01012291825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tr">
        <f>IFERROR(__xludf.DUMMYFUNCTION("""COMPUTED_VALUE"""),"أحمد البنا")</f>
        <v>أحمد البنا</v>
      </c>
      <c r="B635" s="5">
        <f>IFERROR(__xludf.DUMMYFUNCTION("""COMPUTED_VALUE"""),5.29120269683E11)</f>
        <v>529120269683</v>
      </c>
      <c r="C635" s="5" t="str">
        <f>IFERROR(__xludf.DUMMYFUNCTION("""COMPUTED_VALUE"""),"أحمد البنا")</f>
        <v>أحمد البنا</v>
      </c>
      <c r="D635" s="5">
        <f>IFERROR(__xludf.DUMMYFUNCTION("""COMPUTED_VALUE"""),2746.0)</f>
        <v>2746</v>
      </c>
      <c r="E635" s="5" t="str">
        <f>IFERROR(__xludf.DUMMYFUNCTION("""COMPUTED_VALUE"""),"EG07-EG08-EG10")</f>
        <v>EG07-EG08-EG10</v>
      </c>
      <c r="F635" s="5" t="str">
        <f>IFERROR(__xludf.DUMMYFUNCTION("""COMPUTED_VALUE"""),"ahmed.elbana91@gmail.com")</f>
        <v>ahmed.elbana91@gmail.com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tr">
        <f>IFERROR(__xludf.DUMMYFUNCTION("""COMPUTED_VALUE"""),"أحمد عويس")</f>
        <v>أحمد عويس</v>
      </c>
      <c r="B636" s="5">
        <f>IFERROR(__xludf.DUMMYFUNCTION("""COMPUTED_VALUE"""),7.90141820907E11)</f>
        <v>790141820907</v>
      </c>
      <c r="C636" s="5" t="str">
        <f>IFERROR(__xludf.DUMMYFUNCTION("""COMPUTED_VALUE"""),"أحمد عويس")</f>
        <v>أحمد عويس</v>
      </c>
      <c r="D636" s="5">
        <f>IFERROR(__xludf.DUMMYFUNCTION("""COMPUTED_VALUE"""),2747.0)</f>
        <v>2747</v>
      </c>
      <c r="E636" s="5" t="str">
        <f>IFERROR(__xludf.DUMMYFUNCTION("""COMPUTED_VALUE"""),"EG07-EG08-EG09")</f>
        <v>EG07-EG08-EG09</v>
      </c>
      <c r="F636" s="5" t="str">
        <f>IFERROR(__xludf.DUMMYFUNCTION("""COMPUTED_VALUE"""),"weyso2030@gmail.com")</f>
        <v>weyso2030@gmail.com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tr">
        <f>IFERROR(__xludf.DUMMYFUNCTION("""COMPUTED_VALUE"""),"ياسمين سعيد")</f>
        <v>ياسمين سعيد</v>
      </c>
      <c r="B637" s="5">
        <f>IFERROR(__xludf.DUMMYFUNCTION("""COMPUTED_VALUE"""),7.95161084548E11)</f>
        <v>795161084548</v>
      </c>
      <c r="C637" s="5" t="str">
        <f>IFERROR(__xludf.DUMMYFUNCTION("""COMPUTED_VALUE"""),"ياسمين سعيد")</f>
        <v>ياسمين سعيد</v>
      </c>
      <c r="D637" s="5">
        <f>IFERROR(__xludf.DUMMYFUNCTION("""COMPUTED_VALUE"""),2532.0)</f>
        <v>2532</v>
      </c>
      <c r="E637" s="5"/>
      <c r="F637" s="5" t="str">
        <f>IFERROR(__xludf.DUMMYFUNCTION("""COMPUTED_VALUE"""),"yasmiensaied90@gmail.com")</f>
        <v>yasmiensaied90@gmail.com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tr">
        <f>IFERROR(__xludf.DUMMYFUNCTION("""COMPUTED_VALUE"""),"أسماء العليمي")</f>
        <v>أسماء العليمي</v>
      </c>
      <c r="B638" s="5">
        <f>IFERROR(__xludf.DUMMYFUNCTION("""COMPUTED_VALUE"""),9.27107160421E11)</f>
        <v>927107160421</v>
      </c>
      <c r="C638" s="5" t="str">
        <f>IFERROR(__xludf.DUMMYFUNCTION("""COMPUTED_VALUE"""),"أسماء العليمي")</f>
        <v>أسماء العليمي</v>
      </c>
      <c r="D638" s="5">
        <f>IFERROR(__xludf.DUMMYFUNCTION("""COMPUTED_VALUE"""),2760.0)</f>
        <v>2760</v>
      </c>
      <c r="E638" s="5" t="str">
        <f>IFERROR(__xludf.DUMMYFUNCTION("""COMPUTED_VALUE"""),"EG01-EG02-EG03-EG04-EG05-EG06")</f>
        <v>EG01-EG02-EG03-EG04-EG05-EG06</v>
      </c>
      <c r="F638" s="5" t="str">
        <f>IFERROR(__xludf.DUMMYFUNCTION("""COMPUTED_VALUE"""),"asmaaa.elaimy@gmail.com")</f>
        <v>asmaaa.elaimy@gmail.com</v>
      </c>
      <c r="G638" s="5" t="str">
        <f>IFERROR(__xludf.DUMMYFUNCTION("""COMPUTED_VALUE"""),"01066612687")</f>
        <v>01066612687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tr">
        <f>IFERROR(__xludf.DUMMYFUNCTION("""COMPUTED_VALUE"""),"مونيكا إدوارد")</f>
        <v>مونيكا إدوارد</v>
      </c>
      <c r="B639" s="5">
        <f>IFERROR(__xludf.DUMMYFUNCTION("""COMPUTED_VALUE"""),1.94190610534E11)</f>
        <v>194190610534</v>
      </c>
      <c r="C639" s="5" t="str">
        <f>IFERROR(__xludf.DUMMYFUNCTION("""COMPUTED_VALUE"""),"مونيكا إدوارد")</f>
        <v>مونيكا إدوارد</v>
      </c>
      <c r="D639" s="5">
        <f>IFERROR(__xludf.DUMMYFUNCTION("""COMPUTED_VALUE"""),2757.0)</f>
        <v>2757</v>
      </c>
      <c r="E639" s="5" t="str">
        <f>IFERROR(__xludf.DUMMYFUNCTION("""COMPUTED_VALUE"""),"EG01-EG02-EG03-EG04")</f>
        <v>EG01-EG02-EG03-EG04</v>
      </c>
      <c r="F639" s="5" t="str">
        <f>IFERROR(__xludf.DUMMYFUNCTION("""COMPUTED_VALUE"""),"moneyedward37@gmail.com")</f>
        <v>moneyedward37@gmail.com</v>
      </c>
      <c r="G639" s="5" t="str">
        <f>IFERROR(__xludf.DUMMYFUNCTION("""COMPUTED_VALUE"""),"01277626560")</f>
        <v>01277626560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tr">
        <f>IFERROR(__xludf.DUMMYFUNCTION("""COMPUTED_VALUE"""),"محمود السعيد")</f>
        <v>محمود السعيد</v>
      </c>
      <c r="B640" s="5">
        <f>IFERROR(__xludf.DUMMYFUNCTION("""COMPUTED_VALUE"""),8.97136858074E11)</f>
        <v>897136858074</v>
      </c>
      <c r="C640" s="5" t="str">
        <f>IFERROR(__xludf.DUMMYFUNCTION("""COMPUTED_VALUE"""),"محمود السعيد")</f>
        <v>محمود السعيد</v>
      </c>
      <c r="D640" s="5">
        <f>IFERROR(__xludf.DUMMYFUNCTION("""COMPUTED_VALUE"""),2768.0)</f>
        <v>2768</v>
      </c>
      <c r="E640" s="5" t="str">
        <f>IFERROR(__xludf.DUMMYFUNCTION("""COMPUTED_VALUE"""),"EG07-EG08-EG09")</f>
        <v>EG07-EG08-EG09</v>
      </c>
      <c r="F640" s="5" t="str">
        <f>IFERROR(__xludf.DUMMYFUNCTION("""COMPUTED_VALUE"""),"elsaiid99@live.com")</f>
        <v>elsaiid99@live.com</v>
      </c>
      <c r="G640" s="5" t="str">
        <f>IFERROR(__xludf.DUMMYFUNCTION("""COMPUTED_VALUE"""),"01126789926")</f>
        <v>01126789926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tr">
        <f>IFERROR(__xludf.DUMMYFUNCTION("""COMPUTED_VALUE"""),"دنيا فاروق")</f>
        <v>دنيا فاروق</v>
      </c>
      <c r="B641" s="5">
        <f>IFERROR(__xludf.DUMMYFUNCTION("""COMPUTED_VALUE"""),1.48126371346E11)</f>
        <v>148126371346</v>
      </c>
      <c r="C641" s="5" t="str">
        <f>IFERROR(__xludf.DUMMYFUNCTION("""COMPUTED_VALUE"""),"دنيا فاروق")</f>
        <v>دنيا فاروق</v>
      </c>
      <c r="D641" s="5">
        <f>IFERROR(__xludf.DUMMYFUNCTION("""COMPUTED_VALUE"""),2745.0)</f>
        <v>2745</v>
      </c>
      <c r="E641" s="5" t="str">
        <f>IFERROR(__xludf.DUMMYFUNCTION("""COMPUTED_VALUE"""),"EG01-EG02-EG03")</f>
        <v>EG01-EG02-EG03</v>
      </c>
      <c r="F641" s="5" t="str">
        <f>IFERROR(__xludf.DUMMYFUNCTION("""COMPUTED_VALUE"""),"doniafarouk2811@gmail.com")</f>
        <v>doniafarouk2811@gmail.com</v>
      </c>
      <c r="G641" s="5" t="str">
        <f>IFERROR(__xludf.DUMMYFUNCTION("""COMPUTED_VALUE"""),"01201302647")</f>
        <v>01201302647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tr">
        <f>IFERROR(__xludf.DUMMYFUNCTION("""COMPUTED_VALUE"""),"محمد أثير")</f>
        <v>محمد أثير</v>
      </c>
      <c r="B642" s="5">
        <f>IFERROR(__xludf.DUMMYFUNCTION("""COMPUTED_VALUE"""),8.45178158571E11)</f>
        <v>845178158571</v>
      </c>
      <c r="C642" s="5" t="str">
        <f>IFERROR(__xludf.DUMMYFUNCTION("""COMPUTED_VALUE"""),"محمد أثير")</f>
        <v>محمد أثير</v>
      </c>
      <c r="D642" s="5">
        <f>IFERROR(__xludf.DUMMYFUNCTION("""COMPUTED_VALUE"""),2766.0)</f>
        <v>2766</v>
      </c>
      <c r="E642" s="5" t="str">
        <f>IFERROR(__xludf.DUMMYFUNCTION("""COMPUTED_VALUE"""),"EG04-EG05-EG06-EG07-EG08-EG09")</f>
        <v>EG04-EG05-EG06-EG07-EG08-EG09</v>
      </c>
      <c r="F642" s="5" t="str">
        <f>IFERROR(__xludf.DUMMYFUNCTION("""COMPUTED_VALUE"""),"mohamadatheer1@gmail.com")</f>
        <v>mohamadatheer1@gmail.com</v>
      </c>
      <c r="G642" s="5" t="str">
        <f>IFERROR(__xludf.DUMMYFUNCTION("""COMPUTED_VALUE"""),"01282290201")</f>
        <v>01282290201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tr">
        <f>IFERROR(__xludf.DUMMYFUNCTION("""COMPUTED_VALUE"""),"طارق العليمي")</f>
        <v>طارق العليمي</v>
      </c>
      <c r="B643" s="5">
        <f>IFERROR(__xludf.DUMMYFUNCTION("""COMPUTED_VALUE"""),1.7316957372E11)</f>
        <v>173169573720</v>
      </c>
      <c r="C643" s="5" t="str">
        <f>IFERROR(__xludf.DUMMYFUNCTION("""COMPUTED_VALUE"""),"طارق العليمي")</f>
        <v>طارق العليمي</v>
      </c>
      <c r="D643" s="5">
        <f>IFERROR(__xludf.DUMMYFUNCTION("""COMPUTED_VALUE"""),2518.0)</f>
        <v>2518</v>
      </c>
      <c r="E643" s="5" t="str">
        <f>IFERROR(__xludf.DUMMYFUNCTION("""COMPUTED_VALUE"""),"EG07-EG08-EG09-EG10-EG11-EG12")</f>
        <v>EG07-EG08-EG09-EG10-EG11-EG12</v>
      </c>
      <c r="F643" s="5" t="str">
        <f>IFERROR(__xludf.DUMMYFUNCTION("""COMPUTED_VALUE"""),"tarekolaimi@gmail.com")</f>
        <v>tarekolaimi@gmail.com</v>
      </c>
      <c r="G643" s="5" t="str">
        <f>IFERROR(__xludf.DUMMYFUNCTION("""COMPUTED_VALUE"""),"01229982012")</f>
        <v>01229982012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tr">
        <f>IFERROR(__xludf.DUMMYFUNCTION("""COMPUTED_VALUE"""),"حكمت أحمد")</f>
        <v>حكمت أحمد</v>
      </c>
      <c r="B644" s="5">
        <f>IFERROR(__xludf.DUMMYFUNCTION("""COMPUTED_VALUE"""),8.40108032761E11)</f>
        <v>840108032761</v>
      </c>
      <c r="C644" s="5" t="str">
        <f>IFERROR(__xludf.DUMMYFUNCTION("""COMPUTED_VALUE"""),"حكمت أحمد")</f>
        <v>حكمت أحمد</v>
      </c>
      <c r="D644" s="5">
        <f>IFERROR(__xludf.DUMMYFUNCTION("""COMPUTED_VALUE"""),2653.0)</f>
        <v>2653</v>
      </c>
      <c r="E644" s="5" t="str">
        <f>IFERROR(__xludf.DUMMYFUNCTION("""COMPUTED_VALUE"""),"EG10-EG11")</f>
        <v>EG10-EG11</v>
      </c>
      <c r="F644" s="5" t="str">
        <f>IFERROR(__xludf.DUMMYFUNCTION("""COMPUTED_VALUE"""),"hekmat.shabayekesl@gmail.com")</f>
        <v>hekmat.shabayekesl@gmail.com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tr">
        <f>IFERROR(__xludf.DUMMYFUNCTION("""COMPUTED_VALUE"""),"مصطفى جمال")</f>
        <v>مصطفى جمال</v>
      </c>
      <c r="B645" s="5">
        <f>IFERROR(__xludf.DUMMYFUNCTION("""COMPUTED_VALUE"""),9.52197671641E11)</f>
        <v>952197671641</v>
      </c>
      <c r="C645" s="5" t="str">
        <f>IFERROR(__xludf.DUMMYFUNCTION("""COMPUTED_VALUE"""),"مصطفى جمال")</f>
        <v>مصطفى جمال</v>
      </c>
      <c r="D645" s="5">
        <f>IFERROR(__xludf.DUMMYFUNCTION("""COMPUTED_VALUE"""),2634.0)</f>
        <v>2634</v>
      </c>
      <c r="E645" s="5" t="str">
        <f>IFERROR(__xludf.DUMMYFUNCTION("""COMPUTED_VALUE"""),"EG04-EG05-EG06")</f>
        <v>EG04-EG05-EG06</v>
      </c>
      <c r="F645" s="5" t="str">
        <f>IFERROR(__xludf.DUMMYFUNCTION("""COMPUTED_VALUE"""),"mostafagamalmetwally@gmail.com")</f>
        <v>mostafagamalmetwally@gmail.com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tr">
        <f>IFERROR(__xludf.DUMMYFUNCTION("""COMPUTED_VALUE"""),"إبراهيم عبد العليم")</f>
        <v>إبراهيم عبد العليم</v>
      </c>
      <c r="B646" s="5">
        <f>IFERROR(__xludf.DUMMYFUNCTION("""COMPUTED_VALUE"""),3.64193795818E11)</f>
        <v>364193795818</v>
      </c>
      <c r="C646" s="5" t="str">
        <f>IFERROR(__xludf.DUMMYFUNCTION("""COMPUTED_VALUE"""),"إبراهيم عبد العليم")</f>
        <v>إبراهيم عبد العليم</v>
      </c>
      <c r="D646" s="5">
        <f>IFERROR(__xludf.DUMMYFUNCTION("""COMPUTED_VALUE"""),2717.0)</f>
        <v>2717</v>
      </c>
      <c r="E646" s="5" t="str">
        <f>IFERROR(__xludf.DUMMYFUNCTION("""COMPUTED_VALUE"""),"EG04-EG05-EG06")</f>
        <v>EG04-EG05-EG06</v>
      </c>
      <c r="F646" s="5" t="str">
        <f>IFERROR(__xludf.DUMMYFUNCTION("""COMPUTED_VALUE"""),"ibrahimabdelaliem591@gmail.com")</f>
        <v>ibrahimabdelaliem591@gmail.com</v>
      </c>
      <c r="G646" s="5" t="str">
        <f>IFERROR(__xludf.DUMMYFUNCTION("""COMPUTED_VALUE"""),"01013720278")</f>
        <v>01013720278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tr">
        <f>IFERROR(__xludf.DUMMYFUNCTION("""COMPUTED_VALUE"""),"سهر السيد")</f>
        <v>سهر السيد</v>
      </c>
      <c r="B647" s="5">
        <f>IFERROR(__xludf.DUMMYFUNCTION("""COMPUTED_VALUE"""),1.08171586739E11)</f>
        <v>108171586739</v>
      </c>
      <c r="C647" s="5" t="str">
        <f>IFERROR(__xludf.DUMMYFUNCTION("""COMPUTED_VALUE"""),"سهر السيد")</f>
        <v>سهر السيد</v>
      </c>
      <c r="D647" s="5">
        <f>IFERROR(__xludf.DUMMYFUNCTION("""COMPUTED_VALUE"""),2707.0)</f>
        <v>2707</v>
      </c>
      <c r="E647" s="5" t="str">
        <f>IFERROR(__xludf.DUMMYFUNCTION("""COMPUTED_VALUE"""),"EG04-EG05-EG06")</f>
        <v>EG04-EG05-EG06</v>
      </c>
      <c r="F647" s="5" t="str">
        <f>IFERROR(__xludf.DUMMYFUNCTION("""COMPUTED_VALUE"""),"mrs.sahar.savvy@gmail.com")</f>
        <v>mrs.sahar.savvy@gmail.com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tr">
        <f>IFERROR(__xludf.DUMMYFUNCTION("""COMPUTED_VALUE"""),"مارينا عماد")</f>
        <v>مارينا عماد</v>
      </c>
      <c r="B648" s="5">
        <f>IFERROR(__xludf.DUMMYFUNCTION("""COMPUTED_VALUE"""),5.8617056415E11)</f>
        <v>586170564150</v>
      </c>
      <c r="C648" s="5" t="str">
        <f>IFERROR(__xludf.DUMMYFUNCTION("""COMPUTED_VALUE"""),"مارينا عماد")</f>
        <v>مارينا عماد</v>
      </c>
      <c r="D648" s="5">
        <f>IFERROR(__xludf.DUMMYFUNCTION("""COMPUTED_VALUE"""),2629.0)</f>
        <v>2629</v>
      </c>
      <c r="E648" s="5" t="str">
        <f>IFERROR(__xludf.DUMMYFUNCTION("""COMPUTED_VALUE"""),"EG01-EG02-EG03-EG04")</f>
        <v>EG01-EG02-EG03-EG04</v>
      </c>
      <c r="F648" s="5" t="str">
        <f>IFERROR(__xludf.DUMMYFUNCTION("""COMPUTED_VALUE"""),"marinaemad4922@gmail.com")</f>
        <v>marinaemad4922@gmail.com</v>
      </c>
      <c r="G648" s="5" t="str">
        <f>IFERROR(__xludf.DUMMYFUNCTION("""COMPUTED_VALUE"""),"01210882072")</f>
        <v>01210882072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>
        <f>IFERROR(__xludf.DUMMYFUNCTION("""COMPUTED_VALUE"""),5.70128125789E11)</f>
        <v>570128125789</v>
      </c>
      <c r="C649" s="5"/>
      <c r="D649" s="5" t="str">
        <f>IFERROR(__xludf.DUMMYFUNCTION("""COMPUTED_VALUE"""),"#N/A")</f>
        <v>#N/A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tr">
        <f>IFERROR(__xludf.DUMMYFUNCTION("""COMPUTED_VALUE"""),"غادة صلاح")</f>
        <v>غادة صلاح</v>
      </c>
      <c r="B650" s="5">
        <f>IFERROR(__xludf.DUMMYFUNCTION("""COMPUTED_VALUE"""),5.64139362753E11)</f>
        <v>564139362753</v>
      </c>
      <c r="C650" s="5" t="str">
        <f>IFERROR(__xludf.DUMMYFUNCTION("""COMPUTED_VALUE"""),"غادة صلاح")</f>
        <v>غادة صلاح</v>
      </c>
      <c r="D650" s="5">
        <f>IFERROR(__xludf.DUMMYFUNCTION("""COMPUTED_VALUE"""),2770.0)</f>
        <v>2770</v>
      </c>
      <c r="E650" s="5" t="str">
        <f>IFERROR(__xludf.DUMMYFUNCTION("""COMPUTED_VALUE"""),"EG07-EG08-EG09")</f>
        <v>EG07-EG08-EG09</v>
      </c>
      <c r="F650" s="5" t="str">
        <f>IFERROR(__xludf.DUMMYFUNCTION("""COMPUTED_VALUE"""),"ghadasalah990@gmail.com")</f>
        <v>ghadasalah990@gmail.com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tr">
        <f>IFERROR(__xludf.DUMMYFUNCTION("""COMPUTED_VALUE"""),"كريستين سمير")</f>
        <v>كريستين سمير</v>
      </c>
      <c r="B651" s="5">
        <f>IFERROR(__xludf.DUMMYFUNCTION("""COMPUTED_VALUE"""),5.97190609069E11)</f>
        <v>597190609069</v>
      </c>
      <c r="C651" s="5" t="str">
        <f>IFERROR(__xludf.DUMMYFUNCTION("""COMPUTED_VALUE"""),"كريستين سمير")</f>
        <v>كريستين سمير</v>
      </c>
      <c r="D651" s="5">
        <f>IFERROR(__xludf.DUMMYFUNCTION("""COMPUTED_VALUE"""),2769.0)</f>
        <v>2769</v>
      </c>
      <c r="E651" s="5" t="str">
        <f>IFERROR(__xludf.DUMMYFUNCTION("""COMPUTED_VALUE"""),"EG04-EG05-EG06-EG07")</f>
        <v>EG04-EG05-EG06-EG07</v>
      </c>
      <c r="F651" s="5" t="str">
        <f>IFERROR(__xludf.DUMMYFUNCTION("""COMPUTED_VALUE"""),"kristeensamir361@gmail.com")</f>
        <v>kristeensamir361@gmail.com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tr">
        <f>IFERROR(__xludf.DUMMYFUNCTION("""COMPUTED_VALUE"""),"راندا البداية")</f>
        <v>راندا البداية</v>
      </c>
      <c r="B652" s="5">
        <f>IFERROR(__xludf.DUMMYFUNCTION("""COMPUTED_VALUE"""),4.15120941851E11)</f>
        <v>415120941851</v>
      </c>
      <c r="C652" s="5" t="str">
        <f>IFERROR(__xludf.DUMMYFUNCTION("""COMPUTED_VALUE"""),"راندا البداية")</f>
        <v>راندا البداية</v>
      </c>
      <c r="D652" s="5">
        <f>IFERROR(__xludf.DUMMYFUNCTION("""COMPUTED_VALUE"""),2699.0)</f>
        <v>2699</v>
      </c>
      <c r="E652" s="5" t="str">
        <f>IFERROR(__xludf.DUMMYFUNCTION("""COMPUTED_VALUE"""),"EG01-EG02-EG03-EG04-EG05-EG06")</f>
        <v>EG01-EG02-EG03-EG04-EG05-EG06</v>
      </c>
      <c r="F652" s="5" t="str">
        <f>IFERROR(__xludf.DUMMYFUNCTION("""COMPUTED_VALUE"""),"randaelbedaya02@gmail.com")</f>
        <v>randaelbedaya02@gmail.com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tr">
        <f>IFERROR(__xludf.DUMMYFUNCTION("""COMPUTED_VALUE"""),"دينا عادل")</f>
        <v>دينا عادل</v>
      </c>
      <c r="B653" s="5">
        <f>IFERROR(__xludf.DUMMYFUNCTION("""COMPUTED_VALUE"""),8.34132198971E11)</f>
        <v>834132198971</v>
      </c>
      <c r="C653" s="5" t="str">
        <f>IFERROR(__xludf.DUMMYFUNCTION("""COMPUTED_VALUE"""),"دينا عادل")</f>
        <v>دينا عادل</v>
      </c>
      <c r="D653" s="5">
        <f>IFERROR(__xludf.DUMMYFUNCTION("""COMPUTED_VALUE"""),2764.0)</f>
        <v>2764</v>
      </c>
      <c r="E653" s="5" t="str">
        <f>IFERROR(__xludf.DUMMYFUNCTION("""COMPUTED_VALUE"""),"EG07-EG08-EG09")</f>
        <v>EG07-EG08-EG09</v>
      </c>
      <c r="F653" s="5" t="str">
        <f>IFERROR(__xludf.DUMMYFUNCTION("""COMPUTED_VALUE"""),"mrsdinaadel@gmail.com")</f>
        <v>mrsdinaadel@gmail.com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tr">
        <f>IFERROR(__xludf.DUMMYFUNCTION("""COMPUTED_VALUE"""),"ماريام أشرف")</f>
        <v>ماريام أشرف</v>
      </c>
      <c r="B654" s="5">
        <f>IFERROR(__xludf.DUMMYFUNCTION("""COMPUTED_VALUE"""),4.50190591429E11)</f>
        <v>450190591429</v>
      </c>
      <c r="C654" s="5" t="str">
        <f>IFERROR(__xludf.DUMMYFUNCTION("""COMPUTED_VALUE"""),"ماريام أشرف")</f>
        <v>ماريام أشرف</v>
      </c>
      <c r="D654" s="5">
        <f>IFERROR(__xludf.DUMMYFUNCTION("""COMPUTED_VALUE"""),2781.0)</f>
        <v>2781</v>
      </c>
      <c r="E654" s="5" t="str">
        <f>IFERROR(__xludf.DUMMYFUNCTION("""COMPUTED_VALUE"""),"EG01-EG02-EG03-EG04")</f>
        <v>EG01-EG02-EG03-EG04</v>
      </c>
      <c r="F654" s="5" t="str">
        <f>IFERROR(__xludf.DUMMYFUNCTION("""COMPUTED_VALUE"""),"ashrfmaryam557@gmail.com")</f>
        <v>ashrfmaryam557@gmail.com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tr">
        <f>IFERROR(__xludf.DUMMYFUNCTION("""COMPUTED_VALUE"""),"ناهد الجبالي")</f>
        <v>ناهد الجبالي</v>
      </c>
      <c r="B655" s="5">
        <f>IFERROR(__xludf.DUMMYFUNCTION("""COMPUTED_VALUE"""),2.75182367207E11)</f>
        <v>275182367207</v>
      </c>
      <c r="C655" s="5" t="str">
        <f>IFERROR(__xludf.DUMMYFUNCTION("""COMPUTED_VALUE"""),"ناهد الجبالي")</f>
        <v>ناهد الجبالي</v>
      </c>
      <c r="D655" s="5">
        <f>IFERROR(__xludf.DUMMYFUNCTION("""COMPUTED_VALUE"""),2756.0)</f>
        <v>2756</v>
      </c>
      <c r="E655" s="5" t="str">
        <f>IFERROR(__xludf.DUMMYFUNCTION("""COMPUTED_VALUE"""),"EG04-EG05-EG06-EG07-EG08")</f>
        <v>EG04-EG05-EG06-EG07-EG08</v>
      </c>
      <c r="F655" s="5" t="str">
        <f>IFERROR(__xludf.DUMMYFUNCTION("""COMPUTED_VALUE"""),"nahedelgebaly12345@gmail.com")</f>
        <v>nahedelgebaly12345@gmail.com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tr">
        <f>IFERROR(__xludf.DUMMYFUNCTION("""COMPUTED_VALUE"""),"محمد سيد")</f>
        <v>محمد سيد</v>
      </c>
      <c r="B656" s="5">
        <f>IFERROR(__xludf.DUMMYFUNCTION("""COMPUTED_VALUE"""),6.25187252525E11)</f>
        <v>625187252525</v>
      </c>
      <c r="C656" s="5" t="str">
        <f>IFERROR(__xludf.DUMMYFUNCTION("""COMPUTED_VALUE"""),"محمد سيد")</f>
        <v>محمد سيد</v>
      </c>
      <c r="D656" s="5">
        <f>IFERROR(__xludf.DUMMYFUNCTION("""COMPUTED_VALUE"""),2670.0)</f>
        <v>2670</v>
      </c>
      <c r="E656" s="5" t="str">
        <f>IFERROR(__xludf.DUMMYFUNCTION("""COMPUTED_VALUE"""),"EG04-EG05-EG06-EG07-EG08-EG09-10-11")</f>
        <v>EG04-EG05-EG06-EG07-EG08-EG09-10-11</v>
      </c>
      <c r="F656" s="5" t="str">
        <f>IFERROR(__xludf.DUMMYFUNCTION("""COMPUTED_VALUE"""),"omer_mohamed2009@yahoo.com")</f>
        <v>omer_mohamed2009@yahoo.com</v>
      </c>
      <c r="G656" s="5" t="str">
        <f>IFERROR(__xludf.DUMMYFUNCTION("""COMPUTED_VALUE"""),"00201017573880")</f>
        <v>00201017573880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tr">
        <f>IFERROR(__xludf.DUMMYFUNCTION("""COMPUTED_VALUE"""),"أحمد فلوكس")</f>
        <v>أحمد فلوكس</v>
      </c>
      <c r="B657" s="5">
        <f>IFERROR(__xludf.DUMMYFUNCTION("""COMPUTED_VALUE"""),7.65142805403E11)</f>
        <v>765142805403</v>
      </c>
      <c r="C657" s="5" t="str">
        <f>IFERROR(__xludf.DUMMYFUNCTION("""COMPUTED_VALUE"""),"أحمد فلوكس")</f>
        <v>أحمد فلوكس</v>
      </c>
      <c r="D657" s="5">
        <f>IFERROR(__xludf.DUMMYFUNCTION("""COMPUTED_VALUE"""),2777.0)</f>
        <v>2777</v>
      </c>
      <c r="E657" s="5" t="str">
        <f>IFERROR(__xludf.DUMMYFUNCTION("""COMPUTED_VALUE"""),"EG07-EG08-EG09")</f>
        <v>EG07-EG08-EG09</v>
      </c>
      <c r="F657" s="5" t="str">
        <f>IFERROR(__xludf.DUMMYFUNCTION("""COMPUTED_VALUE"""),"ahmedfalokas99@gmail.com")</f>
        <v>ahmedfalokas99@gmail.com</v>
      </c>
      <c r="G657" s="5" t="str">
        <f>IFERROR(__xludf.DUMMYFUNCTION("""COMPUTED_VALUE"""),"01125530074")</f>
        <v>01125530074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tr">
        <f>IFERROR(__xludf.DUMMYFUNCTION("""COMPUTED_VALUE"""),"هدير محمد")</f>
        <v>هدير محمد</v>
      </c>
      <c r="B658" s="5">
        <f>IFERROR(__xludf.DUMMYFUNCTION("""COMPUTED_VALUE"""),5.40154691675E11)</f>
        <v>540154691675</v>
      </c>
      <c r="C658" s="5" t="str">
        <f>IFERROR(__xludf.DUMMYFUNCTION("""COMPUTED_VALUE"""),"هدير محمد")</f>
        <v>هدير محمد</v>
      </c>
      <c r="D658" s="5">
        <f>IFERROR(__xludf.DUMMYFUNCTION("""COMPUTED_VALUE"""),2788.0)</f>
        <v>2788</v>
      </c>
      <c r="E658" s="5" t="str">
        <f>IFERROR(__xludf.DUMMYFUNCTION("""COMPUTED_VALUE"""),"EG03-EG04-EG05-EG06")</f>
        <v>EG03-EG04-EG05-EG06</v>
      </c>
      <c r="F658" s="5" t="str">
        <f>IFERROR(__xludf.DUMMYFUNCTION("""COMPUTED_VALUE"""),"hadeermuhamad3@gmail.com")</f>
        <v>hadeermuhamad3@gmail.com</v>
      </c>
      <c r="G658" s="5" t="str">
        <f>IFERROR(__xludf.DUMMYFUNCTION("""COMPUTED_VALUE"""),"01270016684.    -     03 3563898")</f>
        <v>01270016684.    -     03 3563898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tr">
        <f>IFERROR(__xludf.DUMMYFUNCTION("""COMPUTED_VALUE"""),"مارتينا أسعد")</f>
        <v>مارتينا أسعد</v>
      </c>
      <c r="B659" s="5">
        <f>IFERROR(__xludf.DUMMYFUNCTION("""COMPUTED_VALUE"""),5.95148969297E11)</f>
        <v>595148969297</v>
      </c>
      <c r="C659" s="5" t="str">
        <f>IFERROR(__xludf.DUMMYFUNCTION("""COMPUTED_VALUE"""),"مارتينا أسعد")</f>
        <v>مارتينا أسعد</v>
      </c>
      <c r="D659" s="5">
        <f>IFERROR(__xludf.DUMMYFUNCTION("""COMPUTED_VALUE"""),2665.0)</f>
        <v>2665</v>
      </c>
      <c r="E659" s="5" t="str">
        <f>IFERROR(__xludf.DUMMYFUNCTION("""COMPUTED_VALUE"""),"EG04-EG05-EG06")</f>
        <v>EG04-EG05-EG06</v>
      </c>
      <c r="F659" s="5" t="str">
        <f>IFERROR(__xludf.DUMMYFUNCTION("""COMPUTED_VALUE"""),"martinaasad5@gmail.com")</f>
        <v>martinaasad5@gmail.com</v>
      </c>
      <c r="G659" s="5" t="str">
        <f>IFERROR(__xludf.DUMMYFUNCTION("""COMPUTED_VALUE"""),"+201281678241")</f>
        <v>+201281678241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tr">
        <f>IFERROR(__xludf.DUMMYFUNCTION("""COMPUTED_VALUE"""),"دعاء عماد الدين")</f>
        <v>دعاء عماد الدين</v>
      </c>
      <c r="B660" s="5">
        <f>IFERROR(__xludf.DUMMYFUNCTION("""COMPUTED_VALUE"""),4.09109172938E11)</f>
        <v>409109172938</v>
      </c>
      <c r="C660" s="5" t="str">
        <f>IFERROR(__xludf.DUMMYFUNCTION("""COMPUTED_VALUE"""),"دعاء عماد الدين")</f>
        <v>دعاء عماد الدين</v>
      </c>
      <c r="D660" s="5">
        <f>IFERROR(__xludf.DUMMYFUNCTION("""COMPUTED_VALUE"""),2765.0)</f>
        <v>2765</v>
      </c>
      <c r="E660" s="5" t="str">
        <f>IFERROR(__xludf.DUMMYFUNCTION("""COMPUTED_VALUE"""),"EG04-EG05-EG06-EG07-EG08-EG09")</f>
        <v>EG04-EG05-EG06-EG07-EG08-EG09</v>
      </c>
      <c r="F660" s="5" t="str">
        <f>IFERROR(__xludf.DUMMYFUNCTION("""COMPUTED_VALUE"""),"doaaemadeldin6@gmail.com")</f>
        <v>doaaemadeldin6@gmail.com</v>
      </c>
      <c r="G660" s="5" t="str">
        <f>IFERROR(__xludf.DUMMYFUNCTION("""COMPUTED_VALUE"""),"01099093013")</f>
        <v>01099093013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tr">
        <f>IFERROR(__xludf.DUMMYFUNCTION("""COMPUTED_VALUE"""),"إيمان جلال")</f>
        <v>إيمان جلال</v>
      </c>
      <c r="B661" s="5">
        <f>IFERROR(__xludf.DUMMYFUNCTION("""COMPUTED_VALUE"""),6.18168909236E11)</f>
        <v>618168909236</v>
      </c>
      <c r="C661" s="5" t="str">
        <f>IFERROR(__xludf.DUMMYFUNCTION("""COMPUTED_VALUE"""),"إيمان جلال")</f>
        <v>إيمان جلال</v>
      </c>
      <c r="D661" s="5">
        <f>IFERROR(__xludf.DUMMYFUNCTION("""COMPUTED_VALUE"""),2784.0)</f>
        <v>2784</v>
      </c>
      <c r="E661" s="5" t="str">
        <f>IFERROR(__xludf.DUMMYFUNCTION("""COMPUTED_VALUE"""),"EG01-EG02-EG03-EG04-EG05-EG06")</f>
        <v>EG01-EG02-EG03-EG04-EG05-EG06</v>
      </c>
      <c r="F661" s="5" t="str">
        <f>IFERROR(__xludf.DUMMYFUNCTION("""COMPUTED_VALUE"""),"galaleman21@yahoo.com")</f>
        <v>galaleman21@yahoo.com</v>
      </c>
      <c r="G661" s="5" t="str">
        <f>IFERROR(__xludf.DUMMYFUNCTION("""COMPUTED_VALUE"""),"01276133970")</f>
        <v>01276133970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tr">
        <f>IFERROR(__xludf.DUMMYFUNCTION("""COMPUTED_VALUE"""),"محمد سامي")</f>
        <v>محمد سامي</v>
      </c>
      <c r="B662" s="5">
        <f>IFERROR(__xludf.DUMMYFUNCTION("""COMPUTED_VALUE"""),6.2515623034E11)</f>
        <v>625156230340</v>
      </c>
      <c r="C662" s="5" t="str">
        <f>IFERROR(__xludf.DUMMYFUNCTION("""COMPUTED_VALUE"""),"محمد سامي")</f>
        <v>محمد سامي</v>
      </c>
      <c r="D662" s="5">
        <f>IFERROR(__xludf.DUMMYFUNCTION("""COMPUTED_VALUE"""),2620.0)</f>
        <v>2620</v>
      </c>
      <c r="E662" s="5" t="str">
        <f>IFERROR(__xludf.DUMMYFUNCTION("""COMPUTED_VALUE"""),"EG07-EG08-EG09")</f>
        <v>EG07-EG08-EG09</v>
      </c>
      <c r="F662" s="5" t="str">
        <f>IFERROR(__xludf.DUMMYFUNCTION("""COMPUTED_VALUE"""),"7kheir@gmail.com")</f>
        <v>7kheir@gmail.com</v>
      </c>
      <c r="G662" s="5" t="str">
        <f>IFERROR(__xludf.DUMMYFUNCTION("""COMPUTED_VALUE"""),"01040261145")</f>
        <v>01040261145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tr">
        <f>IFERROR(__xludf.DUMMYFUNCTION("""COMPUTED_VALUE"""),"نهلة يسري")</f>
        <v>نهلة يسري</v>
      </c>
      <c r="B663" s="5">
        <f>IFERROR(__xludf.DUMMYFUNCTION("""COMPUTED_VALUE"""),3.10146136271E11)</f>
        <v>310146136271</v>
      </c>
      <c r="C663" s="5" t="str">
        <f>IFERROR(__xludf.DUMMYFUNCTION("""COMPUTED_VALUE"""),"نهلة يسري")</f>
        <v>نهلة يسري</v>
      </c>
      <c r="D663" s="5">
        <f>IFERROR(__xludf.DUMMYFUNCTION("""COMPUTED_VALUE"""),2702.0)</f>
        <v>2702</v>
      </c>
      <c r="E663" s="5" t="str">
        <f>IFERROR(__xludf.DUMMYFUNCTION("""COMPUTED_VALUE"""),"EG01-EG02-EG03-EG04-EG05-EG06")</f>
        <v>EG01-EG02-EG03-EG04-EG05-EG06</v>
      </c>
      <c r="F663" s="5" t="str">
        <f>IFERROR(__xludf.DUMMYFUNCTION("""COMPUTED_VALUE"""),"nahlayousry6@gmail.com")</f>
        <v>nahlayousry6@gmail.com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tr">
        <f>IFERROR(__xludf.DUMMYFUNCTION("""COMPUTED_VALUE"""),"إيناس إبراهيم")</f>
        <v>إيناس إبراهيم</v>
      </c>
      <c r="B664" s="5">
        <f>IFERROR(__xludf.DUMMYFUNCTION("""COMPUTED_VALUE"""),3.08156832319E11)</f>
        <v>308156832319</v>
      </c>
      <c r="C664" s="5" t="str">
        <f>IFERROR(__xludf.DUMMYFUNCTION("""COMPUTED_VALUE"""),"إيناس إبراهيم")</f>
        <v>إيناس إبراهيم</v>
      </c>
      <c r="D664" s="5">
        <f>IFERROR(__xludf.DUMMYFUNCTION("""COMPUTED_VALUE"""),2792.0)</f>
        <v>2792</v>
      </c>
      <c r="E664" s="5" t="str">
        <f>IFERROR(__xludf.DUMMYFUNCTION("""COMPUTED_VALUE"""),"EG04-EG05-EG06")</f>
        <v>EG04-EG05-EG06</v>
      </c>
      <c r="F664" s="5" t="str">
        <f>IFERROR(__xludf.DUMMYFUNCTION("""COMPUTED_VALUE"""),"inas.ibrahim.habib@gmail.com")</f>
        <v>inas.ibrahim.habib@gmail.com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tr">
        <f>IFERROR(__xludf.DUMMYFUNCTION("""COMPUTED_VALUE"""),"نهى لطفي")</f>
        <v>نهى لطفي</v>
      </c>
      <c r="B665" s="5">
        <f>IFERROR(__xludf.DUMMYFUNCTION("""COMPUTED_VALUE"""),7.29171317072E11)</f>
        <v>729171317072</v>
      </c>
      <c r="C665" s="5" t="str">
        <f>IFERROR(__xludf.DUMMYFUNCTION("""COMPUTED_VALUE"""),"نهى لطفي")</f>
        <v>نهى لطفي</v>
      </c>
      <c r="D665" s="5">
        <f>IFERROR(__xludf.DUMMYFUNCTION("""COMPUTED_VALUE"""),2771.0)</f>
        <v>2771</v>
      </c>
      <c r="E665" s="5" t="str">
        <f>IFERROR(__xludf.DUMMYFUNCTION("""COMPUTED_VALUE"""),"EG01-EG02-EG03-EG04-EG05-EG06")</f>
        <v>EG01-EG02-EG03-EG04-EG05-EG06</v>
      </c>
      <c r="F665" s="5" t="str">
        <f>IFERROR(__xludf.DUMMYFUNCTION("""COMPUTED_VALUE"""),"nohalotfy33@gmail.com")</f>
        <v>nohalotfy33@gmail.com</v>
      </c>
      <c r="G665" s="5" t="str">
        <f>IFERROR(__xludf.DUMMYFUNCTION("""COMPUTED_VALUE"""),"01271850094")</f>
        <v>01271850094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tr">
        <f>IFERROR(__xludf.DUMMYFUNCTION("""COMPUTED_VALUE"""),"رانيا فهمي")</f>
        <v>رانيا فهمي</v>
      </c>
      <c r="B666" s="5">
        <f>IFERROR(__xludf.DUMMYFUNCTION("""COMPUTED_VALUE"""),7.20159631723E11)</f>
        <v>720159631723</v>
      </c>
      <c r="C666" s="5" t="str">
        <f>IFERROR(__xludf.DUMMYFUNCTION("""COMPUTED_VALUE"""),"رانيا فهمي")</f>
        <v>رانيا فهمي</v>
      </c>
      <c r="D666" s="5">
        <f>IFERROR(__xludf.DUMMYFUNCTION("""COMPUTED_VALUE"""),2780.0)</f>
        <v>2780</v>
      </c>
      <c r="E666" s="5" t="str">
        <f>IFERROR(__xludf.DUMMYFUNCTION("""COMPUTED_VALUE"""),"EG04-EG05-EG06")</f>
        <v>EG04-EG05-EG06</v>
      </c>
      <c r="F666" s="5" t="str">
        <f>IFERROR(__xludf.DUMMYFUNCTION("""COMPUTED_VALUE"""),"rania.fahmy222@gmail.com")</f>
        <v>rania.fahmy222@gmail.com</v>
      </c>
      <c r="G666" s="5" t="str">
        <f>IFERROR(__xludf.DUMMYFUNCTION("""COMPUTED_VALUE"""),"01101560506")</f>
        <v>01101560506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tr">
        <f>IFERROR(__xludf.DUMMYFUNCTION("""COMPUTED_VALUE"""),"يوسف محمود")</f>
        <v>يوسف محمود</v>
      </c>
      <c r="B667" s="5">
        <f>IFERROR(__xludf.DUMMYFUNCTION("""COMPUTED_VALUE"""),3.5613216753E11)</f>
        <v>356132167530</v>
      </c>
      <c r="C667" s="5" t="str">
        <f>IFERROR(__xludf.DUMMYFUNCTION("""COMPUTED_VALUE"""),"يوسف محمود")</f>
        <v>يوسف محمود</v>
      </c>
      <c r="D667" s="5">
        <f>IFERROR(__xludf.DUMMYFUNCTION("""COMPUTED_VALUE"""),2767.0)</f>
        <v>2767</v>
      </c>
      <c r="E667" s="5" t="str">
        <f>IFERROR(__xludf.DUMMYFUNCTION("""COMPUTED_VALUE"""),"EG04-EG05-EG06-EG07-EG08-EG09")</f>
        <v>EG04-EG05-EG06-EG07-EG08-EG09</v>
      </c>
      <c r="F667" s="5" t="str">
        <f>IFERROR(__xludf.DUMMYFUNCTION("""COMPUTED_VALUE"""),"ymy201010@gmail.com")</f>
        <v>ymy201010@gmail.com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tr">
        <f>IFERROR(__xludf.DUMMYFUNCTION("""COMPUTED_VALUE"""),"أيمن السعيد")</f>
        <v>أيمن السعيد</v>
      </c>
      <c r="B668" s="5">
        <f>IFERROR(__xludf.DUMMYFUNCTION("""COMPUTED_VALUE"""),7.87132953842E11)</f>
        <v>787132953842</v>
      </c>
      <c r="C668" s="5" t="str">
        <f>IFERROR(__xludf.DUMMYFUNCTION("""COMPUTED_VALUE"""),"أيمن السعيد")</f>
        <v>أيمن السعيد</v>
      </c>
      <c r="D668" s="5">
        <f>IFERROR(__xludf.DUMMYFUNCTION("""COMPUTED_VALUE"""),2631.0)</f>
        <v>2631</v>
      </c>
      <c r="E668" s="5" t="str">
        <f>IFERROR(__xludf.DUMMYFUNCTION("""COMPUTED_VALUE"""),"EG04-EG05-EG06-EG07-EG08")</f>
        <v>EG04-EG05-EG06-EG07-EG08</v>
      </c>
      <c r="F668" s="5" t="str">
        <f>IFERROR(__xludf.DUMMYFUNCTION("""COMPUTED_VALUE"""),"aymanbesso81@gmail.com")</f>
        <v>aymanbesso81@gmail.com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tr">
        <f>IFERROR(__xludf.DUMMYFUNCTION("""COMPUTED_VALUE"""),"نهلة اليماني")</f>
        <v>نهلة اليماني</v>
      </c>
      <c r="B669" s="5">
        <f>IFERROR(__xludf.DUMMYFUNCTION("""COMPUTED_VALUE"""),1.86143210451E11)</f>
        <v>186143210451</v>
      </c>
      <c r="C669" s="5" t="str">
        <f>IFERROR(__xludf.DUMMYFUNCTION("""COMPUTED_VALUE"""),"نهلة اليماني")</f>
        <v>نهلة اليماني</v>
      </c>
      <c r="D669" s="5">
        <f>IFERROR(__xludf.DUMMYFUNCTION("""COMPUTED_VALUE"""),2632.0)</f>
        <v>2632</v>
      </c>
      <c r="E669" s="5" t="str">
        <f>IFERROR(__xludf.DUMMYFUNCTION("""COMPUTED_VALUE"""),"EG04-EG05-EG06-EG07")</f>
        <v>EG04-EG05-EG06-EG07</v>
      </c>
      <c r="F669" s="5" t="str">
        <f>IFERROR(__xludf.DUMMYFUNCTION("""COMPUTED_VALUE"""),"nahla.y2013@gmail.com")</f>
        <v>nahla.y2013@gmail.com</v>
      </c>
      <c r="G669" s="5" t="str">
        <f>IFERROR(__xludf.DUMMYFUNCTION("""COMPUTED_VALUE"""),"01015128248")</f>
        <v>01015128248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tr">
        <f>IFERROR(__xludf.DUMMYFUNCTION("""COMPUTED_VALUE"""),"مريم عبد الرحمن")</f>
        <v>مريم عبد الرحمن</v>
      </c>
      <c r="B670" s="5">
        <f>IFERROR(__xludf.DUMMYFUNCTION("""COMPUTED_VALUE"""),4.23171082406E11)</f>
        <v>423171082406</v>
      </c>
      <c r="C670" s="5" t="str">
        <f>IFERROR(__xludf.DUMMYFUNCTION("""COMPUTED_VALUE"""),"مريم عبد الرحمن")</f>
        <v>مريم عبد الرحمن</v>
      </c>
      <c r="D670" s="5">
        <f>IFERROR(__xludf.DUMMYFUNCTION("""COMPUTED_VALUE"""),2659.0)</f>
        <v>2659</v>
      </c>
      <c r="E670" s="5" t="str">
        <f>IFERROR(__xludf.DUMMYFUNCTION("""COMPUTED_VALUE"""),"EG01-EG02-EG03-EG04-EG05-EG06")</f>
        <v>EG01-EG02-EG03-EG04-EG05-EG06</v>
      </c>
      <c r="F670" s="5" t="str">
        <f>IFERROR(__xludf.DUMMYFUNCTION("""COMPUTED_VALUE"""),"mariamdarbain06@gmail.com")</f>
        <v>mariamdarbain06@gmail.com</v>
      </c>
      <c r="G670" s="5" t="str">
        <f>IFERROR(__xludf.DUMMYFUNCTION("""COMPUTED_VALUE"""),"01095138842")</f>
        <v>01095138842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tr">
        <f>IFERROR(__xludf.DUMMYFUNCTION("""COMPUTED_VALUE"""),"شريف زيتون")</f>
        <v>شريف زيتون</v>
      </c>
      <c r="B671" s="5">
        <f>IFERROR(__xludf.DUMMYFUNCTION("""COMPUTED_VALUE"""),3.96138480561E11)</f>
        <v>396138480561</v>
      </c>
      <c r="C671" s="5" t="str">
        <f>IFERROR(__xludf.DUMMYFUNCTION("""COMPUTED_VALUE"""),"شريف زيتون")</f>
        <v>شريف زيتون</v>
      </c>
      <c r="D671" s="5">
        <f>IFERROR(__xludf.DUMMYFUNCTION("""COMPUTED_VALUE"""),2047.0)</f>
        <v>2047</v>
      </c>
      <c r="E671" s="5" t="str">
        <f>IFERROR(__xludf.DUMMYFUNCTION("""COMPUTED_VALUE"""),"EG07-EG08-EG09")</f>
        <v>EG07-EG08-EG09</v>
      </c>
      <c r="F671" s="5" t="str">
        <f>IFERROR(__xludf.DUMMYFUNCTION("""COMPUTED_VALUE"""),"sherifzaiton218@gmail.com")</f>
        <v>sherifzaiton218@gmail.com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tr">
        <f>IFERROR(__xludf.DUMMYFUNCTION("""COMPUTED_VALUE"""),"محمد عبد الغني")</f>
        <v>محمد عبد الغني</v>
      </c>
      <c r="B672" s="5">
        <f>IFERROR(__xludf.DUMMYFUNCTION("""COMPUTED_VALUE"""),8.02176250947E11)</f>
        <v>802176250947</v>
      </c>
      <c r="C672" s="5" t="str">
        <f>IFERROR(__xludf.DUMMYFUNCTION("""COMPUTED_VALUE"""),"محمد عبد الغني")</f>
        <v>محمد عبد الغني</v>
      </c>
      <c r="D672" s="5">
        <f>IFERROR(__xludf.DUMMYFUNCTION("""COMPUTED_VALUE"""),2636.0)</f>
        <v>2636</v>
      </c>
      <c r="E672" s="5" t="str">
        <f>IFERROR(__xludf.DUMMYFUNCTION("""COMPUTED_VALUE"""),"EG07-EG08-EG09")</f>
        <v>EG07-EG08-EG09</v>
      </c>
      <c r="F672" s="5" t="str">
        <f>IFERROR(__xludf.DUMMYFUNCTION("""COMPUTED_VALUE"""),"mabdelghany503@gmail.com")</f>
        <v>mabdelghany503@gmail.com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tr">
        <f>IFERROR(__xludf.DUMMYFUNCTION("""COMPUTED_VALUE"""),"منة قطب")</f>
        <v>منة قطب</v>
      </c>
      <c r="B673" s="5">
        <f>IFERROR(__xludf.DUMMYFUNCTION("""COMPUTED_VALUE"""),7.29109646242E11)</f>
        <v>729109646242</v>
      </c>
      <c r="C673" s="5" t="str">
        <f>IFERROR(__xludf.DUMMYFUNCTION("""COMPUTED_VALUE"""),"منة قطب")</f>
        <v>منة قطب</v>
      </c>
      <c r="D673" s="5">
        <f>IFERROR(__xludf.DUMMYFUNCTION("""COMPUTED_VALUE"""),2697.0)</f>
        <v>2697</v>
      </c>
      <c r="E673" s="5" t="str">
        <f>IFERROR(__xludf.DUMMYFUNCTION("""COMPUTED_VALUE"""),"EG07-EG08-EG09")</f>
        <v>EG07-EG08-EG09</v>
      </c>
      <c r="F673" s="5" t="str">
        <f>IFERROR(__xludf.DUMMYFUNCTION("""COMPUTED_VALUE"""),"mennamohamed89166@gmail.com")</f>
        <v>mennamohamed89166@gmail.com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tr">
        <f>IFERROR(__xludf.DUMMYFUNCTION("""COMPUTED_VALUE"""),"عبير فرغلي")</f>
        <v>عبير فرغلي</v>
      </c>
      <c r="B674" s="5">
        <f>IFERROR(__xludf.DUMMYFUNCTION("""COMPUTED_VALUE"""),6.43165236429E11)</f>
        <v>643165236429</v>
      </c>
      <c r="C674" s="5" t="str">
        <f>IFERROR(__xludf.DUMMYFUNCTION("""COMPUTED_VALUE"""),"عبير فرغلي")</f>
        <v>عبير فرغلي</v>
      </c>
      <c r="D674" s="5">
        <f>IFERROR(__xludf.DUMMYFUNCTION("""COMPUTED_VALUE"""),2655.0)</f>
        <v>2655</v>
      </c>
      <c r="E674" s="5" t="str">
        <f>IFERROR(__xludf.DUMMYFUNCTION("""COMPUTED_VALUE"""),"EG07-EG08-EG09")</f>
        <v>EG07-EG08-EG09</v>
      </c>
      <c r="F674" s="5" t="str">
        <f>IFERROR(__xludf.DUMMYFUNCTION("""COMPUTED_VALUE"""),"abeervet81@gmail.com")</f>
        <v>abeervet81@gmail.com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tr">
        <f>IFERROR(__xludf.DUMMYFUNCTION("""COMPUTED_VALUE"""),"رانيا عطية")</f>
        <v>رانيا عطية</v>
      </c>
      <c r="B675" s="5">
        <f>IFERROR(__xludf.DUMMYFUNCTION("""COMPUTED_VALUE"""),8.28156185164E11)</f>
        <v>828156185164</v>
      </c>
      <c r="C675" s="5" t="str">
        <f>IFERROR(__xludf.DUMMYFUNCTION("""COMPUTED_VALUE"""),"رانيا عطية")</f>
        <v>رانيا عطية</v>
      </c>
      <c r="D675" s="5">
        <f>IFERROR(__xludf.DUMMYFUNCTION("""COMPUTED_VALUE"""),2646.0)</f>
        <v>2646</v>
      </c>
      <c r="E675" s="5" t="str">
        <f>IFERROR(__xludf.DUMMYFUNCTION("""COMPUTED_VALUE"""),"EG04-EG05-EG06")</f>
        <v>EG04-EG05-EG06</v>
      </c>
      <c r="F675" s="5" t="str">
        <f>IFERROR(__xludf.DUMMYFUNCTION("""COMPUTED_VALUE"""),"poissons29.2@gmail.com")</f>
        <v>poissons29.2@gmail.com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tr">
        <f>IFERROR(__xludf.DUMMYFUNCTION("""COMPUTED_VALUE"""),"صفا عادل")</f>
        <v>صفا عادل</v>
      </c>
      <c r="B676" s="5">
        <f>IFERROR(__xludf.DUMMYFUNCTION("""COMPUTED_VALUE"""),8.98178084762E11)</f>
        <v>898178084762</v>
      </c>
      <c r="C676" s="5" t="str">
        <f>IFERROR(__xludf.DUMMYFUNCTION("""COMPUTED_VALUE"""),"صفا عادل")</f>
        <v>صفا عادل</v>
      </c>
      <c r="D676" s="5">
        <f>IFERROR(__xludf.DUMMYFUNCTION("""COMPUTED_VALUE"""),2783.0)</f>
        <v>2783</v>
      </c>
      <c r="E676" s="5" t="str">
        <f>IFERROR(__xludf.DUMMYFUNCTION("""COMPUTED_VALUE"""),"EG01-EG02-EG03-EG04-EG05-EG06")</f>
        <v>EG01-EG02-EG03-EG04-EG05-EG06</v>
      </c>
      <c r="F676" s="5" t="str">
        <f>IFERROR(__xludf.DUMMYFUNCTION("""COMPUTED_VALUE"""),"safaadel499@gmail.com")</f>
        <v>safaadel499@gmail.com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tr">
        <f>IFERROR(__xludf.DUMMYFUNCTION("""COMPUTED_VALUE"""),"هبة الله هشام")</f>
        <v>هبة الله هشام</v>
      </c>
      <c r="B677" s="5">
        <f>IFERROR(__xludf.DUMMYFUNCTION("""COMPUTED_VALUE"""),3.86167394718E11)</f>
        <v>386167394718</v>
      </c>
      <c r="C677" s="5" t="str">
        <f>IFERROR(__xludf.DUMMYFUNCTION("""COMPUTED_VALUE"""),"هبة الله هشام")</f>
        <v>هبة الله هشام</v>
      </c>
      <c r="D677" s="5">
        <f>IFERROR(__xludf.DUMMYFUNCTION("""COMPUTED_VALUE"""),2763.0)</f>
        <v>2763</v>
      </c>
      <c r="E677" s="5" t="str">
        <f>IFERROR(__xludf.DUMMYFUNCTION("""COMPUTED_VALUE"""),"EG03-EG04-EG05-EG06")</f>
        <v>EG03-EG04-EG05-EG06</v>
      </c>
      <c r="F677" s="5" t="str">
        <f>IFERROR(__xludf.DUMMYFUNCTION("""COMPUTED_VALUE"""),"hebatullahhesham47@gmail.com")</f>
        <v>hebatullahhesham47@gmail.com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tr">
        <f>IFERROR(__xludf.DUMMYFUNCTION("""COMPUTED_VALUE"""),"محمد مسعد")</f>
        <v>محمد مسعد</v>
      </c>
      <c r="B678" s="5">
        <f>IFERROR(__xludf.DUMMYFUNCTION("""COMPUTED_VALUE"""),2.57141843453E11)</f>
        <v>257141843453</v>
      </c>
      <c r="C678" s="5" t="str">
        <f>IFERROR(__xludf.DUMMYFUNCTION("""COMPUTED_VALUE"""),"محمد مسعد")</f>
        <v>محمد مسعد</v>
      </c>
      <c r="D678" s="5">
        <f>IFERROR(__xludf.DUMMYFUNCTION("""COMPUTED_VALUE"""),2782.0)</f>
        <v>2782</v>
      </c>
      <c r="E678" s="5" t="str">
        <f>IFERROR(__xludf.DUMMYFUNCTION("""COMPUTED_VALUE"""),"EG04-EG05-EG06-EG07-EG08-EG09")</f>
        <v>EG04-EG05-EG06-EG07-EG08-EG09</v>
      </c>
      <c r="F678" s="5" t="str">
        <f>IFERROR(__xludf.DUMMYFUNCTION("""COMPUTED_VALUE"""),"me3350047@gmail.com")</f>
        <v>me3350047@gmail.com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tr">
        <f>IFERROR(__xludf.DUMMYFUNCTION("""COMPUTED_VALUE"""),"مارتينا مراد")</f>
        <v>مارتينا مراد</v>
      </c>
      <c r="B679" s="5">
        <f>IFERROR(__xludf.DUMMYFUNCTION("""COMPUTED_VALUE"""),8.37150415794E11)</f>
        <v>837150415794</v>
      </c>
      <c r="C679" s="5" t="str">
        <f>IFERROR(__xludf.DUMMYFUNCTION("""COMPUTED_VALUE"""),"مارتينا مراد")</f>
        <v>مارتينا مراد</v>
      </c>
      <c r="D679" s="5">
        <f>IFERROR(__xludf.DUMMYFUNCTION("""COMPUTED_VALUE"""),2776.0)</f>
        <v>2776</v>
      </c>
      <c r="E679" s="5" t="str">
        <f>IFERROR(__xludf.DUMMYFUNCTION("""COMPUTED_VALUE"""),"EG01-EG02-EG03-EG04-EG05-EG06")</f>
        <v>EG01-EG02-EG03-EG04-EG05-EG06</v>
      </c>
      <c r="F679" s="5" t="str">
        <f>IFERROR(__xludf.DUMMYFUNCTION("""COMPUTED_VALUE"""),"gorgy7martina@gmail.com")</f>
        <v>gorgy7martina@gmail.com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tr">
        <f>IFERROR(__xludf.DUMMYFUNCTION("""COMPUTED_VALUE"""),"نجوى بدوي")</f>
        <v>نجوى بدوي</v>
      </c>
      <c r="B680" s="5">
        <f>IFERROR(__xludf.DUMMYFUNCTION("""COMPUTED_VALUE"""),1.93161234392E11)</f>
        <v>193161234392</v>
      </c>
      <c r="C680" s="5" t="str">
        <f>IFERROR(__xludf.DUMMYFUNCTION("""COMPUTED_VALUE"""),"نجوى بدوي")</f>
        <v>نجوى بدوي</v>
      </c>
      <c r="D680" s="5">
        <f>IFERROR(__xludf.DUMMYFUNCTION("""COMPUTED_VALUE"""),2779.0)</f>
        <v>2779</v>
      </c>
      <c r="E680" s="5" t="str">
        <f>IFERROR(__xludf.DUMMYFUNCTION("""COMPUTED_VALUE"""),"EG01-EG02-EG03")</f>
        <v>EG01-EG02-EG03</v>
      </c>
      <c r="F680" s="5" t="str">
        <f>IFERROR(__xludf.DUMMYFUNCTION("""COMPUTED_VALUE"""),"nosamohamed000@gmail.com")</f>
        <v>nosamohamed000@gmail.com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tr">
        <f>IFERROR(__xludf.DUMMYFUNCTION("""COMPUTED_VALUE"""),"محسن قنديل")</f>
        <v>محسن قنديل</v>
      </c>
      <c r="B681" s="5">
        <f>IFERROR(__xludf.DUMMYFUNCTION("""COMPUTED_VALUE"""),8.78128791902E11)</f>
        <v>878128791902</v>
      </c>
      <c r="C681" s="5" t="str">
        <f>IFERROR(__xludf.DUMMYFUNCTION("""COMPUTED_VALUE"""),"محسن قنديل")</f>
        <v>محسن قنديل</v>
      </c>
      <c r="D681" s="5">
        <f>IFERROR(__xludf.DUMMYFUNCTION("""COMPUTED_VALUE"""),2638.0)</f>
        <v>2638</v>
      </c>
      <c r="E681" s="5" t="str">
        <f>IFERROR(__xludf.DUMMYFUNCTION("""COMPUTED_VALUE"""),"EG04-EG05-EG06-EG07-EG08-EG09")</f>
        <v>EG04-EG05-EG06-EG07-EG08-EG09</v>
      </c>
      <c r="F681" s="5" t="str">
        <f>IFERROR(__xludf.DUMMYFUNCTION("""COMPUTED_VALUE"""),"mohsenqandel03@gmail.com")</f>
        <v>mohsenqandel03@gmail.com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tr">
        <f>IFERROR(__xludf.DUMMYFUNCTION("""COMPUTED_VALUE"""),"أحمد رجب")</f>
        <v>أحمد رجب</v>
      </c>
      <c r="B682" s="5">
        <f>IFERROR(__xludf.DUMMYFUNCTION("""COMPUTED_VALUE"""),2.40145743263E11)</f>
        <v>240145743263</v>
      </c>
      <c r="C682" s="5" t="str">
        <f>IFERROR(__xludf.DUMMYFUNCTION("""COMPUTED_VALUE"""),"أحمد رجب")</f>
        <v>أحمد رجب</v>
      </c>
      <c r="D682" s="5">
        <f>IFERROR(__xludf.DUMMYFUNCTION("""COMPUTED_VALUE"""),2417.0)</f>
        <v>2417</v>
      </c>
      <c r="E682" s="5" t="str">
        <f>IFERROR(__xludf.DUMMYFUNCTION("""COMPUTED_VALUE"""),"EG09-EG10-EG11-EG12")</f>
        <v>EG09-EG10-EG11-EG12</v>
      </c>
      <c r="F682" s="5" t="str">
        <f>IFERROR(__xludf.DUMMYFUNCTION("""COMPUTED_VALUE"""),"mrahmedragab057@gmail.com")</f>
        <v>mrahmedragab057@gmail.com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tr">
        <f>IFERROR(__xludf.DUMMYFUNCTION("""COMPUTED_VALUE"""),"نور الهدى عبد الرحمن")</f>
        <v>نور الهدى عبد الرحمن</v>
      </c>
      <c r="B683" s="5">
        <f>IFERROR(__xludf.DUMMYFUNCTION("""COMPUTED_VALUE"""),5.86129524617E11)</f>
        <v>586129524617</v>
      </c>
      <c r="C683" s="5" t="str">
        <f>IFERROR(__xludf.DUMMYFUNCTION("""COMPUTED_VALUE"""),"نور الهدى عبد الرحمن")</f>
        <v>نور الهدى عبد الرحمن</v>
      </c>
      <c r="D683" s="5">
        <f>IFERROR(__xludf.DUMMYFUNCTION("""COMPUTED_VALUE"""),2796.0)</f>
        <v>2796</v>
      </c>
      <c r="E683" s="5" t="str">
        <f>IFERROR(__xludf.DUMMYFUNCTION("""COMPUTED_VALUE"""),"EG07-EG08-EG09")</f>
        <v>EG07-EG08-EG09</v>
      </c>
      <c r="F683" s="5" t="str">
        <f>IFERROR(__xludf.DUMMYFUNCTION("""COMPUTED_VALUE"""),"nourabdelrahman335@gmail.com")</f>
        <v>nourabdelrahman335@gmail.com</v>
      </c>
      <c r="G683" s="5" t="str">
        <f>IFERROR(__xludf.DUMMYFUNCTION("""COMPUTED_VALUE"""),"01140943384")</f>
        <v>01140943384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tr">
        <f>IFERROR(__xludf.DUMMYFUNCTION("""COMPUTED_VALUE"""),"آية بيومي")</f>
        <v>آية بيومي</v>
      </c>
      <c r="B684" s="5">
        <f>IFERROR(__xludf.DUMMYFUNCTION("""COMPUTED_VALUE"""),6.9518790714E11)</f>
        <v>695187907140</v>
      </c>
      <c r="C684" s="5" t="str">
        <f>IFERROR(__xludf.DUMMYFUNCTION("""COMPUTED_VALUE"""),"آية بيومي")</f>
        <v>آية بيومي</v>
      </c>
      <c r="D684" s="5">
        <f>IFERROR(__xludf.DUMMYFUNCTION("""COMPUTED_VALUE"""),2795.0)</f>
        <v>2795</v>
      </c>
      <c r="E684" s="5" t="str">
        <f>IFERROR(__xludf.DUMMYFUNCTION("""COMPUTED_VALUE"""),"EG04-EG05-EG06")</f>
        <v>EG04-EG05-EG06</v>
      </c>
      <c r="F684" s="5" t="str">
        <f>IFERROR(__xludf.DUMMYFUNCTION("""COMPUTED_VALUE"""),"msayabayoumy@gmail.com")</f>
        <v>msayabayoumy@gmail.com</v>
      </c>
      <c r="G684" s="5" t="str">
        <f>IFERROR(__xludf.DUMMYFUNCTION("""COMPUTED_VALUE"""),"01143323764")</f>
        <v>01143323764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tr">
        <f>IFERROR(__xludf.DUMMYFUNCTION("""COMPUTED_VALUE"""),"نصرة حسين")</f>
        <v>نصرة حسين</v>
      </c>
      <c r="B685" s="5">
        <f>IFERROR(__xludf.DUMMYFUNCTION("""COMPUTED_VALUE"""),7.23106572403E11)</f>
        <v>723106572403</v>
      </c>
      <c r="C685" s="5" t="str">
        <f>IFERROR(__xludf.DUMMYFUNCTION("""COMPUTED_VALUE"""),"نصرة حسين")</f>
        <v>نصرة حسين</v>
      </c>
      <c r="D685" s="5">
        <f>IFERROR(__xludf.DUMMYFUNCTION("""COMPUTED_VALUE"""),2752.0)</f>
        <v>2752</v>
      </c>
      <c r="E685" s="5" t="str">
        <f>IFERROR(__xludf.DUMMYFUNCTION("""COMPUTED_VALUE"""),"EG04-EG05-EG06")</f>
        <v>EG04-EG05-EG06</v>
      </c>
      <c r="F685" s="5" t="str">
        <f>IFERROR(__xludf.DUMMYFUNCTION("""COMPUTED_VALUE"""),"nasrahussein422@gmail.com")</f>
        <v>nasrahussein422@gmail.com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tr">
        <f>IFERROR(__xludf.DUMMYFUNCTION("""COMPUTED_VALUE"""),"أميرة بدير")</f>
        <v>أميرة بدير</v>
      </c>
      <c r="B686" s="5">
        <f>IFERROR(__xludf.DUMMYFUNCTION("""COMPUTED_VALUE"""),6.38145149439E11)</f>
        <v>638145149439</v>
      </c>
      <c r="C686" s="5" t="str">
        <f>IFERROR(__xludf.DUMMYFUNCTION("""COMPUTED_VALUE"""),"أميرة بدير")</f>
        <v>أميرة بدير</v>
      </c>
      <c r="D686" s="5">
        <f>IFERROR(__xludf.DUMMYFUNCTION("""COMPUTED_VALUE"""),2668.0)</f>
        <v>2668</v>
      </c>
      <c r="E686" s="5" t="str">
        <f>IFERROR(__xludf.DUMMYFUNCTION("""COMPUTED_VALUE"""),"EG04-EG05-EG06")</f>
        <v>EG04-EG05-EG06</v>
      </c>
      <c r="F686" s="5" t="str">
        <f>IFERROR(__xludf.DUMMYFUNCTION("""COMPUTED_VALUE"""),"amiratutmask@gmail.com")</f>
        <v>amiratutmask@gmail.com</v>
      </c>
      <c r="G686" s="5" t="str">
        <f>IFERROR(__xludf.DUMMYFUNCTION("""COMPUTED_VALUE"""),"01006331821")</f>
        <v>01006331821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tr">
        <f>IFERROR(__xludf.DUMMYFUNCTION("""COMPUTED_VALUE"""),"محمد عبد الله")</f>
        <v>محمد عبد الله</v>
      </c>
      <c r="B687" s="5">
        <f>IFERROR(__xludf.DUMMYFUNCTION("""COMPUTED_VALUE"""),2.86134930682E11)</f>
        <v>286134930682</v>
      </c>
      <c r="C687" s="5" t="str">
        <f>IFERROR(__xludf.DUMMYFUNCTION("""COMPUTED_VALUE"""),"محمد عبد الله")</f>
        <v>محمد عبد الله</v>
      </c>
      <c r="D687" s="5">
        <f>IFERROR(__xludf.DUMMYFUNCTION("""COMPUTED_VALUE"""),2637.0)</f>
        <v>2637</v>
      </c>
      <c r="E687" s="5" t="str">
        <f>IFERROR(__xludf.DUMMYFUNCTION("""COMPUTED_VALUE"""),"EG04-EG05-EG06-EG07-EG08-EG09-EG10-EG11-EG12")</f>
        <v>EG04-EG05-EG06-EG07-EG08-EG09-EG10-EG11-EG12</v>
      </c>
      <c r="F687" s="5" t="str">
        <f>IFERROR(__xludf.DUMMYFUNCTION("""COMPUTED_VALUE"""),"princemido@hotmail.com")</f>
        <v>princemido@hotmail.com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tr">
        <f>IFERROR(__xludf.DUMMYFUNCTION("""COMPUTED_VALUE"""),"رويدا فكري")</f>
        <v>رويدا فكري</v>
      </c>
      <c r="B688" s="5">
        <f>IFERROR(__xludf.DUMMYFUNCTION("""COMPUTED_VALUE"""),7.15147613634E11)</f>
        <v>715147613634</v>
      </c>
      <c r="C688" s="5" t="str">
        <f>IFERROR(__xludf.DUMMYFUNCTION("""COMPUTED_VALUE"""),"رويدا فكري")</f>
        <v>رويدا فكري</v>
      </c>
      <c r="D688" s="5">
        <f>IFERROR(__xludf.DUMMYFUNCTION("""COMPUTED_VALUE"""),2721.0)</f>
        <v>2721</v>
      </c>
      <c r="E688" s="5" t="str">
        <f>IFERROR(__xludf.DUMMYFUNCTION("""COMPUTED_VALUE"""),"EG07-EG08-EG09")</f>
        <v>EG07-EG08-EG09</v>
      </c>
      <c r="F688" s="5" t="str">
        <f>IFERROR(__xludf.DUMMYFUNCTION("""COMPUTED_VALUE"""),"rowida.fekri.3325@gmail.com")</f>
        <v>rowida.fekri.3325@gmail.com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tr">
        <f>IFERROR(__xludf.DUMMYFUNCTION("""COMPUTED_VALUE"""),"هاني حواس")</f>
        <v>هاني حواس</v>
      </c>
      <c r="B689" s="5">
        <f>IFERROR(__xludf.DUMMYFUNCTION("""COMPUTED_VALUE"""),6.38195271502E11)</f>
        <v>638195271502</v>
      </c>
      <c r="C689" s="5" t="str">
        <f>IFERROR(__xludf.DUMMYFUNCTION("""COMPUTED_VALUE"""),"هاني حواس")</f>
        <v>هاني حواس</v>
      </c>
      <c r="D689" s="5">
        <f>IFERROR(__xludf.DUMMYFUNCTION("""COMPUTED_VALUE"""),2559.0)</f>
        <v>2559</v>
      </c>
      <c r="E689" s="5" t="str">
        <f>IFERROR(__xludf.DUMMYFUNCTION("""COMPUTED_VALUE"""),"EG07-EG08-EG09")</f>
        <v>EG07-EG08-EG09</v>
      </c>
      <c r="F689" s="5" t="str">
        <f>IFERROR(__xludf.DUMMYFUNCTION("""COMPUTED_VALUE"""),"hany.hawas175@gmail.com")</f>
        <v>hany.hawas175@gmail.com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tr">
        <f>IFERROR(__xludf.DUMMYFUNCTION("""COMPUTED_VALUE"""),"غدي معاذ")</f>
        <v>غدي معاذ</v>
      </c>
      <c r="B690" s="5">
        <f>IFERROR(__xludf.DUMMYFUNCTION("""COMPUTED_VALUE"""),2.74128962341E11)</f>
        <v>274128962341</v>
      </c>
      <c r="C690" s="5" t="str">
        <f>IFERROR(__xludf.DUMMYFUNCTION("""COMPUTED_VALUE"""),"غدي معاذ")</f>
        <v>غدي معاذ</v>
      </c>
      <c r="D690" s="5">
        <f>IFERROR(__xludf.DUMMYFUNCTION("""COMPUTED_VALUE"""),2633.0)</f>
        <v>2633</v>
      </c>
      <c r="E690" s="5" t="str">
        <f>IFERROR(__xludf.DUMMYFUNCTION("""COMPUTED_VALUE"""),"EG04-EG05-EG06-EG07-EG08-EG09")</f>
        <v>EG04-EG05-EG06-EG07-EG08-EG09</v>
      </c>
      <c r="F690" s="5" t="str">
        <f>IFERROR(__xludf.DUMMYFUNCTION("""COMPUTED_VALUE"""),"moaazghady@gmail.com")</f>
        <v>moaazghady@gmail.com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tr">
        <f>IFERROR(__xludf.DUMMYFUNCTION("""COMPUTED_VALUE"""),"جهاد مصطفى")</f>
        <v>جهاد مصطفى</v>
      </c>
      <c r="B691" s="5">
        <f>IFERROR(__xludf.DUMMYFUNCTION("""COMPUTED_VALUE"""),6.86140960605E11)</f>
        <v>686140960605</v>
      </c>
      <c r="C691" s="5" t="str">
        <f>IFERROR(__xludf.DUMMYFUNCTION("""COMPUTED_VALUE"""),"جهاد مصطفى")</f>
        <v>جهاد مصطفى</v>
      </c>
      <c r="D691" s="5"/>
      <c r="E691" s="5" t="str">
        <f>IFERROR(__xludf.DUMMYFUNCTION("""COMPUTED_VALUE"""),"EG04-EG05-EG06")</f>
        <v>EG04-EG05-EG06</v>
      </c>
      <c r="F691" s="5" t="str">
        <f>IFERROR(__xludf.DUMMYFUNCTION("""COMPUTED_VALUE"""),"gedahad1511@gmail.com")</f>
        <v>gedahad1511@gmail.com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tr">
        <f>IFERROR(__xludf.DUMMYFUNCTION("""COMPUTED_VALUE"""),"مروة صلاح")</f>
        <v>مروة صلاح</v>
      </c>
      <c r="B692" s="5">
        <f>IFERROR(__xludf.DUMMYFUNCTION("""COMPUTED_VALUE"""),7.8212454179E11)</f>
        <v>782124541790</v>
      </c>
      <c r="C692" s="5" t="str">
        <f>IFERROR(__xludf.DUMMYFUNCTION("""COMPUTED_VALUE"""),"مروة صلاح")</f>
        <v>مروة صلاح</v>
      </c>
      <c r="D692" s="5">
        <f>IFERROR(__xludf.DUMMYFUNCTION("""COMPUTED_VALUE"""),2789.0)</f>
        <v>2789</v>
      </c>
      <c r="E692" s="5" t="str">
        <f>IFERROR(__xludf.DUMMYFUNCTION("""COMPUTED_VALUE"""),"EG01-EG02-EG03-EG04-EG05")</f>
        <v>EG01-EG02-EG03-EG04-EG05</v>
      </c>
      <c r="F692" s="5" t="str">
        <f>IFERROR(__xludf.DUMMYFUNCTION("""COMPUTED_VALUE"""),"marwacambridge66@gmail.com")</f>
        <v>marwacambridge66@gmail.com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tr">
        <f>IFERROR(__xludf.DUMMYFUNCTION("""COMPUTED_VALUE"""),"محمد سعيد")</f>
        <v>محمد سعيد</v>
      </c>
      <c r="B693" s="5">
        <f>IFERROR(__xludf.DUMMYFUNCTION("""COMPUTED_VALUE"""),7.30148062985E11)</f>
        <v>730148062985</v>
      </c>
      <c r="C693" s="5" t="str">
        <f>IFERROR(__xludf.DUMMYFUNCTION("""COMPUTED_VALUE"""),"محمد سعيد")</f>
        <v>محمد سعيد</v>
      </c>
      <c r="D693" s="5">
        <f>IFERROR(__xludf.DUMMYFUNCTION("""COMPUTED_VALUE"""),2692.0)</f>
        <v>2692</v>
      </c>
      <c r="E693" s="5" t="str">
        <f>IFERROR(__xludf.DUMMYFUNCTION("""COMPUTED_VALUE"""),"EG07-EG08-EG09")</f>
        <v>EG07-EG08-EG09</v>
      </c>
      <c r="F693" s="5" t="str">
        <f>IFERROR(__xludf.DUMMYFUNCTION("""COMPUTED_VALUE"""),"mohamedsaid6622@gmail.com")</f>
        <v>mohamedsaid6622@gmail.com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tr">
        <f>IFERROR(__xludf.DUMMYFUNCTION("""COMPUTED_VALUE"""),"نرمين حسن")</f>
        <v>نرمين حسن</v>
      </c>
      <c r="B694" s="5">
        <f>IFERROR(__xludf.DUMMYFUNCTION("""COMPUTED_VALUE"""),8.72109756075E11)</f>
        <v>872109756075</v>
      </c>
      <c r="C694" s="5" t="str">
        <f>IFERROR(__xludf.DUMMYFUNCTION("""COMPUTED_VALUE"""),"نرمين حسن")</f>
        <v>نرمين حسن</v>
      </c>
      <c r="D694" s="5">
        <f>IFERROR(__xludf.DUMMYFUNCTION("""COMPUTED_VALUE"""),2772.0)</f>
        <v>2772</v>
      </c>
      <c r="E694" s="5" t="str">
        <f>IFERROR(__xludf.DUMMYFUNCTION("""COMPUTED_VALUE"""),"EG04-EG05-EG06")</f>
        <v>EG04-EG05-EG06</v>
      </c>
      <c r="F694" s="5" t="str">
        <f>IFERROR(__xludf.DUMMYFUNCTION("""COMPUTED_VALUE"""),"nermeenhasan35@gmail.com")</f>
        <v>nermeenhasan35@gmail.com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tr">
        <f>IFERROR(__xludf.DUMMYFUNCTION("""COMPUTED_VALUE"""),"مايكل إميل")</f>
        <v>مايكل إميل</v>
      </c>
      <c r="B695" s="5">
        <f>IFERROR(__xludf.DUMMYFUNCTION("""COMPUTED_VALUE"""),1.05170539032E11)</f>
        <v>105170539032</v>
      </c>
      <c r="C695" s="5" t="str">
        <f>IFERROR(__xludf.DUMMYFUNCTION("""COMPUTED_VALUE"""),"مايكل إميل")</f>
        <v>مايكل إميل</v>
      </c>
      <c r="D695" s="5">
        <f>IFERROR(__xludf.DUMMYFUNCTION("""COMPUTED_VALUE"""),2734.0)</f>
        <v>2734</v>
      </c>
      <c r="E695" s="5" t="str">
        <f>IFERROR(__xludf.DUMMYFUNCTION("""COMPUTED_VALUE"""),"EG07-EG08-EG09")</f>
        <v>EG07-EG08-EG09</v>
      </c>
      <c r="F695" s="5" t="str">
        <f>IFERROR(__xludf.DUMMYFUNCTION("""COMPUTED_VALUE"""),"michael.emil306@gmail.com")</f>
        <v>michael.emil306@gmail.com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tr">
        <f>IFERROR(__xludf.DUMMYFUNCTION("""COMPUTED_VALUE"""),"ليلى محمود")</f>
        <v>ليلى محمود</v>
      </c>
      <c r="B696" s="5">
        <f>IFERROR(__xludf.DUMMYFUNCTION("""COMPUTED_VALUE"""),2.83104819698E11)</f>
        <v>283104819698</v>
      </c>
      <c r="C696" s="5" t="str">
        <f>IFERROR(__xludf.DUMMYFUNCTION("""COMPUTED_VALUE"""),"ليلى محمود")</f>
        <v>ليلى محمود</v>
      </c>
      <c r="D696" s="5">
        <f>IFERROR(__xludf.DUMMYFUNCTION("""COMPUTED_VALUE"""),2669.0)</f>
        <v>2669</v>
      </c>
      <c r="E696" s="5" t="str">
        <f>IFERROR(__xludf.DUMMYFUNCTION("""COMPUTED_VALUE"""),"EG07-EG08-EG09")</f>
        <v>EG07-EG08-EG09</v>
      </c>
      <c r="F696" s="5" t="str">
        <f>IFERROR(__xludf.DUMMYFUNCTION("""COMPUTED_VALUE"""),"tenderrose148@gmail.com")</f>
        <v>tenderrose148@gmail.com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tr">
        <f>IFERROR(__xludf.DUMMYFUNCTION("""COMPUTED_VALUE"""),"نوران أنور")</f>
        <v>نوران أنور</v>
      </c>
      <c r="B697" s="5">
        <f>IFERROR(__xludf.DUMMYFUNCTION("""COMPUTED_VALUE"""),9.60189502368E11)</f>
        <v>960189502368</v>
      </c>
      <c r="C697" s="5" t="str">
        <f>IFERROR(__xludf.DUMMYFUNCTION("""COMPUTED_VALUE"""),"نوران أنور")</f>
        <v>نوران أنور</v>
      </c>
      <c r="D697" s="5">
        <f>IFERROR(__xludf.DUMMYFUNCTION("""COMPUTED_VALUE"""),2786.0)</f>
        <v>2786</v>
      </c>
      <c r="E697" s="5" t="str">
        <f>IFERROR(__xludf.DUMMYFUNCTION("""COMPUTED_VALUE"""),"EG01-EG02-EG03")</f>
        <v>EG01-EG02-EG03</v>
      </c>
      <c r="F697" s="5" t="str">
        <f>IFERROR(__xludf.DUMMYFUNCTION("""COMPUTED_VALUE"""),"nourananwar47@gmail.com")</f>
        <v>nourananwar47@gmail.com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tr">
        <f>IFERROR(__xludf.DUMMYFUNCTION("""COMPUTED_VALUE"""),"سعدية أحمد")</f>
        <v>سعدية أحمد</v>
      </c>
      <c r="B698" s="5">
        <f>IFERROR(__xludf.DUMMYFUNCTION("""COMPUTED_VALUE"""),5.78126806131E11)</f>
        <v>578126806131</v>
      </c>
      <c r="C698" s="5" t="str">
        <f>IFERROR(__xludf.DUMMYFUNCTION("""COMPUTED_VALUE"""),"سعدية أحمد")</f>
        <v>سعدية أحمد</v>
      </c>
      <c r="D698" s="5">
        <f>IFERROR(__xludf.DUMMYFUNCTION("""COMPUTED_VALUE"""),2640.0)</f>
        <v>2640</v>
      </c>
      <c r="E698" s="5" t="str">
        <f>IFERROR(__xludf.DUMMYFUNCTION("""COMPUTED_VALUE"""),"EG03-EG04-EG05-EG06")</f>
        <v>EG03-EG04-EG05-EG06</v>
      </c>
      <c r="F698" s="5" t="str">
        <f>IFERROR(__xludf.DUMMYFUNCTION("""COMPUTED_VALUE"""),"asaadia881@gmail.com")</f>
        <v>asaadia881@gmail.com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tr">
        <f>IFERROR(__xludf.DUMMYFUNCTION("""COMPUTED_VALUE"""),"هدى عباس")</f>
        <v>هدى عباس</v>
      </c>
      <c r="B699" s="5">
        <f>IFERROR(__xludf.DUMMYFUNCTION("""COMPUTED_VALUE"""),6.79131265016E11)</f>
        <v>679131265016</v>
      </c>
      <c r="C699" s="5" t="str">
        <f>IFERROR(__xludf.DUMMYFUNCTION("""COMPUTED_VALUE"""),"هدى عباس")</f>
        <v>هدى عباس</v>
      </c>
      <c r="D699" s="5">
        <f>IFERROR(__xludf.DUMMYFUNCTION("""COMPUTED_VALUE"""),2716.0)</f>
        <v>2716</v>
      </c>
      <c r="E699" s="5" t="str">
        <f>IFERROR(__xludf.DUMMYFUNCTION("""COMPUTED_VALUE"""),"EG04-EG05-EG06")</f>
        <v>EG04-EG05-EG06</v>
      </c>
      <c r="F699" s="5" t="str">
        <f>IFERROR(__xludf.DUMMYFUNCTION("""COMPUTED_VALUE"""),"3mahoda@gmail.com")</f>
        <v>3mahoda@gmail.com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tr">
        <f>IFERROR(__xludf.DUMMYFUNCTION("""COMPUTED_VALUE"""),"بيتر مدحت")</f>
        <v>بيتر مدحت</v>
      </c>
      <c r="B700" s="5">
        <f>IFERROR(__xludf.DUMMYFUNCTION("""COMPUTED_VALUE"""),1.05126902692E11)</f>
        <v>105126902692</v>
      </c>
      <c r="C700" s="5" t="str">
        <f>IFERROR(__xludf.DUMMYFUNCTION("""COMPUTED_VALUE"""),"بيتر مدحت")</f>
        <v>بيتر مدحت</v>
      </c>
      <c r="D700" s="5">
        <f>IFERROR(__xludf.DUMMYFUNCTION("""COMPUTED_VALUE"""),2794.0)</f>
        <v>2794</v>
      </c>
      <c r="E700" s="5" t="str">
        <f>IFERROR(__xludf.DUMMYFUNCTION("""COMPUTED_VALUE"""),"EG04-EG05-EG06")</f>
        <v>EG04-EG05-EG06</v>
      </c>
      <c r="F700" s="5" t="str">
        <f>IFERROR(__xludf.DUMMYFUNCTION("""COMPUTED_VALUE"""),"petermedhat25@gmail.com")</f>
        <v>petermedhat25@gmail.com</v>
      </c>
      <c r="G700" s="5" t="str">
        <f>IFERROR(__xludf.DUMMYFUNCTION("""COMPUTED_VALUE"""),"01282584743")</f>
        <v>01282584743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tr">
        <f>IFERROR(__xludf.DUMMYFUNCTION("""COMPUTED_VALUE"""),"مروة المستكاوي")</f>
        <v>مروة المستكاوي</v>
      </c>
      <c r="B701" s="5">
        <f>IFERROR(__xludf.DUMMYFUNCTION("""COMPUTED_VALUE"""),2.06131919704E11)</f>
        <v>206131919704</v>
      </c>
      <c r="C701" s="5" t="str">
        <f>IFERROR(__xludf.DUMMYFUNCTION("""COMPUTED_VALUE"""),"مروة المستكاوي")</f>
        <v>مروة المستكاوي</v>
      </c>
      <c r="D701" s="5">
        <f>IFERROR(__xludf.DUMMYFUNCTION("""COMPUTED_VALUE"""),2736.0)</f>
        <v>2736</v>
      </c>
      <c r="E701" s="5" t="str">
        <f>IFERROR(__xludf.DUMMYFUNCTION("""COMPUTED_VALUE"""),"EG04-EG05-EG06-EG07-EG08-EG09")</f>
        <v>EG04-EG05-EG06-EG07-EG08-EG09</v>
      </c>
      <c r="F701" s="5" t="str">
        <f>IFERROR(__xludf.DUMMYFUNCTION("""COMPUTED_VALUE"""),"marwa.mohammed2016@gmail.com")</f>
        <v>marwa.mohammed2016@gmail.com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 t="str">
        <f>IFERROR(__xludf.DUMMYFUNCTION("""COMPUTED_VALUE"""),"وليد علي")</f>
        <v>وليد علي</v>
      </c>
      <c r="B702" s="5">
        <f>IFERROR(__xludf.DUMMYFUNCTION("""COMPUTED_VALUE"""),3.50132398282E11)</f>
        <v>350132398282</v>
      </c>
      <c r="C702" s="5" t="str">
        <f>IFERROR(__xludf.DUMMYFUNCTION("""COMPUTED_VALUE"""),"وليد علي")</f>
        <v>وليد علي</v>
      </c>
      <c r="D702" s="5">
        <f>IFERROR(__xludf.DUMMYFUNCTION("""COMPUTED_VALUE"""),2778.0)</f>
        <v>2778</v>
      </c>
      <c r="E702" s="5" t="str">
        <f>IFERROR(__xludf.DUMMYFUNCTION("""COMPUTED_VALUE"""),"EG04-EG05-EG06-EG07-EG08-EG09")</f>
        <v>EG04-EG05-EG06-EG07-EG08-EG09</v>
      </c>
      <c r="F702" s="5" t="str">
        <f>IFERROR(__xludf.DUMMYFUNCTION("""COMPUTED_VALUE"""),"mr.walidali79@gmail.com")</f>
        <v>mr.walidali79@gmail.com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 t="str">
        <f>IFERROR(__xludf.DUMMYFUNCTION("""COMPUTED_VALUE"""),"نهال عصمت")</f>
        <v>نهال عصمت</v>
      </c>
      <c r="B703" s="5">
        <f>IFERROR(__xludf.DUMMYFUNCTION("""COMPUTED_VALUE"""),5.75153852182E11)</f>
        <v>575153852182</v>
      </c>
      <c r="C703" s="5" t="str">
        <f>IFERROR(__xludf.DUMMYFUNCTION("""COMPUTED_VALUE"""),"نهال عصمت")</f>
        <v>نهال عصمت</v>
      </c>
      <c r="D703" s="5" t="str">
        <f>IFERROR(__xludf.DUMMYFUNCTION("""COMPUTED_VALUE"""),"#N/A")</f>
        <v>#N/A</v>
      </c>
      <c r="E703" s="5"/>
      <c r="F703" s="5" t="str">
        <f>IFERROR(__xludf.DUMMYFUNCTION("""COMPUTED_VALUE"""),"nihal.h.noaman@gmail.com")</f>
        <v>nihal.h.noaman@gmail.com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 t="str">
        <f>IFERROR(__xludf.DUMMYFUNCTION("""COMPUTED_VALUE"""),"مريم يحيى")</f>
        <v>مريم يحيى</v>
      </c>
      <c r="B704" s="5">
        <f>IFERROR(__xludf.DUMMYFUNCTION("""COMPUTED_VALUE"""),1.86108150941E11)</f>
        <v>186108150941</v>
      </c>
      <c r="C704" s="5" t="str">
        <f>IFERROR(__xludf.DUMMYFUNCTION("""COMPUTED_VALUE"""),"مريم يحيى")</f>
        <v>مريم يحيى</v>
      </c>
      <c r="D704" s="5" t="str">
        <f>IFERROR(__xludf.DUMMYFUNCTION("""COMPUTED_VALUE"""),"#N/A")</f>
        <v>#N/A</v>
      </c>
      <c r="E704" s="5"/>
      <c r="F704" s="5" t="str">
        <f>IFERROR(__xludf.DUMMYFUNCTION("""COMPUTED_VALUE"""),"monnamy7@gmail.com")</f>
        <v>monnamy7@gmail.com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 t="str">
        <f>IFERROR(__xludf.DUMMYFUNCTION("""COMPUTED_VALUE"""),"آية مجاهد")</f>
        <v>آية مجاهد</v>
      </c>
      <c r="B705" s="5">
        <f>IFERROR(__xludf.DUMMYFUNCTION("""COMPUTED_VALUE"""),5.37126249693E11)</f>
        <v>537126249693</v>
      </c>
      <c r="C705" s="5" t="str">
        <f>IFERROR(__xludf.DUMMYFUNCTION("""COMPUTED_VALUE"""),"آية مجاهد")</f>
        <v>آية مجاهد</v>
      </c>
      <c r="D705" s="5">
        <f>IFERROR(__xludf.DUMMYFUNCTION("""COMPUTED_VALUE"""),2775.0)</f>
        <v>2775</v>
      </c>
      <c r="E705" s="5" t="str">
        <f>IFERROR(__xludf.DUMMYFUNCTION("""COMPUTED_VALUE"""),"EG04-EG05-EG06")</f>
        <v>EG04-EG05-EG06</v>
      </c>
      <c r="F705" s="5" t="str">
        <f>IFERROR(__xludf.DUMMYFUNCTION("""COMPUTED_VALUE"""),"ayamegahed071@gmail.com")</f>
        <v>ayamegahed071@gmail.com</v>
      </c>
      <c r="G705" s="5" t="str">
        <f>IFERROR(__xludf.DUMMYFUNCTION("""COMPUTED_VALUE"""),"01066056096")</f>
        <v>01066056096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 t="str">
        <f>IFERROR(__xludf.DUMMYFUNCTION("""COMPUTED_VALUE"""),"نادر عاطف")</f>
        <v>نادر عاطف</v>
      </c>
      <c r="B706" s="5">
        <f>IFERROR(__xludf.DUMMYFUNCTION("""COMPUTED_VALUE"""),9.62150658402E11)</f>
        <v>962150658402</v>
      </c>
      <c r="C706" s="5" t="str">
        <f>IFERROR(__xludf.DUMMYFUNCTION("""COMPUTED_VALUE"""),"نادر عاطف")</f>
        <v>نادر عاطف</v>
      </c>
      <c r="D706" s="5" t="str">
        <f>IFERROR(__xludf.DUMMYFUNCTION("""COMPUTED_VALUE"""),"#N/A")</f>
        <v>#N/A</v>
      </c>
      <c r="E706" s="5"/>
      <c r="F706" s="5" t="str">
        <f>IFERROR(__xludf.DUMMYFUNCTION("""COMPUTED_VALUE"""),"nader.atef@nagwa.com")</f>
        <v>nader.atef@nagwa.com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 t="str">
        <f>IFERROR(__xludf.DUMMYFUNCTION("""COMPUTED_VALUE"""),"نرمين رضا")</f>
        <v>نرمين رضا</v>
      </c>
      <c r="B707" s="5">
        <f>IFERROR(__xludf.DUMMYFUNCTION("""COMPUTED_VALUE"""),9.57162109584E11)</f>
        <v>957162109584</v>
      </c>
      <c r="C707" s="5" t="str">
        <f>IFERROR(__xludf.DUMMYFUNCTION("""COMPUTED_VALUE"""),"نرمين رضا")</f>
        <v>نرمين رضا</v>
      </c>
      <c r="D707" s="5">
        <f>IFERROR(__xludf.DUMMYFUNCTION("""COMPUTED_VALUE"""),2808.0)</f>
        <v>2808</v>
      </c>
      <c r="E707" s="5" t="str">
        <f>IFERROR(__xludf.DUMMYFUNCTION("""COMPUTED_VALUE"""),"EG07-EG08")</f>
        <v>EG07-EG08</v>
      </c>
      <c r="F707" s="5" t="str">
        <f>IFERROR(__xludf.DUMMYFUNCTION("""COMPUTED_VALUE"""),"totareda172@gmail.com")</f>
        <v>totareda172@gmail.com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 t="str">
        <f>IFERROR(__xludf.DUMMYFUNCTION("""COMPUTED_VALUE"""),"أحمد توفيق")</f>
        <v>أحمد توفيق</v>
      </c>
      <c r="B708" s="5">
        <f>IFERROR(__xludf.DUMMYFUNCTION("""COMPUTED_VALUE"""),8.63152852634E11)</f>
        <v>863152852634</v>
      </c>
      <c r="C708" s="5" t="str">
        <f>IFERROR(__xludf.DUMMYFUNCTION("""COMPUTED_VALUE"""),"أحمد توفيق")</f>
        <v>أحمد توفيق</v>
      </c>
      <c r="D708" s="5">
        <f>IFERROR(__xludf.DUMMYFUNCTION("""COMPUTED_VALUE"""),2804.0)</f>
        <v>2804</v>
      </c>
      <c r="E708" s="5" t="str">
        <f>IFERROR(__xludf.DUMMYFUNCTION("""COMPUTED_VALUE"""),"EG04-EG05-EG06")</f>
        <v>EG04-EG05-EG06</v>
      </c>
      <c r="F708" s="5" t="str">
        <f>IFERROR(__xludf.DUMMYFUNCTION("""COMPUTED_VALUE"""),"ahmedtawfek2002@gmail.com")</f>
        <v>ahmedtawfek2002@gmail.com</v>
      </c>
      <c r="G708" s="5" t="str">
        <f>IFERROR(__xludf.DUMMYFUNCTION("""COMPUTED_VALUE"""),"01098960940")</f>
        <v>01098960940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 t="str">
        <f>IFERROR(__xludf.DUMMYFUNCTION("""COMPUTED_VALUE"""),"مونيكا نعيم")</f>
        <v>مونيكا نعيم</v>
      </c>
      <c r="B709" s="5">
        <f>IFERROR(__xludf.DUMMYFUNCTION("""COMPUTED_VALUE"""),8.6913580876E11)</f>
        <v>869135808760</v>
      </c>
      <c r="C709" s="5" t="str">
        <f>IFERROR(__xludf.DUMMYFUNCTION("""COMPUTED_VALUE"""),"مونيكا نعيم")</f>
        <v>مونيكا نعيم</v>
      </c>
      <c r="D709" s="5" t="str">
        <f>IFERROR(__xludf.DUMMYFUNCTION("""COMPUTED_VALUE"""),"#N/A")</f>
        <v>#N/A</v>
      </c>
      <c r="E709" s="5"/>
      <c r="F709" s="5" t="str">
        <f>IFERROR(__xludf.DUMMYFUNCTION("""COMPUTED_VALUE"""),"monicanaeim85@gmail.com")</f>
        <v>monicanaeim85@gmail.com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 t="str">
        <f>IFERROR(__xludf.DUMMYFUNCTION("""COMPUTED_VALUE"""),"شاهنده محمد")</f>
        <v>شاهنده محمد</v>
      </c>
      <c r="B710" s="5">
        <f>IFERROR(__xludf.DUMMYFUNCTION("""COMPUTED_VALUE"""),4.39182479634E11)</f>
        <v>439182479634</v>
      </c>
      <c r="C710" s="5" t="str">
        <f>IFERROR(__xludf.DUMMYFUNCTION("""COMPUTED_VALUE"""),"شاهنده محمد")</f>
        <v>شاهنده محمد</v>
      </c>
      <c r="D710" s="5">
        <f>IFERROR(__xludf.DUMMYFUNCTION("""COMPUTED_VALUE"""),2807.0)</f>
        <v>2807</v>
      </c>
      <c r="E710" s="5" t="str">
        <f>IFERROR(__xludf.DUMMYFUNCTION("""COMPUTED_VALUE"""),"EG01-EG02-EG03-EG04")</f>
        <v>EG01-EG02-EG03-EG04</v>
      </c>
      <c r="F710" s="5" t="str">
        <f>IFERROR(__xludf.DUMMYFUNCTION("""COMPUTED_VALUE"""),"shahendamohammad3@gmail.com")</f>
        <v>shahendamohammad3@gmail.com</v>
      </c>
      <c r="G710" s="5" t="str">
        <f>IFERROR(__xludf.DUMMYFUNCTION("""COMPUTED_VALUE"""),"01223315390")</f>
        <v>01223315390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 t="str">
        <f>IFERROR(__xludf.DUMMYFUNCTION("""COMPUTED_VALUE"""),"هبة يحيى")</f>
        <v>هبة يحيى</v>
      </c>
      <c r="B711" s="5">
        <f>IFERROR(__xludf.DUMMYFUNCTION("""COMPUTED_VALUE"""),1.03163201686E11)</f>
        <v>103163201686</v>
      </c>
      <c r="C711" s="5" t="str">
        <f>IFERROR(__xludf.DUMMYFUNCTION("""COMPUTED_VALUE"""),"هبة يحيى")</f>
        <v>هبة يحيى</v>
      </c>
      <c r="D711" s="5" t="str">
        <f>IFERROR(__xludf.DUMMYFUNCTION("""COMPUTED_VALUE"""),"#N/A")</f>
        <v>#N/A</v>
      </c>
      <c r="E711" s="5"/>
      <c r="F711" s="5" t="str">
        <f>IFERROR(__xludf.DUMMYFUNCTION("""COMPUTED_VALUE"""),"heba.yehia@nagwa.com")</f>
        <v>heba.yehia@nagwa.com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 t="str">
        <f>IFERROR(__xludf.DUMMYFUNCTION("""COMPUTED_VALUE"""),"آلاء والي")</f>
        <v>آلاء والي</v>
      </c>
      <c r="B712" s="5">
        <f>IFERROR(__xludf.DUMMYFUNCTION("""COMPUTED_VALUE"""),8.76157843203E11)</f>
        <v>876157843203</v>
      </c>
      <c r="C712" s="5" t="str">
        <f>IFERROR(__xludf.DUMMYFUNCTION("""COMPUTED_VALUE"""),"آلاء والي")</f>
        <v>آلاء والي</v>
      </c>
      <c r="D712" s="5">
        <f>IFERROR(__xludf.DUMMYFUNCTION("""COMPUTED_VALUE"""),2805.0)</f>
        <v>2805</v>
      </c>
      <c r="E712" s="5" t="str">
        <f>IFERROR(__xludf.DUMMYFUNCTION("""COMPUTED_VALUE"""),"EG03-EG04-EG05-EG06")</f>
        <v>EG03-EG04-EG05-EG06</v>
      </c>
      <c r="F712" s="5" t="str">
        <f>IFERROR(__xludf.DUMMYFUNCTION("""COMPUTED_VALUE"""),"aalaamahamed7@gmail.com")</f>
        <v>aalaamahamed7@gmail.com</v>
      </c>
      <c r="G712" s="5" t="str">
        <f>IFERROR(__xludf.DUMMYFUNCTION("""COMPUTED_VALUE"""),"01065974950")</f>
        <v>01065974950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 t="str">
        <f>IFERROR(__xludf.DUMMYFUNCTION("""COMPUTED_VALUE"""),"نجلاء رضوان")</f>
        <v>نجلاء رضوان</v>
      </c>
      <c r="B713" s="5">
        <f>IFERROR(__xludf.DUMMYFUNCTION("""COMPUTED_VALUE"""),8.67195425601E11)</f>
        <v>867195425601</v>
      </c>
      <c r="C713" s="5" t="str">
        <f>IFERROR(__xludf.DUMMYFUNCTION("""COMPUTED_VALUE"""),"نجلاء رضوان")</f>
        <v>نجلاء رضوان</v>
      </c>
      <c r="D713" s="5">
        <f>IFERROR(__xludf.DUMMYFUNCTION("""COMPUTED_VALUE"""),2806.0)</f>
        <v>2806</v>
      </c>
      <c r="E713" s="5" t="str">
        <f>IFERROR(__xludf.DUMMYFUNCTION("""COMPUTED_VALUE"""),"EG01-EG02-EG03-EG04-EG05-EG06")</f>
        <v>EG01-EG02-EG03-EG04-EG05-EG06</v>
      </c>
      <c r="F713" s="5" t="str">
        <f>IFERROR(__xludf.DUMMYFUNCTION("""COMPUTED_VALUE"""),"naglaaradwan99@gmail.com")</f>
        <v>naglaaradwan99@gmail.com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 t="str">
        <f>IFERROR(__xludf.DUMMYFUNCTION("""COMPUTED_VALUE"""),"ماريان عبد الملاك")</f>
        <v>ماريان عبد الملاك</v>
      </c>
      <c r="B714" s="5">
        <f>IFERROR(__xludf.DUMMYFUNCTION("""COMPUTED_VALUE"""),6.54151845406E11)</f>
        <v>654151845406</v>
      </c>
      <c r="C714" s="5" t="str">
        <f>IFERROR(__xludf.DUMMYFUNCTION("""COMPUTED_VALUE"""),"ماريان عبد الملاك")</f>
        <v>ماريان عبد الملاك</v>
      </c>
      <c r="D714" s="5" t="str">
        <f>IFERROR(__xludf.DUMMYFUNCTION("""COMPUTED_VALUE"""),"#N/A")</f>
        <v>#N/A</v>
      </c>
      <c r="E714" s="5"/>
      <c r="F714" s="5" t="str">
        <f>IFERROR(__xludf.DUMMYFUNCTION("""COMPUTED_VALUE"""),"marian.abdelmalak@nagwa.com")</f>
        <v>marian.abdelmalak@nagwa.com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 t="str">
        <f>IFERROR(__xludf.DUMMYFUNCTION("""COMPUTED_VALUE"""),"مايكل صادق")</f>
        <v>مايكل صادق</v>
      </c>
      <c r="B715" s="5">
        <f>IFERROR(__xludf.DUMMYFUNCTION("""COMPUTED_VALUE"""),4.13140584531E11)</f>
        <v>413140584531</v>
      </c>
      <c r="C715" s="5" t="str">
        <f>IFERROR(__xludf.DUMMYFUNCTION("""COMPUTED_VALUE"""),"مايكل صادق")</f>
        <v>مايكل صادق</v>
      </c>
      <c r="D715" s="5" t="str">
        <f>IFERROR(__xludf.DUMMYFUNCTION("""COMPUTED_VALUE"""),"#N/A")</f>
        <v>#N/A</v>
      </c>
      <c r="E715" s="5"/>
      <c r="F715" s="5" t="str">
        <f>IFERROR(__xludf.DUMMYFUNCTION("""COMPUTED_VALUE"""),"michael.sadek@nagwa.com")</f>
        <v>michael.sadek@nagwa.com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 t="str">
        <f>IFERROR(__xludf.DUMMYFUNCTION("""COMPUTED_VALUE"""),"أحمد عبد الله")</f>
        <v>أحمد عبد الله</v>
      </c>
      <c r="B716" s="5">
        <f>IFERROR(__xludf.DUMMYFUNCTION("""COMPUTED_VALUE"""),8.10128230313E11)</f>
        <v>810128230313</v>
      </c>
      <c r="C716" s="5" t="str">
        <f>IFERROR(__xludf.DUMMYFUNCTION("""COMPUTED_VALUE"""),"أحمد عبد الله")</f>
        <v>أحمد عبد الله</v>
      </c>
      <c r="D716" s="5" t="str">
        <f>IFERROR(__xludf.DUMMYFUNCTION("""COMPUTED_VALUE"""),"#N/A")</f>
        <v>#N/A</v>
      </c>
      <c r="E716" s="5"/>
      <c r="F716" s="5" t="str">
        <f>IFERROR(__xludf.DUMMYFUNCTION("""COMPUTED_VALUE"""),"ahmed.abdullah@nagwa.com")</f>
        <v>ahmed.abdullah@nagwa.com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 t="str">
        <f>IFERROR(__xludf.DUMMYFUNCTION("""COMPUTED_VALUE"""),"زينب زكي")</f>
        <v>زينب زكي</v>
      </c>
      <c r="B717" s="5">
        <f>IFERROR(__xludf.DUMMYFUNCTION("""COMPUTED_VALUE"""),9.10137201294E11)</f>
        <v>910137201294</v>
      </c>
      <c r="C717" s="5" t="str">
        <f>IFERROR(__xludf.DUMMYFUNCTION("""COMPUTED_VALUE"""),"زينب زكي")</f>
        <v>زينب زكي</v>
      </c>
      <c r="D717" s="5" t="str">
        <f>IFERROR(__xludf.DUMMYFUNCTION("""COMPUTED_VALUE"""),"#N/A")</f>
        <v>#N/A</v>
      </c>
      <c r="E717" s="5"/>
      <c r="F717" s="5" t="str">
        <f>IFERROR(__xludf.DUMMYFUNCTION("""COMPUTED_VALUE"""),"zienabkhaled10@gmail.com")</f>
        <v>zienabkhaled10@gmail.com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 t="str">
        <f>IFERROR(__xludf.DUMMYFUNCTION("""COMPUTED_VALUE"""),"سمر إبراهيم")</f>
        <v>سمر إبراهيم</v>
      </c>
      <c r="B718" s="5">
        <f>IFERROR(__xludf.DUMMYFUNCTION("""COMPUTED_VALUE"""),1.98137454262E11)</f>
        <v>198137454262</v>
      </c>
      <c r="C718" s="5" t="str">
        <f>IFERROR(__xludf.DUMMYFUNCTION("""COMPUTED_VALUE"""),"سمر إبراهيم")</f>
        <v>سمر إبراهيم</v>
      </c>
      <c r="D718" s="30" t="str">
        <f>IFERROR(__xludf.DUMMYFUNCTION("""COMPUTED_VALUE"""),"2279")</f>
        <v>2279</v>
      </c>
      <c r="E718" s="5" t="str">
        <f>IFERROR(__xludf.DUMMYFUNCTION("""COMPUTED_VALUE"""),"G11-G12")</f>
        <v>G11-G12</v>
      </c>
      <c r="F718" s="5" t="str">
        <f>IFERROR(__xludf.DUMMYFUNCTION("""COMPUTED_VALUE"""),"samanor2010@gmail.com")</f>
        <v>samanor2010@gmail.com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 t="str">
        <f>IFERROR(__xludf.DUMMYFUNCTION("""COMPUTED_VALUE"""),"ماريان صبري")</f>
        <v>ماريان صبري</v>
      </c>
      <c r="B719" s="5">
        <f>IFERROR(__xludf.DUMMYFUNCTION("""COMPUTED_VALUE"""),5.14126712393E11)</f>
        <v>514126712393</v>
      </c>
      <c r="C719" s="5" t="str">
        <f>IFERROR(__xludf.DUMMYFUNCTION("""COMPUTED_VALUE"""),"ماريان صبري")</f>
        <v>ماريان صبري</v>
      </c>
      <c r="D719" s="5">
        <f>IFERROR(__xludf.DUMMYFUNCTION("""COMPUTED_VALUE"""),2827.0)</f>
        <v>2827</v>
      </c>
      <c r="E719" s="5" t="str">
        <f>IFERROR(__xludf.DUMMYFUNCTION("""COMPUTED_VALUE"""),"EG01-EG02-EG03")</f>
        <v>EG01-EG02-EG03</v>
      </c>
      <c r="F719" s="5" t="str">
        <f>IFERROR(__xludf.DUMMYFUNCTION("""COMPUTED_VALUE"""),"marianmaher01094762364@gmail.com")</f>
        <v>marianmaher01094762364@gmail.com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 t="str">
        <f>IFERROR(__xludf.DUMMYFUNCTION("""COMPUTED_VALUE"""),"عبد الرحمن رمضان")</f>
        <v>عبد الرحمن رمضان</v>
      </c>
      <c r="B720" s="5">
        <f>IFERROR(__xludf.DUMMYFUNCTION("""COMPUTED_VALUE"""),9.05158654524E11)</f>
        <v>905158654524</v>
      </c>
      <c r="C720" s="5" t="str">
        <f>IFERROR(__xludf.DUMMYFUNCTION("""COMPUTED_VALUE"""),"عبد الرحمن رمضان")</f>
        <v>عبد الرحمن رمضان</v>
      </c>
      <c r="D720" s="5"/>
      <c r="E720" s="5"/>
      <c r="F720" s="5" t="str">
        <f>IFERROR(__xludf.DUMMYFUNCTION("""COMPUTED_VALUE"""),"rabdo6492@gmail.com")</f>
        <v>rabdo6492@gmail.com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 t="str">
        <f>IFERROR(__xludf.DUMMYFUNCTION("""COMPUTED_VALUE"""),"إيمان ممدوح")</f>
        <v>إيمان ممدوح</v>
      </c>
      <c r="B721" s="5">
        <f>IFERROR(__xludf.DUMMYFUNCTION("""COMPUTED_VALUE"""),9.75141754312E11)</f>
        <v>975141754312</v>
      </c>
      <c r="C721" s="5" t="str">
        <f>IFERROR(__xludf.DUMMYFUNCTION("""COMPUTED_VALUE"""),"إيمان ممدوح")</f>
        <v>إيمان ممدوح</v>
      </c>
      <c r="D721" s="5">
        <f>IFERROR(__xludf.DUMMYFUNCTION("""COMPUTED_VALUE"""),1999.0)</f>
        <v>1999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 t="str">
        <f>IFERROR(__xludf.DUMMYFUNCTION("""COMPUTED_VALUE"""),"تسنيم بدر")</f>
        <v>تسنيم بدر</v>
      </c>
      <c r="B722" s="5">
        <f>IFERROR(__xludf.DUMMYFUNCTION("""COMPUTED_VALUE"""),7.02160894872E11)</f>
        <v>702160894872</v>
      </c>
      <c r="C722" s="5" t="str">
        <f>IFERROR(__xludf.DUMMYFUNCTION("""COMPUTED_VALUE"""),"تسنيم بدر")</f>
        <v>تسنيم بدر</v>
      </c>
      <c r="D722" s="5">
        <f>IFERROR(__xludf.DUMMYFUNCTION("""COMPUTED_VALUE"""),2028.0)</f>
        <v>2028</v>
      </c>
      <c r="E722" s="5" t="str">
        <f>IFERROR(__xludf.DUMMYFUNCTION("""COMPUTED_VALUE"""),"انتهت بالفعل إجراءات إنهاء التعاقد")</f>
        <v>انتهت بالفعل إجراءات إنهاء التعاقد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 t="str">
        <f>IFERROR(__xludf.DUMMYFUNCTION("""COMPUTED_VALUE"""),"سارة  إبراهيم سامي")</f>
        <v>سارة  إبراهيم سامي</v>
      </c>
      <c r="B723" s="5" t="str">
        <f>IFERROR(__xludf.DUMMYFUNCTION("""COMPUTED_VALUE"""),"No ID")</f>
        <v>No ID</v>
      </c>
      <c r="C723" s="5" t="str">
        <f>IFERROR(__xludf.DUMMYFUNCTION("""COMPUTED_VALUE"""),"سارة  إبراهيم سامي")</f>
        <v>سارة  إبراهيم سامي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 t="str">
        <f>IFERROR(__xludf.DUMMYFUNCTION("""COMPUTED_VALUE"""),"لطفي سالم")</f>
        <v>لطفي سالم</v>
      </c>
      <c r="B724" s="5" t="str">
        <f>IFERROR(__xludf.DUMMYFUNCTION("""COMPUTED_VALUE"""),"No ID")</f>
        <v>No ID</v>
      </c>
      <c r="C724" s="5" t="str">
        <f>IFERROR(__xludf.DUMMYFUNCTION("""COMPUTED_VALUE"""),"لطفي سالم")</f>
        <v>لطفي سالم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 t="str">
        <f>IFERROR(__xludf.DUMMYFUNCTION("""COMPUTED_VALUE"""),"شريف شيمي")</f>
        <v>شريف شيمي</v>
      </c>
      <c r="B725" s="5" t="str">
        <f>IFERROR(__xludf.DUMMYFUNCTION("""COMPUTED_VALUE"""),"No ID")</f>
        <v>No ID</v>
      </c>
      <c r="C725" s="5" t="str">
        <f>IFERROR(__xludf.DUMMYFUNCTION("""COMPUTED_VALUE"""),"شريف شيمي")</f>
        <v>شريف شيمي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 t="str">
        <f>IFERROR(__xludf.DUMMYFUNCTION("""COMPUTED_VALUE"""),"نهى النشار")</f>
        <v>نهى النشار</v>
      </c>
      <c r="B726" s="5" t="str">
        <f>IFERROR(__xludf.DUMMYFUNCTION("""COMPUTED_VALUE"""),"No ID")</f>
        <v>No ID</v>
      </c>
      <c r="C726" s="5" t="str">
        <f>IFERROR(__xludf.DUMMYFUNCTION("""COMPUTED_VALUE"""),"نهى النشار")</f>
        <v>نهى النشار</v>
      </c>
      <c r="D726" s="5"/>
      <c r="E726" s="5" t="str">
        <f>IFERROR(__xludf.DUMMYFUNCTION("""COMPUTED_VALUE"""),"EG07-EG08-EG09-EG10")</f>
        <v>EG07-EG08-EG09-EG10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 t="str">
        <f>IFERROR(__xludf.DUMMYFUNCTION("""COMPUTED_VALUE"""),"علاء يوسف")</f>
        <v>علاء يوسف</v>
      </c>
      <c r="B727" s="5" t="str">
        <f>IFERROR(__xludf.DUMMYFUNCTION("""COMPUTED_VALUE"""),"No ID")</f>
        <v>No ID</v>
      </c>
      <c r="C727" s="5" t="str">
        <f>IFERROR(__xludf.DUMMYFUNCTION("""COMPUTED_VALUE"""),"علاء يوسف")</f>
        <v>علاء يوسف</v>
      </c>
      <c r="D727" s="5"/>
      <c r="E727" s="5" t="str">
        <f>IFERROR(__xludf.DUMMYFUNCTION("""COMPUTED_VALUE"""),"EG07-EG08-EG09")</f>
        <v>EG07-EG08-EG09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 t="str">
        <f>IFERROR(__xludf.DUMMYFUNCTION("""COMPUTED_VALUE"""),"عبد الرحمن داوود")</f>
        <v>عبد الرحمن داوود</v>
      </c>
      <c r="B728" s="5" t="str">
        <f>IFERROR(__xludf.DUMMYFUNCTION("""COMPUTED_VALUE"""),"No ID")</f>
        <v>No ID</v>
      </c>
      <c r="C728" s="5" t="str">
        <f>IFERROR(__xludf.DUMMYFUNCTION("""COMPUTED_VALUE"""),"عبد الرحمن داوود")</f>
        <v>عبد الرحمن داوود</v>
      </c>
      <c r="D728" s="5"/>
      <c r="E728" s="5" t="str">
        <f>IFERROR(__xludf.DUMMYFUNCTION("""COMPUTED_VALUE"""),"EG09-EG10-EG11")</f>
        <v>EG09-EG10-EG11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 t="str">
        <f>IFERROR(__xludf.DUMMYFUNCTION("""COMPUTED_VALUE"""),"دعاء عطية")</f>
        <v>دعاء عطية</v>
      </c>
      <c r="B729" s="5" t="str">
        <f>IFERROR(__xludf.DUMMYFUNCTION("""COMPUTED_VALUE"""),"No ID")</f>
        <v>No ID</v>
      </c>
      <c r="C729" s="5" t="str">
        <f>IFERROR(__xludf.DUMMYFUNCTION("""COMPUTED_VALUE"""),"دعاء عطية")</f>
        <v>دعاء عطية</v>
      </c>
      <c r="D729" s="5"/>
      <c r="E729" s="5" t="str">
        <f>IFERROR(__xludf.DUMMYFUNCTION("""COMPUTED_VALUE"""),"EG07-EG08-EG09-EG10-EG11-EG12")</f>
        <v>EG07-EG08-EG09-EG10-EG11-EG12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 t="str">
        <f>IFERROR(__xludf.DUMMYFUNCTION("""COMPUTED_VALUE"""),"ولاء النمر")</f>
        <v>ولاء النمر</v>
      </c>
      <c r="B730" s="5" t="str">
        <f>IFERROR(__xludf.DUMMYFUNCTION("""COMPUTED_VALUE"""),"No ID")</f>
        <v>No ID</v>
      </c>
      <c r="C730" s="5" t="str">
        <f>IFERROR(__xludf.DUMMYFUNCTION("""COMPUTED_VALUE"""),"ولاء النمر")</f>
        <v>ولاء النمر</v>
      </c>
      <c r="D730" s="5"/>
      <c r="E730" s="5" t="str">
        <f>IFERROR(__xludf.DUMMYFUNCTION("""COMPUTED_VALUE"""),"EG01-EG02-EG03-EG04")</f>
        <v>EG01-EG02-EG03-EG04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 t="str">
        <f>IFERROR(__xludf.DUMMYFUNCTION("""COMPUTED_VALUE"""),"سماء رسمي")</f>
        <v>سماء رسمي</v>
      </c>
      <c r="B731" s="5" t="str">
        <f>IFERROR(__xludf.DUMMYFUNCTION("""COMPUTED_VALUE"""),"No ID")</f>
        <v>No ID</v>
      </c>
      <c r="C731" s="5" t="str">
        <f>IFERROR(__xludf.DUMMYFUNCTION("""COMPUTED_VALUE"""),"سماء رسمي")</f>
        <v>سماء رسمي</v>
      </c>
      <c r="D731" s="5"/>
      <c r="E731" s="5" t="str">
        <f>IFERROR(__xludf.DUMMYFUNCTION("""COMPUTED_VALUE"""),"EG01-EG02-EG03-EG04-EG05-EG06")</f>
        <v>EG01-EG02-EG03-EG04-EG05-EG06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 t="str">
        <f>IFERROR(__xludf.DUMMYFUNCTION("""COMPUTED_VALUE"""),"محمد علاء")</f>
        <v>محمد علاء</v>
      </c>
      <c r="B732" s="5" t="str">
        <f>IFERROR(__xludf.DUMMYFUNCTION("""COMPUTED_VALUE"""),"No ID")</f>
        <v>No ID</v>
      </c>
      <c r="C732" s="5" t="str">
        <f>IFERROR(__xludf.DUMMYFUNCTION("""COMPUTED_VALUE"""),"محمد علاء")</f>
        <v>محمد علاء</v>
      </c>
      <c r="D732" s="5"/>
      <c r="E732" s="5" t="str">
        <f>IFERROR(__xludf.DUMMYFUNCTION("""COMPUTED_VALUE"""),"EG04-EG05-EG06-EG07-EG08-EG09")</f>
        <v>EG04-EG05-EG06-EG07-EG08-EG09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 t="str">
        <f>IFERROR(__xludf.DUMMYFUNCTION("""COMPUTED_VALUE"""),"عبير حسن")</f>
        <v>عبير حسن</v>
      </c>
      <c r="B733" s="5" t="str">
        <f>IFERROR(__xludf.DUMMYFUNCTION("""COMPUTED_VALUE"""),"No ID")</f>
        <v>No ID</v>
      </c>
      <c r="C733" s="5" t="str">
        <f>IFERROR(__xludf.DUMMYFUNCTION("""COMPUTED_VALUE"""),"عبير حسن")</f>
        <v>عبير حسن</v>
      </c>
      <c r="D733" s="5"/>
      <c r="E733" s="5" t="str">
        <f>IFERROR(__xludf.DUMMYFUNCTION("""COMPUTED_VALUE"""),"EG04-EG05-EG06")</f>
        <v>EG04-EG05-EG06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 t="str">
        <f>IFERROR(__xludf.DUMMYFUNCTION("""COMPUTED_VALUE"""),"شيرين عزب")</f>
        <v>شيرين عزب</v>
      </c>
      <c r="B734" s="5" t="str">
        <f>IFERROR(__xludf.DUMMYFUNCTION("""COMPUTED_VALUE"""),"No ID")</f>
        <v>No ID</v>
      </c>
      <c r="C734" s="5" t="str">
        <f>IFERROR(__xludf.DUMMYFUNCTION("""COMPUTED_VALUE"""),"شيرين عزب")</f>
        <v>شيرين عزب</v>
      </c>
      <c r="D734" s="5"/>
      <c r="E734" s="5" t="str">
        <f>IFERROR(__xludf.DUMMYFUNCTION("""COMPUTED_VALUE"""),"EG01-EG02-EG03-EG04-EG05-EG06")</f>
        <v>EG01-EG02-EG03-EG04-EG05-EG06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 t="str">
        <f>IFERROR(__xludf.DUMMYFUNCTION("""COMPUTED_VALUE"""),"إلهام عرابي")</f>
        <v>إلهام عرابي</v>
      </c>
      <c r="B735" s="5" t="str">
        <f>IFERROR(__xludf.DUMMYFUNCTION("""COMPUTED_VALUE"""),"No ID")</f>
        <v>No ID</v>
      </c>
      <c r="C735" s="5" t="str">
        <f>IFERROR(__xludf.DUMMYFUNCTION("""COMPUTED_VALUE"""),"إلهام عرابي")</f>
        <v>إلهام عرابي</v>
      </c>
      <c r="D735" s="5"/>
      <c r="E735" s="5" t="str">
        <f>IFERROR(__xludf.DUMMYFUNCTION("""COMPUTED_VALUE"""),"EG01-EG02-EG03")</f>
        <v>EG01-EG02-EG03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 t="str">
        <f>IFERROR(__xludf.DUMMYFUNCTION("""COMPUTED_VALUE"""),"مروة بدير")</f>
        <v>مروة بدير</v>
      </c>
      <c r="B736" s="5" t="str">
        <f>IFERROR(__xludf.DUMMYFUNCTION("""COMPUTED_VALUE"""),"No ID")</f>
        <v>No ID</v>
      </c>
      <c r="C736" s="5" t="str">
        <f>IFERROR(__xludf.DUMMYFUNCTION("""COMPUTED_VALUE"""),"مروة بدير")</f>
        <v>مروة بدير</v>
      </c>
      <c r="D736" s="5"/>
      <c r="E736" s="5" t="str">
        <f>IFERROR(__xludf.DUMMYFUNCTION("""COMPUTED_VALUE"""),"EG07-EG08-EG09")</f>
        <v>EG07-EG08-EG09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 t="str">
        <f>IFERROR(__xludf.DUMMYFUNCTION("""COMPUTED_VALUE"""),"نورهان عصام")</f>
        <v>نورهان عصام</v>
      </c>
      <c r="B737" s="5" t="str">
        <f>IFERROR(__xludf.DUMMYFUNCTION("""COMPUTED_VALUE"""),"No ID")</f>
        <v>No ID</v>
      </c>
      <c r="C737" s="5" t="str">
        <f>IFERROR(__xludf.DUMMYFUNCTION("""COMPUTED_VALUE"""),"نورهان عصام")</f>
        <v>نورهان عصام</v>
      </c>
      <c r="D737" s="5"/>
      <c r="E737" s="5" t="str">
        <f>IFERROR(__xludf.DUMMYFUNCTION("""COMPUTED_VALUE"""),"EG01-EG02-EG03-EG04")</f>
        <v>EG01-EG02-EG03-EG04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 t="str">
        <f>IFERROR(__xludf.DUMMYFUNCTION("""COMPUTED_VALUE"""),"صابرين محمد")</f>
        <v>صابرين محمد</v>
      </c>
      <c r="B738" s="5" t="str">
        <f>IFERROR(__xludf.DUMMYFUNCTION("""COMPUTED_VALUE"""),"No ID")</f>
        <v>No ID</v>
      </c>
      <c r="C738" s="5" t="str">
        <f>IFERROR(__xludf.DUMMYFUNCTION("""COMPUTED_VALUE"""),"صابرين محمد")</f>
        <v>صابرين محمد</v>
      </c>
      <c r="D738" s="5"/>
      <c r="E738" s="5" t="str">
        <f>IFERROR(__xludf.DUMMYFUNCTION("""COMPUTED_VALUE"""),"EG01-EG02-EG03-EG04-EG05-EG06")</f>
        <v>EG01-EG02-EG03-EG04-EG05-EG06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 t="str">
        <f>IFERROR(__xludf.DUMMYFUNCTION("""COMPUTED_VALUE"""),"غادة أحمد")</f>
        <v>غادة أحمد</v>
      </c>
      <c r="B739" s="5" t="str">
        <f>IFERROR(__xludf.DUMMYFUNCTION("""COMPUTED_VALUE"""),"No ID")</f>
        <v>No ID</v>
      </c>
      <c r="C739" s="5" t="str">
        <f>IFERROR(__xludf.DUMMYFUNCTION("""COMPUTED_VALUE"""),"غادة أحمد")</f>
        <v>غادة أحمد</v>
      </c>
      <c r="D739" s="5"/>
      <c r="E739" s="5" t="str">
        <f>IFERROR(__xludf.DUMMYFUNCTION("""COMPUTED_VALUE"""),"EG01-EG02-EG03")</f>
        <v>EG01-EG02-EG03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 t="str">
        <f>IFERROR(__xludf.DUMMYFUNCTION("""COMPUTED_VALUE"""),"ريهام علام")</f>
        <v>ريهام علام</v>
      </c>
      <c r="B740" s="5" t="str">
        <f>IFERROR(__xludf.DUMMYFUNCTION("""COMPUTED_VALUE"""),"No ID")</f>
        <v>No ID</v>
      </c>
      <c r="C740" s="5" t="str">
        <f>IFERROR(__xludf.DUMMYFUNCTION("""COMPUTED_VALUE"""),"ريهام علام")</f>
        <v>ريهام علام</v>
      </c>
      <c r="D740" s="5"/>
      <c r="E740" s="5" t="str">
        <f>IFERROR(__xludf.DUMMYFUNCTION("""COMPUTED_VALUE"""),"EG04-EG05-EG06-EG07-EG08-EG09")</f>
        <v>EG04-EG05-EG06-EG07-EG08-EG09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 t="str">
        <f>IFERROR(__xludf.DUMMYFUNCTION("""COMPUTED_VALUE"""),"فاطمة عمر")</f>
        <v>فاطمة عمر</v>
      </c>
      <c r="B741" s="5" t="str">
        <f>IFERROR(__xludf.DUMMYFUNCTION("""COMPUTED_VALUE"""),"No ID")</f>
        <v>No ID</v>
      </c>
      <c r="C741" s="5" t="str">
        <f>IFERROR(__xludf.DUMMYFUNCTION("""COMPUTED_VALUE"""),"فاطمة عمر")</f>
        <v>فاطمة عمر</v>
      </c>
      <c r="D741" s="5"/>
      <c r="E741" s="5" t="str">
        <f>IFERROR(__xludf.DUMMYFUNCTION("""COMPUTED_VALUE"""),"EG04-EG05-EG06")</f>
        <v>EG04-EG05-EG06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 t="str">
        <f>IFERROR(__xludf.DUMMYFUNCTION("""COMPUTED_VALUE"""),"عبد المغني عبد العظيم")</f>
        <v>عبد المغني عبد العظيم</v>
      </c>
      <c r="B742" s="5" t="str">
        <f>IFERROR(__xludf.DUMMYFUNCTION("""COMPUTED_VALUE"""),"No ID")</f>
        <v>No ID</v>
      </c>
      <c r="C742" s="5" t="str">
        <f>IFERROR(__xludf.DUMMYFUNCTION("""COMPUTED_VALUE"""),"عبد المغني عبد العظيم")</f>
        <v>عبد المغني عبد العظيم</v>
      </c>
      <c r="D742" s="5"/>
      <c r="E742" s="5" t="str">
        <f>IFERROR(__xludf.DUMMYFUNCTION("""COMPUTED_VALUE"""),"EG07-EG08-EG09-EG10-EG11-EG12")</f>
        <v>EG07-EG08-EG09-EG10-EG11-EG12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 t="str">
        <f>IFERROR(__xludf.DUMMYFUNCTION("""COMPUTED_VALUE"""),"هادي عاطف")</f>
        <v>هادي عاطف</v>
      </c>
      <c r="B743" s="5" t="str">
        <f>IFERROR(__xludf.DUMMYFUNCTION("""COMPUTED_VALUE"""),"No ID")</f>
        <v>No ID</v>
      </c>
      <c r="C743" s="5" t="str">
        <f>IFERROR(__xludf.DUMMYFUNCTION("""COMPUTED_VALUE"""),"هادي عاطف")</f>
        <v>هادي عاطف</v>
      </c>
      <c r="D743" s="5"/>
      <c r="E743" s="5" t="str">
        <f>IFERROR(__xludf.DUMMYFUNCTION("""COMPUTED_VALUE"""),"EG03-EG04-EG05-EG06")</f>
        <v>EG03-EG04-EG05-EG06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 t="str">
        <f>IFERROR(__xludf.DUMMYFUNCTION("""COMPUTED_VALUE"""),"حلمي رضا")</f>
        <v>حلمي رضا</v>
      </c>
      <c r="B744" s="5" t="str">
        <f>IFERROR(__xludf.DUMMYFUNCTION("""COMPUTED_VALUE"""),"No ID")</f>
        <v>No ID</v>
      </c>
      <c r="C744" s="5" t="str">
        <f>IFERROR(__xludf.DUMMYFUNCTION("""COMPUTED_VALUE"""),"حلمي رضا")</f>
        <v>حلمي رضا</v>
      </c>
      <c r="D744" s="5"/>
      <c r="E744" s="5" t="str">
        <f>IFERROR(__xludf.DUMMYFUNCTION("""COMPUTED_VALUE"""),"EG07-EG08-EG09")</f>
        <v>EG07-EG08-EG09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 t="str">
        <f>IFERROR(__xludf.DUMMYFUNCTION("""COMPUTED_VALUE"""),"محمد حسنين")</f>
        <v>محمد حسنين</v>
      </c>
      <c r="B745" s="5" t="str">
        <f>IFERROR(__xludf.DUMMYFUNCTION("""COMPUTED_VALUE"""),"No ID")</f>
        <v>No ID</v>
      </c>
      <c r="C745" s="5" t="str">
        <f>IFERROR(__xludf.DUMMYFUNCTION("""COMPUTED_VALUE"""),"محمد حسنين")</f>
        <v>محمد حسنين</v>
      </c>
      <c r="D745" s="5"/>
      <c r="E745" s="5" t="str">
        <f>IFERROR(__xludf.DUMMYFUNCTION("""COMPUTED_VALUE"""),"EG01-EG02-EG03")</f>
        <v>EG01-EG02-EG03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 t="str">
        <f>IFERROR(__xludf.DUMMYFUNCTION("""COMPUTED_VALUE"""),"بثينة صابر")</f>
        <v>بثينة صابر</v>
      </c>
      <c r="B746" s="5" t="str">
        <f>IFERROR(__xludf.DUMMYFUNCTION("""COMPUTED_VALUE"""),"No ID")</f>
        <v>No ID</v>
      </c>
      <c r="C746" s="5" t="str">
        <f>IFERROR(__xludf.DUMMYFUNCTION("""COMPUTED_VALUE"""),"بثينة صابر")</f>
        <v>بثينة صابر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 t="str">
        <f>IFERROR(__xludf.DUMMYFUNCTION("""COMPUTED_VALUE"""),"وفاء ريان")</f>
        <v>وفاء ريان</v>
      </c>
      <c r="B747" s="5">
        <f>IFERROR(__xludf.DUMMYFUNCTION("""COMPUTED_VALUE"""),5.13101076505E11)</f>
        <v>513101076505</v>
      </c>
      <c r="C747" s="5" t="str">
        <f>IFERROR(__xludf.DUMMYFUNCTION("""COMPUTED_VALUE"""),"وفاء ريان")</f>
        <v>وفاء ريان</v>
      </c>
      <c r="D747" s="5">
        <f>IFERROR(__xludf.DUMMYFUNCTION("""COMPUTED_VALUE"""),2821.0)</f>
        <v>2821</v>
      </c>
      <c r="E747" s="5" t="str">
        <f>IFERROR(__xludf.DUMMYFUNCTION("""COMPUTED_VALUE"""),"EG03-EG04-EG05-EG06")</f>
        <v>EG03-EG04-EG05-EG06</v>
      </c>
      <c r="F747" s="5" t="str">
        <f>IFERROR(__xludf.DUMMYFUNCTION("""COMPUTED_VALUE"""),"wafaaryan348@gmail.com")</f>
        <v>wafaaryan348@gmail.com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 t="str">
        <f>IFERROR(__xludf.DUMMYFUNCTION("""COMPUTED_VALUE"""),"لوريس نشأت")</f>
        <v>لوريس نشأت</v>
      </c>
      <c r="B748" s="5">
        <f>IFERROR(__xludf.DUMMYFUNCTION("""COMPUTED_VALUE"""),4.07151345617E11)</f>
        <v>407151345617</v>
      </c>
      <c r="C748" s="5" t="str">
        <f>IFERROR(__xludf.DUMMYFUNCTION("""COMPUTED_VALUE"""),"لوريس نشأت")</f>
        <v>لوريس نشأت</v>
      </c>
      <c r="D748" s="5">
        <f>IFERROR(__xludf.DUMMYFUNCTION("""COMPUTED_VALUE"""),2819.0)</f>
        <v>2819</v>
      </c>
      <c r="E748" s="5" t="str">
        <f>IFERROR(__xludf.DUMMYFUNCTION("""COMPUTED_VALUE"""),"EG01-EG02-EG03")</f>
        <v>EG01-EG02-EG03</v>
      </c>
      <c r="F748" s="5" t="str">
        <f>IFERROR(__xludf.DUMMYFUNCTION("""COMPUTED_VALUE"""),"loreesnashaat@gmail.com")</f>
        <v>loreesnashaat@gmail.com</v>
      </c>
      <c r="G748" s="5" t="str">
        <f>IFERROR(__xludf.DUMMYFUNCTION("""COMPUTED_VALUE"""),"01223512495")</f>
        <v>01223512495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 t="str">
        <f>IFERROR(__xludf.DUMMYFUNCTION("""COMPUTED_VALUE"""),"سارة حمدي")</f>
        <v>سارة حمدي</v>
      </c>
      <c r="B749" s="5">
        <f>IFERROR(__xludf.DUMMYFUNCTION("""COMPUTED_VALUE"""),4.0514039285E11)</f>
        <v>405140392850</v>
      </c>
      <c r="C749" s="5" t="str">
        <f>IFERROR(__xludf.DUMMYFUNCTION("""COMPUTED_VALUE"""),"سارة حمدي")</f>
        <v>سارة حمدي</v>
      </c>
      <c r="D749" s="5">
        <f>IFERROR(__xludf.DUMMYFUNCTION("""COMPUTED_VALUE"""),2820.0)</f>
        <v>2820</v>
      </c>
      <c r="E749" s="5" t="str">
        <f>IFERROR(__xludf.DUMMYFUNCTION("""COMPUTED_VALUE"""),"EG03-EG04-EG05-EG06")</f>
        <v>EG03-EG04-EG05-EG06</v>
      </c>
      <c r="F749" s="5" t="str">
        <f>IFERROR(__xludf.DUMMYFUNCTION("""COMPUTED_VALUE"""),"sarahamdy.hamza2015@gmail.com")</f>
        <v>sarahamdy.hamza2015@gmail.com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 t="str">
        <f>IFERROR(__xludf.DUMMYFUNCTION("""COMPUTED_VALUE"""),"مي حسن")</f>
        <v>مي حسن</v>
      </c>
      <c r="B750" s="5">
        <f>IFERROR(__xludf.DUMMYFUNCTION("""COMPUTED_VALUE"""),4.64168323849E11)</f>
        <v>464168323849</v>
      </c>
      <c r="C750" s="5" t="str">
        <f>IFERROR(__xludf.DUMMYFUNCTION("""COMPUTED_VALUE"""),"مي حسن")</f>
        <v>مي حسن</v>
      </c>
      <c r="D750" s="5">
        <f>IFERROR(__xludf.DUMMYFUNCTION("""COMPUTED_VALUE"""),2822.0)</f>
        <v>2822</v>
      </c>
      <c r="E750" s="5" t="str">
        <f>IFERROR(__xludf.DUMMYFUNCTION("""COMPUTED_VALUE"""),"EG01-EG02-EG03")</f>
        <v>EG01-EG02-EG03</v>
      </c>
      <c r="F750" s="5" t="str">
        <f>IFERROR(__xludf.DUMMYFUNCTION("""COMPUTED_VALUE"""),"maihassan1234567@gmail.com")</f>
        <v>maihassan1234567@gmail.com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 t="str">
        <f>IFERROR(__xludf.DUMMYFUNCTION("""COMPUTED_VALUE"""),"شيري ألبرت")</f>
        <v>شيري ألبرت</v>
      </c>
      <c r="B751" s="5">
        <f>IFERROR(__xludf.DUMMYFUNCTION("""COMPUTED_VALUE"""),7.57172427325E11)</f>
        <v>757172427325</v>
      </c>
      <c r="C751" s="5" t="str">
        <f>IFERROR(__xludf.DUMMYFUNCTION("""COMPUTED_VALUE"""),"شيري ألبرت")</f>
        <v>شيري ألبرت</v>
      </c>
      <c r="D751" s="5" t="str">
        <f>IFERROR(__xludf.DUMMYFUNCTION("""COMPUTED_VALUE"""),"#N/A")</f>
        <v>#N/A</v>
      </c>
      <c r="E751" s="5"/>
      <c r="F751" s="5" t="str">
        <f>IFERROR(__xludf.DUMMYFUNCTION("""COMPUTED_VALUE"""),"chery_albert@yahoo.com")</f>
        <v>chery_albert@yahoo.com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 t="str">
        <f>IFERROR(__xludf.DUMMYFUNCTION("""COMPUTED_VALUE"""),"مونيكا سيدهم")</f>
        <v>مونيكا سيدهم</v>
      </c>
      <c r="B752" s="5">
        <f>IFERROR(__xludf.DUMMYFUNCTION("""COMPUTED_VALUE"""),9.59169674853E11)</f>
        <v>959169674853</v>
      </c>
      <c r="C752" s="5" t="str">
        <f>IFERROR(__xludf.DUMMYFUNCTION("""COMPUTED_VALUE"""),"مونيكا سيدهم")</f>
        <v>مونيكا سيدهم</v>
      </c>
      <c r="D752" s="5" t="str">
        <f>IFERROR(__xludf.DUMMYFUNCTION("""COMPUTED_VALUE"""),"#N/A")</f>
        <v>#N/A</v>
      </c>
      <c r="E752" s="5"/>
      <c r="F752" s="5" t="str">
        <f>IFERROR(__xludf.DUMMYFUNCTION("""COMPUTED_VALUE"""),"monique_sidhom@hotmail.com")</f>
        <v>monique_sidhom@hotmail.com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 t="str">
        <f>IFERROR(__xludf.DUMMYFUNCTION("""COMPUTED_VALUE"""),"مارينا توما")</f>
        <v>مارينا توما</v>
      </c>
      <c r="B753" s="5">
        <f>IFERROR(__xludf.DUMMYFUNCTION("""COMPUTED_VALUE"""),5.87141808045E11)</f>
        <v>587141808045</v>
      </c>
      <c r="C753" s="5" t="str">
        <f>IFERROR(__xludf.DUMMYFUNCTION("""COMPUTED_VALUE"""),"مارينا توما")</f>
        <v>مارينا توما</v>
      </c>
      <c r="D753" s="5" t="str">
        <f>IFERROR(__xludf.DUMMYFUNCTION("""COMPUTED_VALUE"""),"#N/A")</f>
        <v>#N/A</v>
      </c>
      <c r="E753" s="5"/>
      <c r="F753" s="5" t="str">
        <f>IFERROR(__xludf.DUMMYFUNCTION("""COMPUTED_VALUE"""),"newmarina90@gmail.com")</f>
        <v>newmarina90@gmail.com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 t="str">
        <f>IFERROR(__xludf.DUMMYFUNCTION("""COMPUTED_VALUE"""),"آمال عبد العزيز")</f>
        <v>آمال عبد العزيز</v>
      </c>
      <c r="B754" s="5">
        <f>IFERROR(__xludf.DUMMYFUNCTION("""COMPUTED_VALUE"""),5.02162104916E11)</f>
        <v>502162104916</v>
      </c>
      <c r="C754" s="5" t="str">
        <f>IFERROR(__xludf.DUMMYFUNCTION("""COMPUTED_VALUE"""),"آمال عبد العزيز")</f>
        <v>آمال عبد العزيز</v>
      </c>
      <c r="D754" s="5" t="str">
        <f>IFERROR(__xludf.DUMMYFUNCTION("""COMPUTED_VALUE"""),"#N/A")</f>
        <v>#N/A</v>
      </c>
      <c r="E754" s="5"/>
      <c r="F754" s="5" t="str">
        <f>IFERROR(__xludf.DUMMYFUNCTION("""COMPUTED_VALUE"""),"amaal.abdelaziz@nagwa.com")</f>
        <v>amaal.abdelaziz@nagwa.com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 t="str">
        <f>IFERROR(__xludf.DUMMYFUNCTION("""COMPUTED_VALUE"""),"هبة الله موسى")</f>
        <v>هبة الله موسى</v>
      </c>
      <c r="B755" s="5">
        <f>IFERROR(__xludf.DUMMYFUNCTION("""COMPUTED_VALUE"""),9.76138623056E11)</f>
        <v>976138623056</v>
      </c>
      <c r="C755" s="5" t="str">
        <f>IFERROR(__xludf.DUMMYFUNCTION("""COMPUTED_VALUE"""),"هبة الله موسى")</f>
        <v>هبة الله موسى</v>
      </c>
      <c r="D755" s="5" t="str">
        <f>IFERROR(__xludf.DUMMYFUNCTION("""COMPUTED_VALUE"""),"#N/A")</f>
        <v>#N/A</v>
      </c>
      <c r="E755" s="5"/>
      <c r="F755" s="5" t="str">
        <f>IFERROR(__xludf.DUMMYFUNCTION("""COMPUTED_VALUE"""),"hebtollah.mosa@nagwa.com")</f>
        <v>hebtollah.mosa@nagwa.com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 t="str">
        <f>IFERROR(__xludf.DUMMYFUNCTION("""COMPUTED_VALUE"""),"آية عبد الرحمن")</f>
        <v>آية عبد الرحمن</v>
      </c>
      <c r="B756" s="5">
        <f>IFERROR(__xludf.DUMMYFUNCTION("""COMPUTED_VALUE"""),4.2915143053E11)</f>
        <v>429151430530</v>
      </c>
      <c r="C756" s="5" t="str">
        <f>IFERROR(__xludf.DUMMYFUNCTION("""COMPUTED_VALUE"""),"آية عبد الرحمن")</f>
        <v>آية عبد الرحمن</v>
      </c>
      <c r="D756" s="5" t="str">
        <f>IFERROR(__xludf.DUMMYFUNCTION("""COMPUTED_VALUE"""),"#N/A")</f>
        <v>#N/A</v>
      </c>
      <c r="E756" s="5"/>
      <c r="F756" s="5" t="str">
        <f>IFERROR(__xludf.DUMMYFUNCTION("""COMPUTED_VALUE"""),"aya.kallousa2003@gmail.com")</f>
        <v>aya.kallousa2003@gmail.com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 t="str">
        <f>IFERROR(__xludf.DUMMYFUNCTION("""COMPUTED_VALUE"""),"بيشوي مجدي")</f>
        <v>بيشوي مجدي</v>
      </c>
      <c r="B757" s="5">
        <f>IFERROR(__xludf.DUMMYFUNCTION("""COMPUTED_VALUE"""),8.25149219294E11)</f>
        <v>825149219294</v>
      </c>
      <c r="C757" s="5" t="str">
        <f>IFERROR(__xludf.DUMMYFUNCTION("""COMPUTED_VALUE"""),"بيشوي مجدي")</f>
        <v>بيشوي مجدي</v>
      </c>
      <c r="D757" s="5">
        <f>IFERROR(__xludf.DUMMYFUNCTION("""COMPUTED_VALUE"""),2832.0)</f>
        <v>2832</v>
      </c>
      <c r="E757" s="5" t="str">
        <f>IFERROR(__xludf.DUMMYFUNCTION("""COMPUTED_VALUE"""),"EG07-EG08-EG09")</f>
        <v>EG07-EG08-EG09</v>
      </c>
      <c r="F757" s="5" t="str">
        <f>IFERROR(__xludf.DUMMYFUNCTION("""COMPUTED_VALUE"""),"bishoymagdy82@gmail.com")</f>
        <v>bishoymagdy82@gmail.com</v>
      </c>
      <c r="G757" s="5" t="str">
        <f>IFERROR(__xludf.DUMMYFUNCTION("""COMPUTED_VALUE"""),"01226557050")</f>
        <v>01226557050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 t="str">
        <f>IFERROR(__xludf.DUMMYFUNCTION("""COMPUTED_VALUE"""),"فرج رزق")</f>
        <v>فرج رزق</v>
      </c>
      <c r="B758" s="5">
        <f>IFERROR(__xludf.DUMMYFUNCTION("""COMPUTED_VALUE"""),4.58108584108E11)</f>
        <v>458108584108</v>
      </c>
      <c r="C758" s="5" t="str">
        <f>IFERROR(__xludf.DUMMYFUNCTION("""COMPUTED_VALUE"""),"فرج رزق")</f>
        <v>فرج رزق</v>
      </c>
      <c r="D758" s="5">
        <f>IFERROR(__xludf.DUMMYFUNCTION("""COMPUTED_VALUE"""),2851.0)</f>
        <v>2851</v>
      </c>
      <c r="E758" s="5" t="str">
        <f>IFERROR(__xludf.DUMMYFUNCTION("""COMPUTED_VALUE"""),"EG10")</f>
        <v>EG10</v>
      </c>
      <c r="F758" s="5" t="str">
        <f>IFERROR(__xludf.DUMMYFUNCTION("""COMPUTED_VALUE"""),"faragreezk123@gmail.com")</f>
        <v>faragreezk123@gmail.com</v>
      </c>
      <c r="G758" s="5" t="str">
        <f>IFERROR(__xludf.DUMMYFUNCTION("""COMPUTED_VALUE"""),"01064174270")</f>
        <v>01064174270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 t="str">
        <f>IFERROR(__xludf.DUMMYFUNCTION("""COMPUTED_VALUE"""),"محمد حسين")</f>
        <v>محمد حسين</v>
      </c>
      <c r="B759" s="5">
        <f>IFERROR(__xludf.DUMMYFUNCTION("""COMPUTED_VALUE"""),6.53130960231E11)</f>
        <v>653130960231</v>
      </c>
      <c r="C759" s="5" t="str">
        <f>IFERROR(__xludf.DUMMYFUNCTION("""COMPUTED_VALUE"""),"محمد حسين")</f>
        <v>محمد حسين</v>
      </c>
      <c r="D759" s="5">
        <f>IFERROR(__xludf.DUMMYFUNCTION("""COMPUTED_VALUE"""),2839.0)</f>
        <v>2839</v>
      </c>
      <c r="E759" s="5" t="str">
        <f>IFERROR(__xludf.DUMMYFUNCTION("""COMPUTED_VALUE"""),"EG07-EG08-EG09")</f>
        <v>EG07-EG08-EG09</v>
      </c>
      <c r="F759" s="5" t="str">
        <f>IFERROR(__xludf.DUMMYFUNCTION("""COMPUTED_VALUE"""),"mohamedhussain5078@gmail.com")</f>
        <v>mohamedhussain5078@gmail.com</v>
      </c>
      <c r="G759" s="5" t="str">
        <f>IFERROR(__xludf.DUMMYFUNCTION("""COMPUTED_VALUE"""),"01095569461")</f>
        <v>01095569461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 t="str">
        <f>IFERROR(__xludf.DUMMYFUNCTION("""COMPUTED_VALUE"""),"شيرين جمال")</f>
        <v>شيرين جمال</v>
      </c>
      <c r="B760" s="5">
        <f>IFERROR(__xludf.DUMMYFUNCTION("""COMPUTED_VALUE"""),1.27152579046E11)</f>
        <v>127152579046</v>
      </c>
      <c r="C760" s="5" t="str">
        <f>IFERROR(__xludf.DUMMYFUNCTION("""COMPUTED_VALUE"""),"شيرين جمال")</f>
        <v>شيرين جمال</v>
      </c>
      <c r="D760" s="5">
        <f>IFERROR(__xludf.DUMMYFUNCTION("""COMPUTED_VALUE"""),2842.0)</f>
        <v>2842</v>
      </c>
      <c r="E760" s="5" t="str">
        <f>IFERROR(__xludf.DUMMYFUNCTION("""COMPUTED_VALUE"""),"EG03-EG04-EG05-EG06")</f>
        <v>EG03-EG04-EG05-EG06</v>
      </c>
      <c r="F760" s="5" t="str">
        <f>IFERROR(__xludf.DUMMYFUNCTION("""COMPUTED_VALUE"""),"miss.shirengamal@yahoo.com")</f>
        <v>miss.shirengamal@yahoo.com</v>
      </c>
      <c r="G760" s="5" t="str">
        <f>IFERROR(__xludf.DUMMYFUNCTION("""COMPUTED_VALUE"""),"01276234136")</f>
        <v>01276234136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 t="str">
        <f>IFERROR(__xludf.DUMMYFUNCTION("""COMPUTED_VALUE"""),"غادة شعبان")</f>
        <v>غادة شعبان</v>
      </c>
      <c r="B761" s="5">
        <f>IFERROR(__xludf.DUMMYFUNCTION("""COMPUTED_VALUE"""),6.35140735816E11)</f>
        <v>635140735816</v>
      </c>
      <c r="C761" s="5" t="str">
        <f>IFERROR(__xludf.DUMMYFUNCTION("""COMPUTED_VALUE"""),"غادة شعبان")</f>
        <v>غادة شعبان</v>
      </c>
      <c r="D761" s="5">
        <f>IFERROR(__xludf.DUMMYFUNCTION("""COMPUTED_VALUE"""),2848.0)</f>
        <v>2848</v>
      </c>
      <c r="E761" s="5" t="str">
        <f>IFERROR(__xludf.DUMMYFUNCTION("""COMPUTED_VALUE"""),"EG07-EG08-EG09-EG10-EG11-EG12")</f>
        <v>EG07-EG08-EG09-EG10-EG11-EG12</v>
      </c>
      <c r="F761" s="5" t="str">
        <f>IFERROR(__xludf.DUMMYFUNCTION("""COMPUTED_VALUE"""),"ghada.shaaban365@gmail.com")</f>
        <v>ghada.shaaban365@gmail.com</v>
      </c>
      <c r="G761" s="5" t="str">
        <f>IFERROR(__xludf.DUMMYFUNCTION("""COMPUTED_VALUE"""),"01281384364")</f>
        <v>01281384364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 t="str">
        <f>IFERROR(__xludf.DUMMYFUNCTION("""COMPUTED_VALUE"""),"بسيوني محمد")</f>
        <v>بسيوني محمد</v>
      </c>
      <c r="B762" s="5">
        <f>IFERROR(__xludf.DUMMYFUNCTION("""COMPUTED_VALUE"""),8.0310494674E11)</f>
        <v>803104946740</v>
      </c>
      <c r="C762" s="5" t="str">
        <f>IFERROR(__xludf.DUMMYFUNCTION("""COMPUTED_VALUE"""),"بسيوني محمد")</f>
        <v>بسيوني محمد</v>
      </c>
      <c r="D762" s="5">
        <f>IFERROR(__xludf.DUMMYFUNCTION("""COMPUTED_VALUE"""),2754.0)</f>
        <v>2754</v>
      </c>
      <c r="E762" s="5" t="str">
        <f>IFERROR(__xludf.DUMMYFUNCTION("""COMPUTED_VALUE"""),"EG04-EG05-EG06")</f>
        <v>EG04-EG05-EG06</v>
      </c>
      <c r="F762" s="5" t="str">
        <f>IFERROR(__xludf.DUMMYFUNCTION("""COMPUTED_VALUE"""),"basyouni.3d@gmail.com")</f>
        <v>basyouni.3d@gmail.com</v>
      </c>
      <c r="G762" s="5" t="str">
        <f>IFERROR(__xludf.DUMMYFUNCTION("""COMPUTED_VALUE"""),"+201008786722")</f>
        <v>+201008786722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 t="str">
        <f>IFERROR(__xludf.DUMMYFUNCTION("""COMPUTED_VALUE"""),"صفاء زيدان")</f>
        <v>صفاء زيدان</v>
      </c>
      <c r="B763" s="5">
        <f>IFERROR(__xludf.DUMMYFUNCTION("""COMPUTED_VALUE"""),3.89136139475E11)</f>
        <v>389136139475</v>
      </c>
      <c r="C763" s="5" t="str">
        <f>IFERROR(__xludf.DUMMYFUNCTION("""COMPUTED_VALUE"""),"صفاء زيدان")</f>
        <v>صفاء زيدان</v>
      </c>
      <c r="D763" s="5">
        <f>IFERROR(__xludf.DUMMYFUNCTION("""COMPUTED_VALUE"""),2834.0)</f>
        <v>2834</v>
      </c>
      <c r="E763" s="5" t="str">
        <f>IFERROR(__xludf.DUMMYFUNCTION("""COMPUTED_VALUE"""),"EG01-EG02-EG03")</f>
        <v>EG01-EG02-EG03</v>
      </c>
      <c r="F763" s="5" t="str">
        <f>IFERROR(__xludf.DUMMYFUNCTION("""COMPUTED_VALUE"""),"safaazidan44@gmail.com")</f>
        <v>safaazidan44@gmail.com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 t="str">
        <f>IFERROR(__xludf.DUMMYFUNCTION("""COMPUTED_VALUE"""),"ياسمين حسن")</f>
        <v>ياسمين حسن</v>
      </c>
      <c r="B764" s="5">
        <f>IFERROR(__xludf.DUMMYFUNCTION("""COMPUTED_VALUE"""),4.74179052159E11)</f>
        <v>474179052159</v>
      </c>
      <c r="C764" s="5" t="str">
        <f>IFERROR(__xludf.DUMMYFUNCTION("""COMPUTED_VALUE"""),"ياسمين حسن")</f>
        <v>ياسمين حسن</v>
      </c>
      <c r="D764" s="5">
        <f>IFERROR(__xludf.DUMMYFUNCTION("""COMPUTED_VALUE"""),2829.0)</f>
        <v>2829</v>
      </c>
      <c r="E764" s="5" t="str">
        <f>IFERROR(__xludf.DUMMYFUNCTION("""COMPUTED_VALUE"""),"EG04-EG05-EG06-EG07-EG08-EG09")</f>
        <v>EG04-EG05-EG06-EG07-EG08-EG09</v>
      </c>
      <c r="F764" s="5" t="str">
        <f>IFERROR(__xludf.DUMMYFUNCTION("""COMPUTED_VALUE"""),"gadallahyasmine@gmail.com")</f>
        <v>gadallahyasmine@gmail.com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 t="str">
        <f>IFERROR(__xludf.DUMMYFUNCTION("""COMPUTED_VALUE"""),"ماريا وهيب")</f>
        <v>ماريا وهيب</v>
      </c>
      <c r="B765" s="5">
        <f>IFERROR(__xludf.DUMMYFUNCTION("""COMPUTED_VALUE"""),4.18150453208E11)</f>
        <v>418150453208</v>
      </c>
      <c r="C765" s="5" t="str">
        <f>IFERROR(__xludf.DUMMYFUNCTION("""COMPUTED_VALUE"""),"ماريا وهيب")</f>
        <v>ماريا وهيب</v>
      </c>
      <c r="D765" s="5">
        <f>IFERROR(__xludf.DUMMYFUNCTION("""COMPUTED_VALUE"""),2840.0)</f>
        <v>2840</v>
      </c>
      <c r="E765" s="5" t="str">
        <f>IFERROR(__xludf.DUMMYFUNCTION("""COMPUTED_VALUE"""),"EG01-EG02-EG03")</f>
        <v>EG01-EG02-EG03</v>
      </c>
      <c r="F765" s="5" t="str">
        <f>IFERROR(__xludf.DUMMYFUNCTION("""COMPUTED_VALUE"""),"mariawahib600@gmail.com")</f>
        <v>mariawahib600@gmail.com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 t="str">
        <f>IFERROR(__xludf.DUMMYFUNCTION("""COMPUTED_VALUE"""),"خيري كمال")</f>
        <v>خيري كمال</v>
      </c>
      <c r="B766" s="5">
        <f>IFERROR(__xludf.DUMMYFUNCTION("""COMPUTED_VALUE"""),5.9210284371E11)</f>
        <v>592102843710</v>
      </c>
      <c r="C766" s="5" t="str">
        <f>IFERROR(__xludf.DUMMYFUNCTION("""COMPUTED_VALUE"""),"خيري كمال")</f>
        <v>خيري كمال</v>
      </c>
      <c r="D766" s="5">
        <f>IFERROR(__xludf.DUMMYFUNCTION("""COMPUTED_VALUE"""),2841.0)</f>
        <v>2841</v>
      </c>
      <c r="E766" s="5" t="str">
        <f>IFERROR(__xludf.DUMMYFUNCTION("""COMPUTED_VALUE"""),"EG07-EG08-EG09")</f>
        <v>EG07-EG08-EG09</v>
      </c>
      <c r="F766" s="5" t="str">
        <f>IFERROR(__xludf.DUMMYFUNCTION("""COMPUTED_VALUE"""),"khairykamal63@gmail.com")</f>
        <v>khairykamal63@gmail.com</v>
      </c>
      <c r="G766" s="5">
        <f>IFERROR(__xludf.DUMMYFUNCTION("""COMPUTED_VALUE"""),1.003571622E9)</f>
        <v>1003571622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 t="str">
        <f>IFERROR(__xludf.DUMMYFUNCTION("""COMPUTED_VALUE"""),"هبة أنور")</f>
        <v>هبة أنور</v>
      </c>
      <c r="B767" s="5">
        <f>IFERROR(__xludf.DUMMYFUNCTION("""COMPUTED_VALUE"""),8.76191464085E11)</f>
        <v>876191464085</v>
      </c>
      <c r="C767" s="5" t="str">
        <f>IFERROR(__xludf.DUMMYFUNCTION("""COMPUTED_VALUE"""),"هبة أنور")</f>
        <v>هبة أنور</v>
      </c>
      <c r="D767" s="5"/>
      <c r="E767" s="5" t="str">
        <f>IFERROR(__xludf.DUMMYFUNCTION("""COMPUTED_VALUE"""),"EG03-EG04-EG05-EG06")</f>
        <v>EG03-EG04-EG05-EG06</v>
      </c>
      <c r="F767" s="5" t="str">
        <f>IFERROR(__xludf.DUMMYFUNCTION("""COMPUTED_VALUE"""),"hebakasem371988@gmail.com")</f>
        <v>hebakasem371988@gmail.com</v>
      </c>
      <c r="G767" s="5" t="str">
        <f>IFERROR(__xludf.DUMMYFUNCTION("""COMPUTED_VALUE"""),"01013304685")</f>
        <v>01013304685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 t="str">
        <f>IFERROR(__xludf.DUMMYFUNCTION("""COMPUTED_VALUE"""),"سارة عبد المحسن")</f>
        <v>سارة عبد المحسن</v>
      </c>
      <c r="B768" s="5">
        <f>IFERROR(__xludf.DUMMYFUNCTION("""COMPUTED_VALUE"""),2.94190482125E11)</f>
        <v>294190482125</v>
      </c>
      <c r="C768" s="5" t="str">
        <f>IFERROR(__xludf.DUMMYFUNCTION("""COMPUTED_VALUE"""),"سارة عبد المحسن")</f>
        <v>سارة عبد المحسن</v>
      </c>
      <c r="D768" s="5">
        <f>IFERROR(__xludf.DUMMYFUNCTION("""COMPUTED_VALUE"""),2871.0)</f>
        <v>2871</v>
      </c>
      <c r="E768" s="5" t="str">
        <f>IFERROR(__xludf.DUMMYFUNCTION("""COMPUTED_VALUE"""),"EG01-EG02-EG03-EG04-EG05-EG06-EG07")</f>
        <v>EG01-EG02-EG03-EG04-EG05-EG06-EG07</v>
      </c>
      <c r="F768" s="5" t="str">
        <f>IFERROR(__xludf.DUMMYFUNCTION("""COMPUTED_VALUE"""),"nana.sasa253@gmail.com")</f>
        <v>nana.sasa253@gmail.com</v>
      </c>
      <c r="G768" s="5" t="str">
        <f>IFERROR(__xludf.DUMMYFUNCTION("""COMPUTED_VALUE"""),"01210143366")</f>
        <v>01210143366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 t="str">
        <f>IFERROR(__xludf.DUMMYFUNCTION("""COMPUTED_VALUE"""),"جاد الحسيني")</f>
        <v>جاد الحسيني</v>
      </c>
      <c r="B769" s="5">
        <f>IFERROR(__xludf.DUMMYFUNCTION("""COMPUTED_VALUE"""),8.57187871618E11)</f>
        <v>857187871618</v>
      </c>
      <c r="C769" s="5" t="str">
        <f>IFERROR(__xludf.DUMMYFUNCTION("""COMPUTED_VALUE"""),"جاد الحسيني")</f>
        <v>جاد الحسيني</v>
      </c>
      <c r="D769" s="5">
        <f>IFERROR(__xludf.DUMMYFUNCTION("""COMPUTED_VALUE"""),2870.0)</f>
        <v>2870</v>
      </c>
      <c r="E769" s="5" t="str">
        <f>IFERROR(__xludf.DUMMYFUNCTION("""COMPUTED_VALUE"""),"EG03-EG04-EG05-EG06")</f>
        <v>EG03-EG04-EG05-EG06</v>
      </c>
      <c r="F769" s="5" t="str">
        <f>IFERROR(__xludf.DUMMYFUNCTION("""COMPUTED_VALUE"""),"gad17197@gmail.com")</f>
        <v>gad17197@gmail.com</v>
      </c>
      <c r="G769" s="5" t="str">
        <f>IFERROR(__xludf.DUMMYFUNCTION("""COMPUTED_VALUE"""),"01005619745")</f>
        <v>01005619745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 t="str">
        <f>IFERROR(__xludf.DUMMYFUNCTION("""COMPUTED_VALUE"""),"عبد الله عبد الحليم")</f>
        <v>عبد الله عبد الحليم</v>
      </c>
      <c r="B770" s="5">
        <f>IFERROR(__xludf.DUMMYFUNCTION("""COMPUTED_VALUE"""),1.23132713791E11)</f>
        <v>123132713791</v>
      </c>
      <c r="C770" s="5" t="str">
        <f>IFERROR(__xludf.DUMMYFUNCTION("""COMPUTED_VALUE"""),"عبد الله عبد الحليم")</f>
        <v>عبد الله عبد الحليم</v>
      </c>
      <c r="D770" s="5">
        <f>IFERROR(__xludf.DUMMYFUNCTION("""COMPUTED_VALUE"""),2853.0)</f>
        <v>2853</v>
      </c>
      <c r="E770" s="5" t="str">
        <f>IFERROR(__xludf.DUMMYFUNCTION("""COMPUTED_VALUE"""),"EG03-EG04-EG05-EG06")</f>
        <v>EG03-EG04-EG05-EG06</v>
      </c>
      <c r="F770" s="5" t="str">
        <f>IFERROR(__xludf.DUMMYFUNCTION("""COMPUTED_VALUE"""),"abdallah20111995@gmail.com")</f>
        <v>abdallah20111995@gmail.com</v>
      </c>
      <c r="G770" s="5">
        <f>IFERROR(__xludf.DUMMYFUNCTION("""COMPUTED_VALUE"""),1.117321211E9)</f>
        <v>1117321211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 t="str">
        <f>IFERROR(__xludf.DUMMYFUNCTION("""COMPUTED_VALUE"""),"هدير عبد المحسن")</f>
        <v>هدير عبد المحسن</v>
      </c>
      <c r="B771" s="5">
        <f>IFERROR(__xludf.DUMMYFUNCTION("""COMPUTED_VALUE"""),4.17194809016E11)</f>
        <v>417194809016</v>
      </c>
      <c r="C771" s="5" t="str">
        <f>IFERROR(__xludf.DUMMYFUNCTION("""COMPUTED_VALUE"""),"هدير عبد المحسن")</f>
        <v>هدير عبد المحسن</v>
      </c>
      <c r="D771" s="5">
        <f>IFERROR(__xludf.DUMMYFUNCTION("""COMPUTED_VALUE"""),2875.0)</f>
        <v>2875</v>
      </c>
      <c r="E771" s="5" t="str">
        <f>IFERROR(__xludf.DUMMYFUNCTION("""COMPUTED_VALUE"""),"EG01-EG02-EG03-EG04-EG05-EG06")</f>
        <v>EG01-EG02-EG03-EG04-EG05-EG06</v>
      </c>
      <c r="F771" s="5" t="str">
        <f>IFERROR(__xludf.DUMMYFUNCTION("""COMPUTED_VALUE"""),"dodym0883@gmail.com")</f>
        <v>dodym0883@gmail.com</v>
      </c>
      <c r="G771" s="5" t="str">
        <f>IFERROR(__xludf.DUMMYFUNCTION("""COMPUTED_VALUE"""),"01207771809")</f>
        <v>01207771809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 t="str">
        <f>IFERROR(__xludf.DUMMYFUNCTION("""COMPUTED_VALUE"""),"إكرامي شرارة")</f>
        <v>إكرامي شرارة</v>
      </c>
      <c r="B772" s="5">
        <f>IFERROR(__xludf.DUMMYFUNCTION("""COMPUTED_VALUE"""),3.80138081706E11)</f>
        <v>380138081706</v>
      </c>
      <c r="C772" s="5" t="str">
        <f>IFERROR(__xludf.DUMMYFUNCTION("""COMPUTED_VALUE"""),"إكرامي شرارة")</f>
        <v>إكرامي شرارة</v>
      </c>
      <c r="D772" s="5" t="str">
        <f>IFERROR(__xludf.DUMMYFUNCTION("""COMPUTED_VALUE"""),"#N/A")</f>
        <v>#N/A</v>
      </c>
      <c r="E772" s="5"/>
      <c r="F772" s="5" t="str">
        <f>IFERROR(__xludf.DUMMYFUNCTION("""COMPUTED_VALUE"""),"ekramesharara@gmail.com")</f>
        <v>ekramesharara@gmail.com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 t="str">
        <f>IFERROR(__xludf.DUMMYFUNCTION("""COMPUTED_VALUE"""),"رضوى مصطفى")</f>
        <v>رضوى مصطفى</v>
      </c>
      <c r="B773" s="5">
        <f>IFERROR(__xludf.DUMMYFUNCTION("""COMPUTED_VALUE"""),3.75183747813E11)</f>
        <v>375183747813</v>
      </c>
      <c r="C773" s="5" t="str">
        <f>IFERROR(__xludf.DUMMYFUNCTION("""COMPUTED_VALUE"""),"رضوى مصطفى")</f>
        <v>رضوى مصطفى</v>
      </c>
      <c r="D773" s="5">
        <f>IFERROR(__xludf.DUMMYFUNCTION("""COMPUTED_VALUE"""),2857.0)</f>
        <v>2857</v>
      </c>
      <c r="E773" s="5" t="str">
        <f>IFERROR(__xludf.DUMMYFUNCTION("""COMPUTED_VALUE"""),"EG01-EG02-EG03")</f>
        <v>EG01-EG02-EG03</v>
      </c>
      <c r="F773" s="5" t="str">
        <f>IFERROR(__xludf.DUMMYFUNCTION("""COMPUTED_VALUE"""),"mostafaradwa190@gmail.com")</f>
        <v>mostafaradwa190@gmail.com</v>
      </c>
      <c r="G773" s="5" t="str">
        <f>IFERROR(__xludf.DUMMYFUNCTION("""COMPUTED_VALUE"""),"01280110379")</f>
        <v>01280110379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 t="str">
        <f>IFERROR(__xludf.DUMMYFUNCTION("""COMPUTED_VALUE"""),"وجدان عبد الرازق")</f>
        <v>وجدان عبد الرازق</v>
      </c>
      <c r="B774" s="5">
        <f>IFERROR(__xludf.DUMMYFUNCTION("""COMPUTED_VALUE"""),5.18178303713E11)</f>
        <v>518178303713</v>
      </c>
      <c r="C774" s="5" t="str">
        <f>IFERROR(__xludf.DUMMYFUNCTION("""COMPUTED_VALUE"""),"وجدان عبد الرازق")</f>
        <v>وجدان عبد الرازق</v>
      </c>
      <c r="D774" s="5">
        <f>IFERROR(__xludf.DUMMYFUNCTION("""COMPUTED_VALUE"""),2855.0)</f>
        <v>2855</v>
      </c>
      <c r="E774" s="5" t="str">
        <f>IFERROR(__xludf.DUMMYFUNCTION("""COMPUTED_VALUE"""),"EG07-EG08-EG09")</f>
        <v>EG07-EG08-EG09</v>
      </c>
      <c r="F774" s="5" t="str">
        <f>IFERROR(__xludf.DUMMYFUNCTION("""COMPUTED_VALUE"""),"wegawega1989@gmail.com")</f>
        <v>wegawega1989@gmail.com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 t="str">
        <f>IFERROR(__xludf.DUMMYFUNCTION("""COMPUTED_VALUE"""),"محمد عبد القادر")</f>
        <v>محمد عبد القادر</v>
      </c>
      <c r="B775" s="5">
        <f>IFERROR(__xludf.DUMMYFUNCTION("""COMPUTED_VALUE"""),3.19189603602E11)</f>
        <v>319189603602</v>
      </c>
      <c r="C775" s="5" t="str">
        <f>IFERROR(__xludf.DUMMYFUNCTION("""COMPUTED_VALUE"""),"محمد عبد القادر")</f>
        <v>محمد عبد القادر</v>
      </c>
      <c r="D775" s="5">
        <f>IFERROR(__xludf.DUMMYFUNCTION("""COMPUTED_VALUE"""),2850.0)</f>
        <v>2850</v>
      </c>
      <c r="E775" s="5" t="str">
        <f>IFERROR(__xludf.DUMMYFUNCTION("""COMPUTED_VALUE"""),"EG07-EG08-EG09")</f>
        <v>EG07-EG08-EG09</v>
      </c>
      <c r="F775" s="5" t="str">
        <f>IFERROR(__xludf.DUMMYFUNCTION("""COMPUTED_VALUE"""),"mohamed1996shaban23@gmail.com")</f>
        <v>mohamed1996shaban23@gmail.com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 t="str">
        <f>IFERROR(__xludf.DUMMYFUNCTION("""COMPUTED_VALUE"""),"ثابت محمد")</f>
        <v>ثابت محمد</v>
      </c>
      <c r="B776" s="5">
        <f>IFERROR(__xludf.DUMMYFUNCTION("""COMPUTED_VALUE"""),3.62130914353E11)</f>
        <v>362130914353</v>
      </c>
      <c r="C776" s="5" t="str">
        <f>IFERROR(__xludf.DUMMYFUNCTION("""COMPUTED_VALUE"""),"ثابت محمد")</f>
        <v>ثابت محمد</v>
      </c>
      <c r="D776" s="5">
        <f>IFERROR(__xludf.DUMMYFUNCTION("""COMPUTED_VALUE"""),2852.0)</f>
        <v>2852</v>
      </c>
      <c r="E776" s="5" t="str">
        <f>IFERROR(__xludf.DUMMYFUNCTION("""COMPUTED_VALUE"""),"EG04-EG05-EG06-EG07-EG08")</f>
        <v>EG04-EG05-EG06-EG07-EG08</v>
      </c>
      <c r="F776" s="5" t="str">
        <f>IFERROR(__xludf.DUMMYFUNCTION("""COMPUTED_VALUE"""),"sabitalbatal@gmail.com")</f>
        <v>sabitalbatal@gmail.com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 t="str">
        <f>IFERROR(__xludf.DUMMYFUNCTION("""COMPUTED_VALUE"""),"دينا عادل محمود")</f>
        <v>دينا عادل محمود</v>
      </c>
      <c r="B777" s="5">
        <f>IFERROR(__xludf.DUMMYFUNCTION("""COMPUTED_VALUE"""),9.79127456161E11)</f>
        <v>979127456161</v>
      </c>
      <c r="C777" s="5" t="str">
        <f>IFERROR(__xludf.DUMMYFUNCTION("""COMPUTED_VALUE"""),"دينا عادل محمود")</f>
        <v>دينا عادل محمود</v>
      </c>
      <c r="D777" s="5">
        <f>IFERROR(__xludf.DUMMYFUNCTION("""COMPUTED_VALUE"""),2874.0)</f>
        <v>2874</v>
      </c>
      <c r="E777" s="5" t="str">
        <f>IFERROR(__xludf.DUMMYFUNCTION("""COMPUTED_VALUE"""),"EG04-EG05-EG06")</f>
        <v>EG04-EG05-EG06</v>
      </c>
      <c r="F777" s="5" t="str">
        <f>IFERROR(__xludf.DUMMYFUNCTION("""COMPUTED_VALUE"""),"dadel7052@gmail.com")</f>
        <v>dadel7052@gmail.com</v>
      </c>
      <c r="G777" s="5" t="str">
        <f>IFERROR(__xludf.DUMMYFUNCTION("""COMPUTED_VALUE"""),"01095076094")</f>
        <v>01095076094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 t="str">
        <f>IFERROR(__xludf.DUMMYFUNCTION("""COMPUTED_VALUE"""),"نيفين ثابت")</f>
        <v>نيفين ثابت</v>
      </c>
      <c r="B778" s="5">
        <f>IFERROR(__xludf.DUMMYFUNCTION("""COMPUTED_VALUE"""),8.92131842437E11)</f>
        <v>892131842437</v>
      </c>
      <c r="C778" s="5" t="str">
        <f>IFERROR(__xludf.DUMMYFUNCTION("""COMPUTED_VALUE"""),"نيفين ثابت")</f>
        <v>نيفين ثابت</v>
      </c>
      <c r="D778" s="5">
        <f>IFERROR(__xludf.DUMMYFUNCTION("""COMPUTED_VALUE"""),2845.0)</f>
        <v>2845</v>
      </c>
      <c r="E778" s="5" t="str">
        <f>IFERROR(__xludf.DUMMYFUNCTION("""COMPUTED_VALUE"""),"EG01-EG02-EG03")</f>
        <v>EG01-EG02-EG03</v>
      </c>
      <c r="F778" s="5" t="str">
        <f>IFERROR(__xludf.DUMMYFUNCTION("""COMPUTED_VALUE"""),"novasameh1@gmail.com")</f>
        <v>novasameh1@gmail.com</v>
      </c>
      <c r="G778" s="5" t="str">
        <f>IFERROR(__xludf.DUMMYFUNCTION("""COMPUTED_VALUE"""),"01122260857")</f>
        <v>01122260857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 t="str">
        <f>IFERROR(__xludf.DUMMYFUNCTION("""COMPUTED_VALUE"""),"محمد علي")</f>
        <v>محمد علي</v>
      </c>
      <c r="B779" s="5">
        <f>IFERROR(__xludf.DUMMYFUNCTION("""COMPUTED_VALUE"""),3.59145032416E11)</f>
        <v>359145032416</v>
      </c>
      <c r="C779" s="5" t="str">
        <f>IFERROR(__xludf.DUMMYFUNCTION("""COMPUTED_VALUE"""),"محمد علي")</f>
        <v>محمد علي</v>
      </c>
      <c r="D779" s="5" t="str">
        <f>IFERROR(__xludf.DUMMYFUNCTION("""COMPUTED_VALUE"""),"#N/A")</f>
        <v>#N/A</v>
      </c>
      <c r="E779" s="5"/>
      <c r="F779" s="5" t="str">
        <f>IFERROR(__xludf.DUMMYFUNCTION("""COMPUTED_VALUE"""),"hassanali07@gmail.com")</f>
        <v>hassanali07@gmail.com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 t="str">
        <f>IFERROR(__xludf.DUMMYFUNCTION("""COMPUTED_VALUE"""),"فاطمة أشرف")</f>
        <v>فاطمة أشرف</v>
      </c>
      <c r="B780" s="5">
        <f>IFERROR(__xludf.DUMMYFUNCTION("""COMPUTED_VALUE"""),5.96145367638E11)</f>
        <v>596145367638</v>
      </c>
      <c r="C780" s="5" t="str">
        <f>IFERROR(__xludf.DUMMYFUNCTION("""COMPUTED_VALUE"""),"فاطمة أشرف")</f>
        <v>فاطمة أشرف</v>
      </c>
      <c r="D780" s="5">
        <f>IFERROR(__xludf.DUMMYFUNCTION("""COMPUTED_VALUE"""),2708.0)</f>
        <v>2708</v>
      </c>
      <c r="E780" s="5" t="str">
        <f>IFERROR(__xludf.DUMMYFUNCTION("""COMPUTED_VALUE"""),"EG04-EG05-EG06")</f>
        <v>EG04-EG05-EG06</v>
      </c>
      <c r="F780" s="5" t="str">
        <f>IFERROR(__xludf.DUMMYFUNCTION("""COMPUTED_VALUE"""),"fatma.ashraf2344@gmail.com")</f>
        <v>fatma.ashraf2344@gmail.com</v>
      </c>
      <c r="G780" s="5" t="str">
        <f>IFERROR(__xludf.DUMMYFUNCTION("""COMPUTED_VALUE"""),"01017852729")</f>
        <v>01017852729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 t="str">
        <f>IFERROR(__xludf.DUMMYFUNCTION("""COMPUTED_VALUE"""),"هالة عبد العزيز")</f>
        <v>هالة عبد العزيز</v>
      </c>
      <c r="B781" s="5">
        <f>IFERROR(__xludf.DUMMYFUNCTION("""COMPUTED_VALUE"""),6.70151585281E11)</f>
        <v>670151585281</v>
      </c>
      <c r="C781" s="5" t="str">
        <f>IFERROR(__xludf.DUMMYFUNCTION("""COMPUTED_VALUE"""),"هالة عبد العزيز")</f>
        <v>هالة عبد العزيز</v>
      </c>
      <c r="D781" s="5">
        <f>IFERROR(__xludf.DUMMYFUNCTION("""COMPUTED_VALUE"""),2884.0)</f>
        <v>2884</v>
      </c>
      <c r="E781" s="5" t="str">
        <f>IFERROR(__xludf.DUMMYFUNCTION("""COMPUTED_VALUE"""),"EG04-EG05")</f>
        <v>EG04-EG05</v>
      </c>
      <c r="F781" s="5" t="str">
        <f>IFERROR(__xludf.DUMMYFUNCTION("""COMPUTED_VALUE"""),"halabdelaziz95@gmail.com")</f>
        <v>halabdelaziz95@gmail.com</v>
      </c>
      <c r="G781" s="5" t="str">
        <f>IFERROR(__xludf.DUMMYFUNCTION("""COMPUTED_VALUE"""),"01151535885")</f>
        <v>01151535885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 t="str">
        <f>IFERROR(__xludf.DUMMYFUNCTION("""COMPUTED_VALUE"""),"منتصر عبد الحافظ ")</f>
        <v>منتصر عبد الحافظ </v>
      </c>
      <c r="B782" s="5">
        <f>IFERROR(__xludf.DUMMYFUNCTION("""COMPUTED_VALUE"""),7.64175790727E11)</f>
        <v>764175790727</v>
      </c>
      <c r="C782" s="5" t="str">
        <f>IFERROR(__xludf.DUMMYFUNCTION("""COMPUTED_VALUE"""),"منتصر عبد الحافظ ")</f>
        <v>منتصر عبد الحافظ </v>
      </c>
      <c r="D782" s="5" t="str">
        <f>IFERROR(__xludf.DUMMYFUNCTION("""COMPUTED_VALUE"""),"#N/A")</f>
        <v>#N/A</v>
      </c>
      <c r="E782" s="5"/>
      <c r="F782" s="5" t="str">
        <f>IFERROR(__xludf.DUMMYFUNCTION("""COMPUTED_VALUE"""),"montyabdo50@gmail.com")</f>
        <v>montyabdo50@gmail.com</v>
      </c>
      <c r="G782" s="5" t="str">
        <f>IFERROR(__xludf.DUMMYFUNCTION("""COMPUTED_VALUE"""),"01094654778")</f>
        <v>01094654778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 t="str">
        <f>IFERROR(__xludf.DUMMYFUNCTION("""COMPUTED_VALUE"""),"حامد غنيم")</f>
        <v>حامد غنيم</v>
      </c>
      <c r="B783" s="5">
        <f>IFERROR(__xludf.DUMMYFUNCTION("""COMPUTED_VALUE"""),9.52105891019E11)</f>
        <v>952105891019</v>
      </c>
      <c r="C783" s="5" t="str">
        <f>IFERROR(__xludf.DUMMYFUNCTION("""COMPUTED_VALUE"""),"حامد غنيم")</f>
        <v>حامد غنيم</v>
      </c>
      <c r="D783" s="5" t="str">
        <f>IFERROR(__xludf.DUMMYFUNCTION("""COMPUTED_VALUE"""),"#N/A")</f>
        <v>#N/A</v>
      </c>
      <c r="E783" s="5"/>
      <c r="F783" s="5" t="str">
        <f>IFERROR(__xludf.DUMMYFUNCTION("""COMPUTED_VALUE"""),"hamedghunem@gmail.com")</f>
        <v>hamedghunem@gmail.com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 t="str">
        <f>IFERROR(__xludf.DUMMYFUNCTION("""COMPUTED_VALUE"""),"هدير سمير")</f>
        <v>هدير سمير</v>
      </c>
      <c r="B784" s="5">
        <f>IFERROR(__xludf.DUMMYFUNCTION("""COMPUTED_VALUE"""),6.59105912498E11)</f>
        <v>659105912498</v>
      </c>
      <c r="C784" s="5" t="str">
        <f>IFERROR(__xludf.DUMMYFUNCTION("""COMPUTED_VALUE"""),"هدير سمير")</f>
        <v>هدير سمير</v>
      </c>
      <c r="D784" s="5">
        <f>IFERROR(__xludf.DUMMYFUNCTION("""COMPUTED_VALUE"""),2859.0)</f>
        <v>2859</v>
      </c>
      <c r="E784" s="5" t="str">
        <f>IFERROR(__xludf.DUMMYFUNCTION("""COMPUTED_VALUE"""),"EG07-EG08-EG09-EG10")</f>
        <v>EG07-EG08-EG09-EG10</v>
      </c>
      <c r="F784" s="5" t="str">
        <f>IFERROR(__xludf.DUMMYFUNCTION("""COMPUTED_VALUE"""),"hadeers.muhammad@gmail.com")</f>
        <v>hadeers.muhammad@gmail.com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 t="str">
        <f>IFERROR(__xludf.DUMMYFUNCTION("""COMPUTED_VALUE"""),"إنجي طلعت")</f>
        <v>إنجي طلعت</v>
      </c>
      <c r="B785" s="5">
        <f>IFERROR(__xludf.DUMMYFUNCTION("""COMPUTED_VALUE"""),7.27101543915E11)</f>
        <v>727101543915</v>
      </c>
      <c r="C785" s="5" t="str">
        <f>IFERROR(__xludf.DUMMYFUNCTION("""COMPUTED_VALUE"""),"إنجي طلعت")</f>
        <v>إنجي طلعت</v>
      </c>
      <c r="D785" s="5">
        <f>IFERROR(__xludf.DUMMYFUNCTION("""COMPUTED_VALUE"""),2887.0)</f>
        <v>2887</v>
      </c>
      <c r="E785" s="5" t="str">
        <f>IFERROR(__xludf.DUMMYFUNCTION("""COMPUTED_VALUE"""),"EG04-EG05-EG06")</f>
        <v>EG04-EG05-EG06</v>
      </c>
      <c r="F785" s="5" t="str">
        <f>IFERROR(__xludf.DUMMYFUNCTION("""COMPUTED_VALUE"""),"enjytalat@gmail.com")</f>
        <v>enjytalat@gmail.com</v>
      </c>
      <c r="G785" s="5" t="str">
        <f>IFERROR(__xludf.DUMMYFUNCTION("""COMPUTED_VALUE"""),"0128 528 5779 ")</f>
        <v>0128 528 5779 </v>
      </c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 t="str">
        <f>IFERROR(__xludf.DUMMYFUNCTION("""COMPUTED_VALUE"""),"إسراء برعي")</f>
        <v>إسراء برعي</v>
      </c>
      <c r="B786" s="5">
        <f>IFERROR(__xludf.DUMMYFUNCTION("""COMPUTED_VALUE"""),5.48153953842E11)</f>
        <v>548153953842</v>
      </c>
      <c r="C786" s="5" t="str">
        <f>IFERROR(__xludf.DUMMYFUNCTION("""COMPUTED_VALUE"""),"إسراء برعي")</f>
        <v>إسراء برعي</v>
      </c>
      <c r="D786" s="5">
        <f>IFERROR(__xludf.DUMMYFUNCTION("""COMPUTED_VALUE"""),2856.0)</f>
        <v>2856</v>
      </c>
      <c r="E786" s="5" t="str">
        <f>IFERROR(__xludf.DUMMYFUNCTION("""COMPUTED_VALUE"""),"EG04-EG05-EG06-EG07-EG08")</f>
        <v>EG04-EG05-EG06-EG07-EG08</v>
      </c>
      <c r="F786" s="5" t="str">
        <f>IFERROR(__xludf.DUMMYFUNCTION("""COMPUTED_VALUE"""),"esraaboraai@gmail.com")</f>
        <v>esraaboraai@gmail.com</v>
      </c>
      <c r="G786" s="5" t="str">
        <f>IFERROR(__xludf.DUMMYFUNCTION("""COMPUTED_VALUE"""),"01128223826")</f>
        <v>01128223826</v>
      </c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 t="str">
        <f>IFERROR(__xludf.DUMMYFUNCTION("""COMPUTED_VALUE"""),"محمد عبد الهادي")</f>
        <v>محمد عبد الهادي</v>
      </c>
      <c r="B787" s="5">
        <f>IFERROR(__xludf.DUMMYFUNCTION("""COMPUTED_VALUE"""),1.23143160627E11)</f>
        <v>123143160627</v>
      </c>
      <c r="C787" s="5" t="str">
        <f>IFERROR(__xludf.DUMMYFUNCTION("""COMPUTED_VALUE"""),"محمد عبد الهادي")</f>
        <v>محمد عبد الهادي</v>
      </c>
      <c r="D787" s="5">
        <f>IFERROR(__xludf.DUMMYFUNCTION("""COMPUTED_VALUE"""),2872.0)</f>
        <v>2872</v>
      </c>
      <c r="E787" s="5" t="str">
        <f>IFERROR(__xludf.DUMMYFUNCTION("""COMPUTED_VALUE"""),"EG04-EG05-EG06-EG07-EG08-EG09")</f>
        <v>EG04-EG05-EG06-EG07-EG08-EG09</v>
      </c>
      <c r="F787" s="5" t="str">
        <f>IFERROR(__xludf.DUMMYFUNCTION("""COMPUTED_VALUE"""),"mohamedhady1851997@gmail.com")</f>
        <v>mohamedhady1851997@gmail.com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 t="str">
        <f>IFERROR(__xludf.DUMMYFUNCTION("""COMPUTED_VALUE"""),"أماني علي")</f>
        <v>أماني علي</v>
      </c>
      <c r="B788" s="5">
        <f>IFERROR(__xludf.DUMMYFUNCTION("""COMPUTED_VALUE"""),7.96108613493E11)</f>
        <v>796108613493</v>
      </c>
      <c r="C788" s="5" t="str">
        <f>IFERROR(__xludf.DUMMYFUNCTION("""COMPUTED_VALUE"""),"أماني علي")</f>
        <v>أماني علي</v>
      </c>
      <c r="D788" s="5" t="str">
        <f>IFERROR(__xludf.DUMMYFUNCTION("""COMPUTED_VALUE"""),"#N/A")</f>
        <v>#N/A</v>
      </c>
      <c r="E788" s="5"/>
      <c r="F788" s="5" t="str">
        <f>IFERROR(__xludf.DUMMYFUNCTION("""COMPUTED_VALUE"""),"younisamany3@gmail.com")</f>
        <v>younisamany3@gmail.com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 t="str">
        <f>IFERROR(__xludf.DUMMYFUNCTION("""COMPUTED_VALUE"""),"مصطفى عثمان")</f>
        <v>مصطفى عثمان</v>
      </c>
      <c r="B789" s="5">
        <f>IFERROR(__xludf.DUMMYFUNCTION("""COMPUTED_VALUE"""),3.90108317593E11)</f>
        <v>390108317593</v>
      </c>
      <c r="C789" s="5" t="str">
        <f>IFERROR(__xludf.DUMMYFUNCTION("""COMPUTED_VALUE"""),"مصطفى عثمان")</f>
        <v>مصطفى عثمان</v>
      </c>
      <c r="D789" s="5">
        <f>IFERROR(__xludf.DUMMYFUNCTION("""COMPUTED_VALUE"""),2883.0)</f>
        <v>2883</v>
      </c>
      <c r="E789" s="5" t="str">
        <f>IFERROR(__xludf.DUMMYFUNCTION("""COMPUTED_VALUE"""),"EG10")</f>
        <v>EG10</v>
      </c>
      <c r="F789" s="5" t="str">
        <f>IFERROR(__xludf.DUMMYFUNCTION("""COMPUTED_VALUE"""),"mustafa.oth.ahmed@gmail.com")</f>
        <v>mustafa.oth.ahmed@gmail.com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 t="str">
        <f>IFERROR(__xludf.DUMMYFUNCTION("""COMPUTED_VALUE"""),"شيماء السيد")</f>
        <v>شيماء السيد</v>
      </c>
      <c r="B790" s="5">
        <f>IFERROR(__xludf.DUMMYFUNCTION("""COMPUTED_VALUE"""),9.04156949325E11)</f>
        <v>904156949325</v>
      </c>
      <c r="C790" s="5" t="str">
        <f>IFERROR(__xludf.DUMMYFUNCTION("""COMPUTED_VALUE"""),"شيماء السيد")</f>
        <v>شيماء السيد</v>
      </c>
      <c r="D790" s="5">
        <f>IFERROR(__xludf.DUMMYFUNCTION("""COMPUTED_VALUE"""),2892.0)</f>
        <v>2892</v>
      </c>
      <c r="E790" s="5" t="str">
        <f>IFERROR(__xludf.DUMMYFUNCTION("""COMPUTED_VALUE"""),"EG04-EG05-EG06-EG07-EG08-EG09")</f>
        <v>EG04-EG05-EG06-EG07-EG08-EG09</v>
      </c>
      <c r="F790" s="5" t="str">
        <f>IFERROR(__xludf.DUMMYFUNCTION("""COMPUTED_VALUE"""),"shimaaelssyed8@gmail.com")</f>
        <v>shimaaelssyed8@gmail.com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 t="str">
        <f>IFERROR(__xludf.DUMMYFUNCTION("""COMPUTED_VALUE"""),"كريم جمال")</f>
        <v>كريم جمال</v>
      </c>
      <c r="B791" s="5">
        <f>IFERROR(__xludf.DUMMYFUNCTION("""COMPUTED_VALUE"""),2.50173645161E11)</f>
        <v>250173645161</v>
      </c>
      <c r="C791" s="5" t="str">
        <f>IFERROR(__xludf.DUMMYFUNCTION("""COMPUTED_VALUE"""),"كريم جمال")</f>
        <v>كريم جمال</v>
      </c>
      <c r="D791" s="5">
        <f>IFERROR(__xludf.DUMMYFUNCTION("""COMPUTED_VALUE"""),2865.0)</f>
        <v>2865</v>
      </c>
      <c r="E791" s="5" t="str">
        <f>IFERROR(__xludf.DUMMYFUNCTION("""COMPUTED_VALUE"""),"EG07-EG08-EG09")</f>
        <v>EG07-EG08-EG09</v>
      </c>
      <c r="F791" s="5" t="str">
        <f>IFERROR(__xludf.DUMMYFUNCTION("""COMPUTED_VALUE"""),"kokozanaty99@gmail.com")</f>
        <v>kokozanaty99@gmail.com</v>
      </c>
      <c r="G791" s="5" t="str">
        <f>IFERROR(__xludf.DUMMYFUNCTION("""COMPUTED_VALUE"""),"01065706675")</f>
        <v>01065706675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 t="str">
        <f>IFERROR(__xludf.DUMMYFUNCTION("""COMPUTED_VALUE"""),"إبراهيم جابر")</f>
        <v>إبراهيم جابر</v>
      </c>
      <c r="B792" s="5">
        <f>IFERROR(__xludf.DUMMYFUNCTION("""COMPUTED_VALUE"""),6.74181974812E11)</f>
        <v>674181974812</v>
      </c>
      <c r="C792" s="5" t="str">
        <f>IFERROR(__xludf.DUMMYFUNCTION("""COMPUTED_VALUE"""),"إبراهيم جابر")</f>
        <v>إبراهيم جابر</v>
      </c>
      <c r="D792" s="5">
        <f>IFERROR(__xludf.DUMMYFUNCTION("""COMPUTED_VALUE"""),2861.0)</f>
        <v>2861</v>
      </c>
      <c r="E792" s="5" t="str">
        <f>IFERROR(__xludf.DUMMYFUNCTION("""COMPUTED_VALUE"""),"EG04-EG05-EG06-EG07")</f>
        <v>EG04-EG05-EG06-EG07</v>
      </c>
      <c r="F792" s="5" t="str">
        <f>IFERROR(__xludf.DUMMYFUNCTION("""COMPUTED_VALUE"""),"ibrahemahmedd22@gmail.com")</f>
        <v>ibrahemahmedd22@gmail.com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 t="str">
        <f>IFERROR(__xludf.DUMMYFUNCTION("""COMPUTED_VALUE"""),"شعبان مصطفى")</f>
        <v>شعبان مصطفى</v>
      </c>
      <c r="B793" s="5">
        <f>IFERROR(__xludf.DUMMYFUNCTION("""COMPUTED_VALUE"""),7.14162987347E11)</f>
        <v>714162987347</v>
      </c>
      <c r="C793" s="5" t="str">
        <f>IFERROR(__xludf.DUMMYFUNCTION("""COMPUTED_VALUE"""),"شعبان مصطفى")</f>
        <v>شعبان مصطفى</v>
      </c>
      <c r="D793" s="5" t="str">
        <f>IFERROR(__xludf.DUMMYFUNCTION("""COMPUTED_VALUE"""),"#N/A")</f>
        <v>#N/A</v>
      </c>
      <c r="E793" s="5"/>
      <c r="F793" s="5" t="str">
        <f>IFERROR(__xludf.DUMMYFUNCTION("""COMPUTED_VALUE"""),"shaaban010010@gimal.com")</f>
        <v>shaaban010010@gimal.com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 t="str">
        <f>IFERROR(__xludf.DUMMYFUNCTION("""COMPUTED_VALUE"""),"عمرو رمضان")</f>
        <v>عمرو رمضان</v>
      </c>
      <c r="B794" s="5">
        <f>IFERROR(__xludf.DUMMYFUNCTION("""COMPUTED_VALUE"""),5.37178629327E11)</f>
        <v>537178629327</v>
      </c>
      <c r="C794" s="5" t="str">
        <f>IFERROR(__xludf.DUMMYFUNCTION("""COMPUTED_VALUE"""),"عمرو رمضان")</f>
        <v>عمرو رمضان</v>
      </c>
      <c r="D794" s="5">
        <f>IFERROR(__xludf.DUMMYFUNCTION("""COMPUTED_VALUE"""),2844.0)</f>
        <v>2844</v>
      </c>
      <c r="E794" s="5" t="str">
        <f>IFERROR(__xludf.DUMMYFUNCTION("""COMPUTED_VALUE"""),"EG07-EG08-EG09")</f>
        <v>EG07-EG08-EG09</v>
      </c>
      <c r="F794" s="5" t="str">
        <f>IFERROR(__xludf.DUMMYFUNCTION("""COMPUTED_VALUE"""),"amrr4313@gmail.com")</f>
        <v>amrr4313@gmail.com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 t="str">
        <f>IFERROR(__xludf.DUMMYFUNCTION("""COMPUTED_VALUE"""),"سارة الهمشري")</f>
        <v>سارة الهمشري</v>
      </c>
      <c r="B795" s="5">
        <f>IFERROR(__xludf.DUMMYFUNCTION("""COMPUTED_VALUE"""),8.08184307649E11)</f>
        <v>808184307649</v>
      </c>
      <c r="C795" s="5" t="str">
        <f>IFERROR(__xludf.DUMMYFUNCTION("""COMPUTED_VALUE"""),"سارة الهمشري")</f>
        <v>سارة الهمشري</v>
      </c>
      <c r="D795" s="5">
        <f>IFERROR(__xludf.DUMMYFUNCTION("""COMPUTED_VALUE"""),2873.0)</f>
        <v>2873</v>
      </c>
      <c r="E795" s="5" t="str">
        <f>IFERROR(__xludf.DUMMYFUNCTION("""COMPUTED_VALUE"""),"EG07-EG08-EG09")</f>
        <v>EG07-EG08-EG09</v>
      </c>
      <c r="F795" s="5" t="str">
        <f>IFERROR(__xludf.DUMMYFUNCTION("""COMPUTED_VALUE"""),"sara2h.elhamshry@gmail.com")</f>
        <v>sara2h.elhamshry@gmail.com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 t="str">
        <f>IFERROR(__xludf.DUMMYFUNCTION("""COMPUTED_VALUE"""),"محمد عتمان")</f>
        <v>محمد عتمان</v>
      </c>
      <c r="B796" s="5">
        <f>IFERROR(__xludf.DUMMYFUNCTION("""COMPUTED_VALUE"""),9.6417686579E11)</f>
        <v>964176865790</v>
      </c>
      <c r="C796" s="5" t="str">
        <f>IFERROR(__xludf.DUMMYFUNCTION("""COMPUTED_VALUE"""),"محمد عتمان")</f>
        <v>محمد عتمان</v>
      </c>
      <c r="D796" s="5" t="str">
        <f>IFERROR(__xludf.DUMMYFUNCTION("""COMPUTED_VALUE"""),"#N/A")</f>
        <v>#N/A</v>
      </c>
      <c r="E796" s="5"/>
      <c r="F796" s="5" t="str">
        <f>IFERROR(__xludf.DUMMYFUNCTION("""COMPUTED_VALUE"""),"mohamednabil59j@gmail.com")</f>
        <v>mohamednabil59j@gmail.com</v>
      </c>
      <c r="G796" s="5" t="str">
        <f>IFERROR(__xludf.DUMMYFUNCTION("""COMPUTED_VALUE"""),"01060455795")</f>
        <v>01060455795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 t="str">
        <f>IFERROR(__xludf.DUMMYFUNCTION("""COMPUTED_VALUE"""),"محمد نور الدين")</f>
        <v>محمد نور الدين</v>
      </c>
      <c r="B797" s="5">
        <f>IFERROR(__xludf.DUMMYFUNCTION("""COMPUTED_VALUE"""),7.52176542746E11)</f>
        <v>752176542746</v>
      </c>
      <c r="C797" s="5" t="str">
        <f>IFERROR(__xludf.DUMMYFUNCTION("""COMPUTED_VALUE"""),"محمد نور الدين")</f>
        <v>محمد نور الدين</v>
      </c>
      <c r="D797" s="5"/>
      <c r="E797" s="5" t="str">
        <f>IFERROR(__xludf.DUMMYFUNCTION("""COMPUTED_VALUE"""),"EG01-EG02-EG03-EG04-EG05-EG06")</f>
        <v>EG01-EG02-EG03-EG04-EG05-EG06</v>
      </c>
      <c r="F797" s="5" t="str">
        <f>IFERROR(__xludf.DUMMYFUNCTION("""COMPUTED_VALUE"""),"mm2014242@gmail.com")</f>
        <v>mm2014242@gmail.com</v>
      </c>
      <c r="G797" s="5" t="str">
        <f>IFERROR(__xludf.DUMMYFUNCTION("""COMPUTED_VALUE"""),"01229167919- 01061306312")</f>
        <v>01229167919- 01061306312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 t="str">
        <f>IFERROR(__xludf.DUMMYFUNCTION("""COMPUTED_VALUE"""),"مروة حجاج")</f>
        <v>مروة حجاج</v>
      </c>
      <c r="B798" s="5">
        <f>IFERROR(__xludf.DUMMYFUNCTION("""COMPUTED_VALUE"""),6.06147698789E11)</f>
        <v>606147698789</v>
      </c>
      <c r="C798" s="5" t="str">
        <f>IFERROR(__xludf.DUMMYFUNCTION("""COMPUTED_VALUE"""),"مروة حجاج")</f>
        <v>مروة حجاج</v>
      </c>
      <c r="D798" s="5">
        <f>IFERROR(__xludf.DUMMYFUNCTION("""COMPUTED_VALUE"""),2897.0)</f>
        <v>2897</v>
      </c>
      <c r="E798" s="5" t="str">
        <f>IFERROR(__xludf.DUMMYFUNCTION("""COMPUTED_VALUE"""),"EG07-EG08-EG09")</f>
        <v>EG07-EG08-EG09</v>
      </c>
      <c r="F798" s="5" t="str">
        <f>IFERROR(__xludf.DUMMYFUNCTION("""COMPUTED_VALUE"""),"hazemhaggag1987@gmail.com")</f>
        <v>hazemhaggag1987@gmail.com</v>
      </c>
      <c r="G798" s="5" t="str">
        <f>IFERROR(__xludf.DUMMYFUNCTION("""COMPUTED_VALUE"""),"01146354517")</f>
        <v>01146354517</v>
      </c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 t="str">
        <f>IFERROR(__xludf.DUMMYFUNCTION("""COMPUTED_VALUE"""),"خلود شويطر")</f>
        <v>خلود شويطر</v>
      </c>
      <c r="B799" s="5">
        <f>IFERROR(__xludf.DUMMYFUNCTION("""COMPUTED_VALUE"""),1.24123242328E11)</f>
        <v>124123242328</v>
      </c>
      <c r="C799" s="5" t="str">
        <f>IFERROR(__xludf.DUMMYFUNCTION("""COMPUTED_VALUE"""),"خلود شويطر")</f>
        <v>خلود شويطر</v>
      </c>
      <c r="D799" s="5" t="str">
        <f>IFERROR(__xludf.DUMMYFUNCTION("""COMPUTED_VALUE"""),"#N/A")</f>
        <v>#N/A</v>
      </c>
      <c r="E799" s="5"/>
      <c r="F799" s="5" t="str">
        <f>IFERROR(__xludf.DUMMYFUNCTION("""COMPUTED_VALUE"""),"kholoudahmed14122000@gmail.com")</f>
        <v>kholoudahmed14122000@gmail.com</v>
      </c>
      <c r="G799" s="5" t="str">
        <f>IFERROR(__xludf.DUMMYFUNCTION("""COMPUTED_VALUE"""),"01201609648")</f>
        <v>01201609648</v>
      </c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 t="str">
        <f>IFERROR(__xludf.DUMMYFUNCTION("""COMPUTED_VALUE"""),"هاجر حسن")</f>
        <v>هاجر حسن</v>
      </c>
      <c r="B800" s="5">
        <f>IFERROR(__xludf.DUMMYFUNCTION("""COMPUTED_VALUE"""),6.14192175814E11)</f>
        <v>614192175814</v>
      </c>
      <c r="C800" s="5" t="str">
        <f>IFERROR(__xludf.DUMMYFUNCTION("""COMPUTED_VALUE"""),"هاجر حسن")</f>
        <v>هاجر حسن</v>
      </c>
      <c r="D800" s="5" t="str">
        <f>IFERROR(__xludf.DUMMYFUNCTION("""COMPUTED_VALUE"""),"#N/A")</f>
        <v>#N/A</v>
      </c>
      <c r="E800" s="5"/>
      <c r="F800" s="5" t="str">
        <f>IFERROR(__xludf.DUMMYFUNCTION("""COMPUTED_VALUE"""),"hagermohammed118@gmail.com")</f>
        <v>hagermohammed118@gmail.com</v>
      </c>
      <c r="G800" s="5" t="str">
        <f>IFERROR(__xludf.DUMMYFUNCTION("""COMPUTED_VALUE"""),"01060789454")</f>
        <v>01060789454</v>
      </c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 t="str">
        <f>IFERROR(__xludf.DUMMYFUNCTION("""COMPUTED_VALUE"""),"فاطمة صلاح")</f>
        <v>فاطمة صلاح</v>
      </c>
      <c r="B801" s="5">
        <f>IFERROR(__xludf.DUMMYFUNCTION("""COMPUTED_VALUE"""),1.0816579783E11)</f>
        <v>108165797830</v>
      </c>
      <c r="C801" s="5" t="str">
        <f>IFERROR(__xludf.DUMMYFUNCTION("""COMPUTED_VALUE"""),"فاطمة صلاح")</f>
        <v>فاطمة صلاح</v>
      </c>
      <c r="D801" s="5">
        <f>IFERROR(__xludf.DUMMYFUNCTION("""COMPUTED_VALUE"""),2862.0)</f>
        <v>2862</v>
      </c>
      <c r="E801" s="5" t="str">
        <f>IFERROR(__xludf.DUMMYFUNCTION("""COMPUTED_VALUE"""),"EG07-EG08-EG09")</f>
        <v>EG07-EG08-EG09</v>
      </c>
      <c r="F801" s="5" t="str">
        <f>IFERROR(__xludf.DUMMYFUNCTION("""COMPUTED_VALUE"""),"fatma80002525@gmail.com")</f>
        <v>fatma80002525@gmail.com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 t="str">
        <f>IFERROR(__xludf.DUMMYFUNCTION("""COMPUTED_VALUE"""),"مصطفى حمد")</f>
        <v>مصطفى حمد</v>
      </c>
      <c r="B802" s="5">
        <f>IFERROR(__xludf.DUMMYFUNCTION("""COMPUTED_VALUE"""),5.84170187314E11)</f>
        <v>584170187314</v>
      </c>
      <c r="C802" s="5" t="str">
        <f>IFERROR(__xludf.DUMMYFUNCTION("""COMPUTED_VALUE"""),"مصطفى حمد")</f>
        <v>مصطفى حمد</v>
      </c>
      <c r="D802" s="5">
        <f>IFERROR(__xludf.DUMMYFUNCTION("""COMPUTED_VALUE"""),2823.0)</f>
        <v>2823</v>
      </c>
      <c r="E802" s="5" t="str">
        <f>IFERROR(__xludf.DUMMYFUNCTION("""COMPUTED_VALUE"""),"EG04-EG05-EG06-EG07-EG08-EG09")</f>
        <v>EG04-EG05-EG06-EG07-EG08-EG09</v>
      </c>
      <c r="F802" s="5" t="str">
        <f>IFERROR(__xludf.DUMMYFUNCTION("""COMPUTED_VALUE"""),"mostafahamad00000@gmail.com")</f>
        <v>mostafahamad00000@gmail.com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 t="str">
        <f>IFERROR(__xludf.DUMMYFUNCTION("""COMPUTED_VALUE"""),"محمد حسن علي")</f>
        <v>محمد حسن علي</v>
      </c>
      <c r="B803" s="5">
        <f>IFERROR(__xludf.DUMMYFUNCTION("""COMPUTED_VALUE"""),5.73105931679E11)</f>
        <v>573105931679</v>
      </c>
      <c r="C803" s="5" t="str">
        <f>IFERROR(__xludf.DUMMYFUNCTION("""COMPUTED_VALUE"""),"محمد حسن علي")</f>
        <v>محمد حسن علي</v>
      </c>
      <c r="D803" s="5">
        <f>IFERROR(__xludf.DUMMYFUNCTION("""COMPUTED_VALUE"""),2882.0)</f>
        <v>2882</v>
      </c>
      <c r="E803" s="5" t="str">
        <f>IFERROR(__xludf.DUMMYFUNCTION("""COMPUTED_VALUE"""),"EG04-EG05-EG06-EG07-EG08-EG09")</f>
        <v>EG04-EG05-EG06-EG07-EG08-EG09</v>
      </c>
      <c r="F803" s="5" t="str">
        <f>IFERROR(__xludf.DUMMYFUNCTION("""COMPUTED_VALUE"""),"mhmd.hassan4483@gmail.com")</f>
        <v>mhmd.hassan4483@gmail.com</v>
      </c>
      <c r="G803" s="5" t="str">
        <f>IFERROR(__xludf.DUMMYFUNCTION("""COMPUTED_VALUE"""),"01021950377")</f>
        <v>01021950377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 t="str">
        <f>IFERROR(__xludf.DUMMYFUNCTION("""COMPUTED_VALUE"""),"آلاء صادق")</f>
        <v>آلاء صادق</v>
      </c>
      <c r="B804" s="5">
        <f>IFERROR(__xludf.DUMMYFUNCTION("""COMPUTED_VALUE"""),5.06195848156E11)</f>
        <v>506195848156</v>
      </c>
      <c r="C804" s="5" t="str">
        <f>IFERROR(__xludf.DUMMYFUNCTION("""COMPUTED_VALUE"""),"آلاء صادق")</f>
        <v>آلاء صادق</v>
      </c>
      <c r="D804" s="5" t="str">
        <f>IFERROR(__xludf.DUMMYFUNCTION("""COMPUTED_VALUE"""),"#N/A")</f>
        <v>#N/A</v>
      </c>
      <c r="E804" s="5"/>
      <c r="F804" s="5" t="str">
        <f>IFERROR(__xludf.DUMMYFUNCTION("""COMPUTED_VALUE"""),"lolasadek83@gmail.com")</f>
        <v>lolasadek83@gmail.com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 t="str">
        <f>IFERROR(__xludf.DUMMYFUNCTION("""COMPUTED_VALUE"""),"رانا هشام")</f>
        <v>رانا هشام</v>
      </c>
      <c r="B805" s="5">
        <f>IFERROR(__xludf.DUMMYFUNCTION("""COMPUTED_VALUE"""),7.17102470564E11)</f>
        <v>717102470564</v>
      </c>
      <c r="C805" s="5" t="str">
        <f>IFERROR(__xludf.DUMMYFUNCTION("""COMPUTED_VALUE"""),"رانا هشام")</f>
        <v>رانا هشام</v>
      </c>
      <c r="D805" s="5">
        <f>IFERROR(__xludf.DUMMYFUNCTION("""COMPUTED_VALUE"""),2894.0)</f>
        <v>2894</v>
      </c>
      <c r="E805" s="5" t="str">
        <f>IFERROR(__xludf.DUMMYFUNCTION("""COMPUTED_VALUE"""),"EG10")</f>
        <v>EG10</v>
      </c>
      <c r="F805" s="5" t="str">
        <f>IFERROR(__xludf.DUMMYFUNCTION("""COMPUTED_VALUE"""),"rannahesham123@gmail.com")</f>
        <v>rannahesham123@gmail.com</v>
      </c>
      <c r="G805" s="5" t="str">
        <f>IFERROR(__xludf.DUMMYFUNCTION("""COMPUTED_VALUE"""),"01092389912")</f>
        <v>01092389912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 t="str">
        <f>IFERROR(__xludf.DUMMYFUNCTION("""COMPUTED_VALUE"""),"محمود غانم")</f>
        <v>محمود غانم</v>
      </c>
      <c r="B806" s="5">
        <f>IFERROR(__xludf.DUMMYFUNCTION("""COMPUTED_VALUE"""),8.45126381673E11)</f>
        <v>845126381673</v>
      </c>
      <c r="C806" s="5" t="str">
        <f>IFERROR(__xludf.DUMMYFUNCTION("""COMPUTED_VALUE"""),"محمود غانم")</f>
        <v>محمود غانم</v>
      </c>
      <c r="D806" s="5">
        <f>IFERROR(__xludf.DUMMYFUNCTION("""COMPUTED_VALUE"""),2864.0)</f>
        <v>2864</v>
      </c>
      <c r="E806" s="5" t="str">
        <f>IFERROR(__xludf.DUMMYFUNCTION("""COMPUTED_VALUE"""),"EG04-EG05-EG06-EG07-EG08-EG09")</f>
        <v>EG04-EG05-EG06-EG07-EG08-EG09</v>
      </c>
      <c r="F806" s="5" t="str">
        <f>IFERROR(__xludf.DUMMYFUNCTION("""COMPUTED_VALUE"""),"ghanmmhmwd18@gmail.com")</f>
        <v>ghanmmhmwd18@gmail.com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 t="str">
        <f>IFERROR(__xludf.DUMMYFUNCTION("""COMPUTED_VALUE"""),"دعاء عادل")</f>
        <v>دعاء عادل</v>
      </c>
      <c r="B807" s="5">
        <f>IFERROR(__xludf.DUMMYFUNCTION("""COMPUTED_VALUE"""),6.73187402047E11)</f>
        <v>673187402047</v>
      </c>
      <c r="C807" s="5" t="str">
        <f>IFERROR(__xludf.DUMMYFUNCTION("""COMPUTED_VALUE"""),"دعاء عادل")</f>
        <v>دعاء عادل</v>
      </c>
      <c r="D807" s="5"/>
      <c r="E807" s="5" t="str">
        <f>IFERROR(__xludf.DUMMYFUNCTION("""COMPUTED_VALUE"""),"EG04-EG05-EG06")</f>
        <v>EG04-EG05-EG06</v>
      </c>
      <c r="F807" s="5" t="str">
        <f>IFERROR(__xludf.DUMMYFUNCTION("""COMPUTED_VALUE"""),"dodo.adel62@gmail.com")</f>
        <v>dodo.adel62@gmail.com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 t="str">
        <f>IFERROR(__xludf.DUMMYFUNCTION("""COMPUTED_VALUE"""),"صالح سمير")</f>
        <v>صالح سمير</v>
      </c>
      <c r="B808" s="5">
        <f>IFERROR(__xludf.DUMMYFUNCTION("""COMPUTED_VALUE"""),6.18103789532E11)</f>
        <v>618103789532</v>
      </c>
      <c r="C808" s="5" t="str">
        <f>IFERROR(__xludf.DUMMYFUNCTION("""COMPUTED_VALUE"""),"صالح سمير")</f>
        <v>صالح سمير</v>
      </c>
      <c r="D808" s="5"/>
      <c r="E808" s="5" t="str">
        <f>IFERROR(__xludf.DUMMYFUNCTION("""COMPUTED_VALUE"""),"EG07-EG08-EG09-EG10-EG11")</f>
        <v>EG07-EG08-EG09-EG10-EG11</v>
      </c>
      <c r="F808" s="5" t="str">
        <f>IFERROR(__xludf.DUMMYFUNCTION("""COMPUTED_VALUE"""),"salehsamir865@gmail.com")</f>
        <v>salehsamir865@gmail.com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 t="str">
        <f>IFERROR(__xludf.DUMMYFUNCTION("""COMPUTED_VALUE"""),"إسلام الحسيني")</f>
        <v>إسلام الحسيني</v>
      </c>
      <c r="B809" s="5">
        <f>IFERROR(__xludf.DUMMYFUNCTION("""COMPUTED_VALUE"""),9.50159030454E11)</f>
        <v>950159030454</v>
      </c>
      <c r="C809" s="5" t="str">
        <f>IFERROR(__xludf.DUMMYFUNCTION("""COMPUTED_VALUE"""),"إسلام الحسيني")</f>
        <v>إسلام الحسيني</v>
      </c>
      <c r="D809" s="5"/>
      <c r="E809" s="5" t="str">
        <f>IFERROR(__xludf.DUMMYFUNCTION("""COMPUTED_VALUE"""),"EG04-EG05-EG06")</f>
        <v>EG04-EG05-EG06</v>
      </c>
      <c r="F809" s="5" t="str">
        <f>IFERROR(__xludf.DUMMYFUNCTION("""COMPUTED_VALUE"""),"islam.elhusseinyy@gmail.com")</f>
        <v>islam.elhusseinyy@gmail.com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 t="str">
        <f>IFERROR(__xludf.DUMMYFUNCTION("""COMPUTED_VALUE"""),"ياسر عقل")</f>
        <v>ياسر عقل</v>
      </c>
      <c r="B810" s="5">
        <f>IFERROR(__xludf.DUMMYFUNCTION("""COMPUTED_VALUE"""),6.82163541567E11)</f>
        <v>682163541567</v>
      </c>
      <c r="C810" s="5" t="str">
        <f>IFERROR(__xludf.DUMMYFUNCTION("""COMPUTED_VALUE"""),"ياسر عقل")</f>
        <v>ياسر عقل</v>
      </c>
      <c r="D810" s="5">
        <f>IFERROR(__xludf.DUMMYFUNCTION("""COMPUTED_VALUE"""),2885.0)</f>
        <v>2885</v>
      </c>
      <c r="E810" s="5" t="str">
        <f>IFERROR(__xludf.DUMMYFUNCTION("""COMPUTED_VALUE"""),"EG07-EG08-EG09")</f>
        <v>EG07-EG08-EG09</v>
      </c>
      <c r="F810" s="5" t="str">
        <f>IFERROR(__xludf.DUMMYFUNCTION("""COMPUTED_VALUE"""),"yasserkaood75@gmail.com")</f>
        <v>yasserkaood75@gmail.com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 t="str">
        <f>IFERROR(__xludf.DUMMYFUNCTION("""COMPUTED_VALUE"""),"منة الله مجدى")</f>
        <v>منة الله مجدى</v>
      </c>
      <c r="B811" s="5">
        <f>IFERROR(__xludf.DUMMYFUNCTION("""COMPUTED_VALUE"""),5.46150694104E11)</f>
        <v>546150694104</v>
      </c>
      <c r="C811" s="5" t="str">
        <f>IFERROR(__xludf.DUMMYFUNCTION("""COMPUTED_VALUE"""),"منة الله مجدى")</f>
        <v>منة الله مجدى</v>
      </c>
      <c r="D811" s="5"/>
      <c r="E811" s="5" t="str">
        <f>IFERROR(__xludf.DUMMYFUNCTION("""COMPUTED_VALUE"""),"EG01-EG02-EG03")</f>
        <v>EG01-EG02-EG03</v>
      </c>
      <c r="F811" s="5" t="str">
        <f>IFERROR(__xludf.DUMMYFUNCTION("""COMPUTED_VALUE"""),"m.muhamma13190@gmail.com")</f>
        <v>m.muhamma13190@gmail.com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 t="str">
        <f>IFERROR(__xludf.DUMMYFUNCTION("""COMPUTED_VALUE"""),"ميرنا ماهر")</f>
        <v>ميرنا ماهر</v>
      </c>
      <c r="B812" s="5">
        <f>IFERROR(__xludf.DUMMYFUNCTION("""COMPUTED_VALUE"""),9.76160713507E11)</f>
        <v>976160713507</v>
      </c>
      <c r="C812" s="5" t="str">
        <f>IFERROR(__xludf.DUMMYFUNCTION("""COMPUTED_VALUE"""),"ميرنا ماهر")</f>
        <v>ميرنا ماهر</v>
      </c>
      <c r="D812" s="5">
        <f>IFERROR(__xludf.DUMMYFUNCTION("""COMPUTED_VALUE"""),2898.0)</f>
        <v>2898</v>
      </c>
      <c r="E812" s="5" t="str">
        <f>IFERROR(__xludf.DUMMYFUNCTION("""COMPUTED_VALUE"""),"EG01-EG02-EG03")</f>
        <v>EG01-EG02-EG03</v>
      </c>
      <c r="F812" s="5" t="str">
        <f>IFERROR(__xludf.DUMMYFUNCTION("""COMPUTED_VALUE"""),"merna.maher24@yahoo.com")</f>
        <v>merna.maher24@yahoo.com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 t="str">
        <f>IFERROR(__xludf.DUMMYFUNCTION("""COMPUTED_VALUE"""),"مصطفى عبد الجليل")</f>
        <v>مصطفى عبد الجليل</v>
      </c>
      <c r="B813" s="5">
        <f>IFERROR(__xludf.DUMMYFUNCTION("""COMPUTED_VALUE"""),9.17186898325E11)</f>
        <v>917186898325</v>
      </c>
      <c r="C813" s="5" t="str">
        <f>IFERROR(__xludf.DUMMYFUNCTION("""COMPUTED_VALUE"""),"مصطفى عبد الجليل")</f>
        <v>مصطفى عبد الجليل</v>
      </c>
      <c r="D813" s="5">
        <f>IFERROR(__xludf.DUMMYFUNCTION("""COMPUTED_VALUE"""),2896.0)</f>
        <v>2896</v>
      </c>
      <c r="E813" s="5" t="str">
        <f>IFERROR(__xludf.DUMMYFUNCTION("""COMPUTED_VALUE"""),"EG04-EG05-EG06-EG07-EG08-EG09")</f>
        <v>EG04-EG05-EG06-EG07-EG08-EG09</v>
      </c>
      <c r="F813" s="5" t="str">
        <f>IFERROR(__xludf.DUMMYFUNCTION("""COMPUTED_VALUE"""),"mostafa.mo.ashour@gmail.com")</f>
        <v>mostafa.mo.ashour@gmail.com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 t="str">
        <f>IFERROR(__xludf.DUMMYFUNCTION("""COMPUTED_VALUE"""),"نورهان يوسف")</f>
        <v>نورهان يوسف</v>
      </c>
      <c r="B814" s="5">
        <f>IFERROR(__xludf.DUMMYFUNCTION("""COMPUTED_VALUE"""),5.26107327427E11)</f>
        <v>526107327427</v>
      </c>
      <c r="C814" s="5" t="str">
        <f>IFERROR(__xludf.DUMMYFUNCTION("""COMPUTED_VALUE"""),"نورهان يوسف")</f>
        <v>نورهان يوسف</v>
      </c>
      <c r="D814" s="5"/>
      <c r="E814" s="5" t="str">
        <f>IFERROR(__xludf.DUMMYFUNCTION("""COMPUTED_VALUE"""),"EG04-EG05-EG06")</f>
        <v>EG04-EG05-EG06</v>
      </c>
      <c r="F814" s="5" t="str">
        <f>IFERROR(__xludf.DUMMYFUNCTION("""COMPUTED_VALUE"""),"nourhanyoussef264@gmail.com")</f>
        <v>nourhanyoussef264@gmail.com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 t="str">
        <f>IFERROR(__xludf.DUMMYFUNCTION("""COMPUTED_VALUE"""),"ضحى الزعيري")</f>
        <v>ضحى الزعيري</v>
      </c>
      <c r="B815" s="5">
        <f>IFERROR(__xludf.DUMMYFUNCTION("""COMPUTED_VALUE"""),1.70139615393E11)</f>
        <v>170139615393</v>
      </c>
      <c r="C815" s="5" t="str">
        <f>IFERROR(__xludf.DUMMYFUNCTION("""COMPUTED_VALUE"""),"ضحى الزعيري")</f>
        <v>ضحى الزعيري</v>
      </c>
      <c r="D815" s="5">
        <f>IFERROR(__xludf.DUMMYFUNCTION("""COMPUTED_VALUE"""),2876.0)</f>
        <v>2876</v>
      </c>
      <c r="E815" s="5" t="str">
        <f>IFERROR(__xludf.DUMMYFUNCTION("""COMPUTED_VALUE"""),"EG01-EG02-EG03")</f>
        <v>EG01-EG02-EG03</v>
      </c>
      <c r="F815" s="5" t="str">
        <f>IFERROR(__xludf.DUMMYFUNCTION("""COMPUTED_VALUE"""),"delzeiry2000@gmail.com")</f>
        <v>delzeiry2000@gmail.com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 t="str">
        <f>IFERROR(__xludf.DUMMYFUNCTION("""COMPUTED_VALUE"""),"هايدي عصام")</f>
        <v>هايدي عصام</v>
      </c>
      <c r="B816" s="5">
        <f>IFERROR(__xludf.DUMMYFUNCTION("""COMPUTED_VALUE"""),6.85194251845E11)</f>
        <v>685194251845</v>
      </c>
      <c r="C816" s="5" t="str">
        <f>IFERROR(__xludf.DUMMYFUNCTION("""COMPUTED_VALUE"""),"هايدي عصام")</f>
        <v>هايدي عصام</v>
      </c>
      <c r="D816" s="5">
        <f>IFERROR(__xludf.DUMMYFUNCTION("""COMPUTED_VALUE"""),2846.0)</f>
        <v>2846</v>
      </c>
      <c r="E816" s="5" t="str">
        <f>IFERROR(__xludf.DUMMYFUNCTION("""COMPUTED_VALUE"""),"EG01-EG02-EG03")</f>
        <v>EG01-EG02-EG03</v>
      </c>
      <c r="F816" s="5" t="str">
        <f>IFERROR(__xludf.DUMMYFUNCTION("""COMPUTED_VALUE"""),"haidyessam90@gmail.com")</f>
        <v>haidyessam90@gmail.com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 t="str">
        <f>IFERROR(__xludf.DUMMYFUNCTION("""COMPUTED_VALUE"""),"#N/A")</f>
        <v>#N/A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 t="str">
        <f>IFERROR(__xludf.DUMMYFUNCTION("""COMPUTED_VALUE"""),"#N/A")</f>
        <v>#N/A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 t="str">
        <f>IFERROR(__xludf.DUMMYFUNCTION("""COMPUTED_VALUE"""),"#N/A")</f>
        <v>#N/A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 t="str">
        <f>IFERROR(__xludf.DUMMYFUNCTION("""COMPUTED_VALUE"""),"#N/A")</f>
        <v>#N/A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 t="str">
        <f>IFERROR(__xludf.DUMMYFUNCTION("""COMPUTED_VALUE"""),"#N/A")</f>
        <v>#N/A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 t="str">
        <f>IFERROR(__xludf.DUMMYFUNCTION("""COMPUTED_VALUE"""),"#N/A")</f>
        <v>#N/A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 t="str">
        <f>IFERROR(__xludf.DUMMYFUNCTION("""COMPUTED_VALUE"""),"#N/A")</f>
        <v>#N/A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 t="str">
        <f>IFERROR(__xludf.DUMMYFUNCTION("""COMPUTED_VALUE"""),"#N/A")</f>
        <v>#N/A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 t="str">
        <f>IFERROR(__xludf.DUMMYFUNCTION("""COMPUTED_VALUE"""),"#N/A")</f>
        <v>#N/A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 t="str">
        <f>IFERROR(__xludf.DUMMYFUNCTION("""COMPUTED_VALUE"""),"#N/A")</f>
        <v>#N/A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 t="str">
        <f>IFERROR(__xludf.DUMMYFUNCTION("""COMPUTED_VALUE"""),"#N/A")</f>
        <v>#N/A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 t="str">
        <f>IFERROR(__xludf.DUMMYFUNCTION("""COMPUTED_VALUE"""),"#N/A")</f>
        <v>#N/A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 t="str">
        <f>IFERROR(__xludf.DUMMYFUNCTION("""COMPUTED_VALUE"""),"#N/A")</f>
        <v>#N/A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 t="str">
        <f>IFERROR(__xludf.DUMMYFUNCTION("""COMPUTED_VALUE"""),"#N/A")</f>
        <v>#N/A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 t="str">
        <f>IFERROR(__xludf.DUMMYFUNCTION("""COMPUTED_VALUE"""),"#N/A")</f>
        <v>#N/A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 t="str">
        <f>IFERROR(__xludf.DUMMYFUNCTION("""COMPUTED_VALUE"""),"#N/A")</f>
        <v>#N/A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 t="str">
        <f>IFERROR(__xludf.DUMMYFUNCTION("""COMPUTED_VALUE"""),"#N/A")</f>
        <v>#N/A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 t="str">
        <f>IFERROR(__xludf.DUMMYFUNCTION("""COMPUTED_VALUE"""),"#N/A")</f>
        <v>#N/A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 t="str">
        <f>IFERROR(__xludf.DUMMYFUNCTION("""COMPUTED_VALUE"""),"#N/A")</f>
        <v>#N/A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 t="str">
        <f>IFERROR(__xludf.DUMMYFUNCTION("""COMPUTED_VALUE"""),"#N/A")</f>
        <v>#N/A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 t="str">
        <f>IFERROR(__xludf.DUMMYFUNCTION("""COMPUTED_VALUE"""),"#N/A")</f>
        <v>#N/A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 t="str">
        <f>IFERROR(__xludf.DUMMYFUNCTION("""COMPUTED_VALUE"""),"#N/A")</f>
        <v>#N/A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 t="str">
        <f>IFERROR(__xludf.DUMMYFUNCTION("""COMPUTED_VALUE"""),"#N/A")</f>
        <v>#N/A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 t="str">
        <f>IFERROR(__xludf.DUMMYFUNCTION("""COMPUTED_VALUE"""),"#N/A")</f>
        <v>#N/A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 t="str">
        <f>IFERROR(__xludf.DUMMYFUNCTION("""COMPUTED_VALUE"""),"#N/A")</f>
        <v>#N/A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 t="str">
        <f>IFERROR(__xludf.DUMMYFUNCTION("""COMPUTED_VALUE"""),"#N/A")</f>
        <v>#N/A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 t="str">
        <f>IFERROR(__xludf.DUMMYFUNCTION("""COMPUTED_VALUE"""),"#N/A")</f>
        <v>#N/A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 t="str">
        <f>IFERROR(__xludf.DUMMYFUNCTION("""COMPUTED_VALUE"""),"#N/A")</f>
        <v>#N/A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 t="str">
        <f>IFERROR(__xludf.DUMMYFUNCTION("""COMPUTED_VALUE"""),"#N/A")</f>
        <v>#N/A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 t="str">
        <f>IFERROR(__xludf.DUMMYFUNCTION("""COMPUTED_VALUE"""),"#N/A")</f>
        <v>#N/A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 t="str">
        <f>IFERROR(__xludf.DUMMYFUNCTION("""COMPUTED_VALUE"""),"#N/A")</f>
        <v>#N/A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 t="str">
        <f>IFERROR(__xludf.DUMMYFUNCTION("""COMPUTED_VALUE"""),"#N/A")</f>
        <v>#N/A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 t="str">
        <f>IFERROR(__xludf.DUMMYFUNCTION("""COMPUTED_VALUE"""),"#N/A")</f>
        <v>#N/A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 t="str">
        <f>IFERROR(__xludf.DUMMYFUNCTION("""COMPUTED_VALUE"""),"#N/A")</f>
        <v>#N/A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 t="str">
        <f>IFERROR(__xludf.DUMMYFUNCTION("""COMPUTED_VALUE"""),"#N/A")</f>
        <v>#N/A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 t="str">
        <f>IFERROR(__xludf.DUMMYFUNCTION("""COMPUTED_VALUE"""),"#N/A")</f>
        <v>#N/A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